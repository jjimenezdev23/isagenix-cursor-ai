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nit Costs" sheetId="2" state="visible" r:id="rId2"/>
    <sheet name="Recipe Usage" sheetId="3" state="visible" r:id="rId3"/>
    <sheet name="Cost Breakdown" sheetId="4" state="visible" r:id="rId4"/>
    <sheet name="Recipe Summary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UnitCosts" displayName="UnitCosts" ref="A1:F14" headerRowCount="1">
  <autoFilter ref="A1:F14"/>
  <tableColumns count="6">
    <tableColumn id="1" name="Ingredient"/>
    <tableColumn id="2" name="Measurement Unit"/>
    <tableColumn id="3" name="Purchase Qty"/>
    <tableColumn id="4" name="Purchase Cost"/>
    <tableColumn id="5" name="Cost Per Unit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ipeUsage" displayName="RecipeUsage" ref="A1:P14" headerRowCount="1">
  <autoFilter ref="A1:P14"/>
  <tableColumns count="16">
    <tableColumn id="1" name="Type"/>
    <tableColumn id="2" name="Recipe"/>
    <tableColumn id="3" name="Selling Price"/>
    <tableColumn id="4" name="Coffee (g)"/>
    <tableColumn id="5" name="Milk (ml)"/>
    <tableColumn id="6" name="Water (ml)"/>
    <tableColumn id="7" name="Ice (g)"/>
    <tableColumn id="8" name="Condensed milk (g)"/>
    <tableColumn id="9" name="Ube powder (g)"/>
    <tableColumn id="10" name="Caramel Syrup (g)"/>
    <tableColumn id="11" name="Chocolate Syrup (g)"/>
    <tableColumn id="12" name="Cup (pc)"/>
    <tableColumn id="13" name="Lid (pc)"/>
    <tableColumn id="14" name="Hot Cup (pc)"/>
    <tableColumn id="15" name="Hot Lid (pc)"/>
    <tableColumn id="16" name="Straw (pc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stBreakdown" displayName="CostBreakdown" ref="A1:H82" headerRowCount="1">
  <autoFilter ref="A1:H82"/>
  <tableColumns count="8">
    <tableColumn id="1" name="Type"/>
    <tableColumn id="2" name="Recipe"/>
    <tableColumn id="3" name="Selling Price"/>
    <tableColumn id="4" name="Ingredient"/>
    <tableColumn id="5" name="Quantity"/>
    <tableColumn id="6" name="Unit"/>
    <tableColumn id="7" name="Cost Per Unit"/>
    <tableColumn id="8" name="Ingredient 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cipeSummary" displayName="RecipeSummary" ref="A1:I14" headerRowCount="1">
  <autoFilter ref="A1:I14"/>
  <tableColumns count="9">
    <tableColumn id="1" name="Type"/>
    <tableColumn id="2" name="Recipe"/>
    <tableColumn id="3" name="Selling Price"/>
    <tableColumn id="4" name="Capital Per Cup"/>
    <tableColumn id="5" name="Gross Profit Per Cup"/>
    <tableColumn id="6" name="Profit Margin"/>
    <tableColumn id="7" name="Capital % of Price"/>
    <tableColumn id="8" name="Missing Cost Inputs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Coffee Capital System</t>
        </is>
      </c>
      <c r="B1" s="2" t="n"/>
    </row>
    <row r="2">
      <c r="A2" s="2" t="n"/>
      <c r="B2" s="2" t="n"/>
    </row>
    <row r="3">
      <c r="A3" s="3" t="inlineStr">
        <is>
          <t>How to use</t>
        </is>
      </c>
      <c r="B3" s="2" t="n"/>
    </row>
    <row r="4">
      <c r="A4" s="2" t="inlineStr">
        <is>
          <t>1. Go to the Unit Costs sheet.</t>
        </is>
      </c>
      <c r="B4" s="2" t="n"/>
    </row>
    <row r="5">
      <c r="A5" s="2" t="inlineStr">
        <is>
          <t>2. Enter each ingredient's Purchase Qty and Purchase Cost in the yellow cells.</t>
        </is>
      </c>
      <c r="B5" s="2" t="n"/>
    </row>
    <row r="6">
      <c r="A6" s="2" t="inlineStr">
        <is>
          <t>3. Review Recipe Summary for Capital Per Cup, Gross Profit, Profit Margin, and Capital % of Price.</t>
        </is>
      </c>
      <c r="B6" s="2" t="n"/>
    </row>
    <row r="7">
      <c r="A7" s="2" t="inlineStr">
        <is>
          <t>4. If you change a recipe quantity, update the Recipe Usage sheet. The Cost Breakdown and Recipe Summary formulas will recalculate.</t>
        </is>
      </c>
      <c r="B7" s="2" t="n"/>
    </row>
    <row r="8">
      <c r="A8" s="2" t="inlineStr">
        <is>
          <t>5. Use the Missing Cost Inputs and Status columns to see whether a recipe has all required cost data.</t>
        </is>
      </c>
      <c r="B8" s="2" t="n"/>
    </row>
    <row r="9">
      <c r="A9" s="2" t="n"/>
      <c r="B9" s="2" t="n"/>
    </row>
    <row r="10">
      <c r="A10" s="2" t="n"/>
      <c r="B10" s="2" t="n"/>
    </row>
    <row r="11">
      <c r="A11" s="3" t="inlineStr">
        <is>
          <t>Important assumptions</t>
        </is>
      </c>
      <c r="B11" s="2" t="n"/>
    </row>
    <row r="12">
      <c r="A12" s="2" t="inlineStr">
        <is>
          <t>Selling prices are entered exactly as provided.</t>
        </is>
      </c>
      <c r="B12" s="2" t="n"/>
    </row>
    <row r="13">
      <c r="A13" s="2" t="inlineStr">
        <is>
          <t>Quantities are counted only when the ingredient appears in the provided recipe list.</t>
        </is>
      </c>
      <c r="B13" s="2" t="n"/>
    </row>
    <row r="14">
      <c r="A14" s="2" t="inlineStr">
        <is>
          <t>Iced recipes use the Cup and Lid cost inputs; hot recipes use the separate Hot Cup and Hot Lid cost inputs.</t>
        </is>
      </c>
      <c r="B14" s="2" t="n"/>
    </row>
    <row r="15">
      <c r="A15" s="2" t="inlineStr">
        <is>
          <t>Hot coffee base data mentioned Straw, but hot recipes did not list Straw; hot recipe straw quantity is set to 0. Change Recipe Usage if you include a straw or stirrer.</t>
        </is>
      </c>
      <c r="B15" s="2" t="n"/>
    </row>
    <row r="16">
      <c r="A16" s="2" t="inlineStr">
        <is>
          <t>Water cost can be entered as 0 if you do not track it separately.</t>
        </is>
      </c>
      <c r="B16" s="2" t="n"/>
    </row>
    <row r="17">
      <c r="A17" s="2" t="inlineStr">
        <is>
          <t>All costs should be entered in the same currency as your selling prices.</t>
        </is>
      </c>
      <c r="B17" s="2" t="n"/>
    </row>
    <row r="18">
      <c r="A18" s="2" t="n"/>
      <c r="B18" s="2" t="n"/>
    </row>
    <row r="19">
      <c r="A19" s="3" t="inlineStr">
        <is>
          <t>Formula color guide</t>
        </is>
      </c>
      <c r="B19" s="2" t="n"/>
    </row>
    <row r="20">
      <c r="A20" s="4" t="inlineStr">
        <is>
          <t>Yellow</t>
        </is>
      </c>
      <c r="B20" s="2" t="inlineStr">
        <is>
          <t>Input cells: enter purchase quantity and cost.</t>
        </is>
      </c>
    </row>
    <row r="21">
      <c r="A21" s="5" t="inlineStr">
        <is>
          <t>Green</t>
        </is>
      </c>
      <c r="B21" s="2" t="inlineStr">
        <is>
          <t>Formula cells: calculated automatically.</t>
        </is>
      </c>
    </row>
    <row r="22">
      <c r="A22" s="6" t="inlineStr">
        <is>
          <t>Blue</t>
        </is>
      </c>
      <c r="B22" s="2" t="inlineStr">
        <is>
          <t>Table headers.</t>
        </is>
      </c>
    </row>
    <row r="23">
      <c r="A23" s="7" t="inlineStr">
        <is>
          <t>Orange</t>
        </is>
      </c>
      <c r="B23" s="2" t="inlineStr">
        <is>
          <t>Notes and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54" customWidth="1" min="6" max="6"/>
  </cols>
  <sheetData>
    <row r="1">
      <c r="A1" s="6" t="inlineStr">
        <is>
          <t>Ingredient</t>
        </is>
      </c>
      <c r="B1" s="6" t="inlineStr">
        <is>
          <t>Measurement Unit</t>
        </is>
      </c>
      <c r="C1" s="6" t="inlineStr">
        <is>
          <t>Purchase Qty</t>
        </is>
      </c>
      <c r="D1" s="6" t="inlineStr">
        <is>
          <t>Purchase Cost</t>
        </is>
      </c>
      <c r="E1" s="6" t="inlineStr">
        <is>
          <t>Cost Per Unit</t>
        </is>
      </c>
      <c r="F1" s="6" t="inlineStr">
        <is>
          <t>Notes</t>
        </is>
      </c>
    </row>
    <row r="2">
      <c r="A2" s="2" t="inlineStr">
        <is>
          <t>Coffee</t>
        </is>
      </c>
      <c r="B2" s="2" t="inlineStr">
        <is>
          <t>g</t>
        </is>
      </c>
      <c r="C2" s="8" t="n"/>
      <c r="D2" s="8" t="n"/>
      <c r="E2" s="9">
        <f>IF(OR(C2="",D2=""),"",D2/C2)</f>
        <v/>
      </c>
      <c r="F2" s="7" t="inlineStr">
        <is>
          <t>Enter coffee bag total grams and purchase cost.</t>
        </is>
      </c>
    </row>
    <row r="3">
      <c r="A3" s="2" t="inlineStr">
        <is>
          <t>Milk</t>
        </is>
      </c>
      <c r="B3" s="2" t="inlineStr">
        <is>
          <t>ml</t>
        </is>
      </c>
      <c r="C3" s="8" t="n"/>
      <c r="D3" s="8" t="n"/>
      <c r="E3" s="9">
        <f>IF(OR(C3="",D3=""),"",D3/C3)</f>
        <v/>
      </c>
      <c r="F3" s="7" t="inlineStr">
        <is>
          <t>Enter carton/bottle total ml and purchase cost.</t>
        </is>
      </c>
    </row>
    <row r="4">
      <c r="A4" s="2" t="inlineStr">
        <is>
          <t>Cup</t>
        </is>
      </c>
      <c r="B4" s="2" t="inlineStr">
        <is>
          <t>pc</t>
        </is>
      </c>
      <c r="C4" s="8" t="n"/>
      <c r="D4" s="8" t="n"/>
      <c r="E4" s="9">
        <f>IF(OR(C4="",D4=""),"",D4/C4)</f>
        <v/>
      </c>
      <c r="F4" s="7" t="inlineStr">
        <is>
          <t>Enter number of iced/cold cups per pack and pack cost.</t>
        </is>
      </c>
    </row>
    <row r="5">
      <c r="A5" s="2" t="inlineStr">
        <is>
          <t>Lid</t>
        </is>
      </c>
      <c r="B5" s="2" t="inlineStr">
        <is>
          <t>pc</t>
        </is>
      </c>
      <c r="C5" s="8" t="n"/>
      <c r="D5" s="8" t="n"/>
      <c r="E5" s="9">
        <f>IF(OR(C5="",D5=""),"",D5/C5)</f>
        <v/>
      </c>
      <c r="F5" s="7" t="inlineStr">
        <is>
          <t>Enter number of iced/cold lids per pack and pack cost.</t>
        </is>
      </c>
    </row>
    <row r="6">
      <c r="A6" s="2" t="inlineStr">
        <is>
          <t>Hot Cup</t>
        </is>
      </c>
      <c r="B6" s="2" t="inlineStr">
        <is>
          <t>pc</t>
        </is>
      </c>
      <c r="C6" s="8" t="n"/>
      <c r="D6" s="8" t="n"/>
      <c r="E6" s="9">
        <f>IF(OR(C6="",D6=""),"",D6/C6)</f>
        <v/>
      </c>
      <c r="F6" s="7" t="inlineStr">
        <is>
          <t>Enter number of hot cups per pack and pack cost.</t>
        </is>
      </c>
    </row>
    <row r="7">
      <c r="A7" s="2" t="inlineStr">
        <is>
          <t>Hot Lid</t>
        </is>
      </c>
      <c r="B7" s="2" t="inlineStr">
        <is>
          <t>pc</t>
        </is>
      </c>
      <c r="C7" s="8" t="n"/>
      <c r="D7" s="8" t="n"/>
      <c r="E7" s="9">
        <f>IF(OR(C7="",D7=""),"",D7/C7)</f>
        <v/>
      </c>
      <c r="F7" s="7" t="inlineStr">
        <is>
          <t>Enter number of hot lids per pack and pack cost.</t>
        </is>
      </c>
    </row>
    <row r="8">
      <c r="A8" s="2" t="inlineStr">
        <is>
          <t>Ice</t>
        </is>
      </c>
      <c r="B8" s="2" t="inlineStr">
        <is>
          <t>g</t>
        </is>
      </c>
      <c r="C8" s="8" t="n"/>
      <c r="D8" s="8" t="n"/>
      <c r="E8" s="9">
        <f>IF(OR(C8="",D8=""),"",D8/C8)</f>
        <v/>
      </c>
      <c r="F8" s="7" t="inlineStr">
        <is>
          <t>Enter total grams bought/produced and cost.</t>
        </is>
      </c>
    </row>
    <row r="9">
      <c r="A9" s="2" t="inlineStr">
        <is>
          <t>Straw</t>
        </is>
      </c>
      <c r="B9" s="2" t="inlineStr">
        <is>
          <t>pc</t>
        </is>
      </c>
      <c r="C9" s="8" t="n"/>
      <c r="D9" s="8" t="n"/>
      <c r="E9" s="9">
        <f>IF(OR(C9="",D9=""),"",D9/C9)</f>
        <v/>
      </c>
      <c r="F9" s="7" t="inlineStr">
        <is>
          <t>Enter number of straws per pack and pack cost.</t>
        </is>
      </c>
    </row>
    <row r="10">
      <c r="A10" s="2" t="inlineStr">
        <is>
          <t>Water</t>
        </is>
      </c>
      <c r="B10" s="2" t="inlineStr">
        <is>
          <t>ml</t>
        </is>
      </c>
      <c r="C10" s="8" t="n"/>
      <c r="D10" s="8" t="n"/>
      <c r="E10" s="9">
        <f>IF(OR(C10="",D10=""),"",D10/C10)</f>
        <v/>
      </c>
      <c r="F10" s="7" t="inlineStr">
        <is>
          <t>Enter total ml and cost if you want to include water.</t>
        </is>
      </c>
    </row>
    <row r="11">
      <c r="A11" s="2" t="inlineStr">
        <is>
          <t>Condensed milk</t>
        </is>
      </c>
      <c r="B11" s="2" t="inlineStr">
        <is>
          <t>g</t>
        </is>
      </c>
      <c r="C11" s="8" t="n"/>
      <c r="D11" s="8" t="n"/>
      <c r="E11" s="9">
        <f>IF(OR(C11="",D11=""),"",D11/C11)</f>
        <v/>
      </c>
      <c r="F11" s="7" t="inlineStr">
        <is>
          <t>Enter can/container total grams and cost.</t>
        </is>
      </c>
    </row>
    <row r="12">
      <c r="A12" s="2" t="inlineStr">
        <is>
          <t>Ube powder</t>
        </is>
      </c>
      <c r="B12" s="2" t="inlineStr">
        <is>
          <t>g</t>
        </is>
      </c>
      <c r="C12" s="8" t="n"/>
      <c r="D12" s="8" t="n"/>
      <c r="E12" s="9">
        <f>IF(OR(C12="",D12=""),"",D12/C12)</f>
        <v/>
      </c>
      <c r="F12" s="7" t="inlineStr">
        <is>
          <t>Enter pouch/container total grams and cost.</t>
        </is>
      </c>
    </row>
    <row r="13">
      <c r="A13" s="2" t="inlineStr">
        <is>
          <t>Caramel Syrup</t>
        </is>
      </c>
      <c r="B13" s="2" t="inlineStr">
        <is>
          <t>g</t>
        </is>
      </c>
      <c r="C13" s="8" t="n"/>
      <c r="D13" s="8" t="n"/>
      <c r="E13" s="9">
        <f>IF(OR(C13="",D13=""),"",D13/C13)</f>
        <v/>
      </c>
      <c r="F13" s="7" t="inlineStr">
        <is>
          <t>Enter bottle total grams and cost.</t>
        </is>
      </c>
    </row>
    <row r="14">
      <c r="A14" s="2" t="inlineStr">
        <is>
          <t>Chocolate Syrup</t>
        </is>
      </c>
      <c r="B14" s="2" t="inlineStr">
        <is>
          <t>g</t>
        </is>
      </c>
      <c r="C14" s="8" t="n"/>
      <c r="D14" s="8" t="n"/>
      <c r="E14" s="9">
        <f>IF(OR(C14="",D14=""),"",D14/C14)</f>
        <v/>
      </c>
      <c r="F14" s="7" t="inlineStr">
        <is>
          <t>Enter bottle total grams and cost.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20" customWidth="1" min="8" max="8"/>
    <col width="16" customWidth="1" min="9" max="9"/>
    <col width="18" customWidth="1" min="10" max="10"/>
    <col width="2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>
      <c r="A1" s="6" t="inlineStr">
        <is>
          <t>Type</t>
        </is>
      </c>
      <c r="B1" s="6" t="inlineStr">
        <is>
          <t>Recipe</t>
        </is>
      </c>
      <c r="C1" s="6" t="inlineStr">
        <is>
          <t>Selling Price</t>
        </is>
      </c>
      <c r="D1" s="6" t="inlineStr">
        <is>
          <t>Coffee (g)</t>
        </is>
      </c>
      <c r="E1" s="6" t="inlineStr">
        <is>
          <t>Milk (ml)</t>
        </is>
      </c>
      <c r="F1" s="6" t="inlineStr">
        <is>
          <t>Water (ml)</t>
        </is>
      </c>
      <c r="G1" s="6" t="inlineStr">
        <is>
          <t>Ice (g)</t>
        </is>
      </c>
      <c r="H1" s="6" t="inlineStr">
        <is>
          <t>Condensed milk (g)</t>
        </is>
      </c>
      <c r="I1" s="6" t="inlineStr">
        <is>
          <t>Ube powder (g)</t>
        </is>
      </c>
      <c r="J1" s="6" t="inlineStr">
        <is>
          <t>Caramel Syrup (g)</t>
        </is>
      </c>
      <c r="K1" s="6" t="inlineStr">
        <is>
          <t>Chocolate Syrup (g)</t>
        </is>
      </c>
      <c r="L1" s="6" t="inlineStr">
        <is>
          <t>Cup (pc)</t>
        </is>
      </c>
      <c r="M1" s="6" t="inlineStr">
        <is>
          <t>Lid (pc)</t>
        </is>
      </c>
      <c r="N1" s="6" t="inlineStr">
        <is>
          <t>Hot Cup (pc)</t>
        </is>
      </c>
      <c r="O1" s="6" t="inlineStr">
        <is>
          <t>Hot Lid (pc)</t>
        </is>
      </c>
      <c r="P1" s="6" t="inlineStr">
        <is>
          <t>Straw (pc)</t>
        </is>
      </c>
    </row>
    <row r="2">
      <c r="A2" s="2" t="inlineStr">
        <is>
          <t>Iced</t>
        </is>
      </c>
      <c r="B2" s="2" t="inlineStr">
        <is>
          <t>Spanish latte</t>
        </is>
      </c>
      <c r="C2" s="10" t="n">
        <v>105</v>
      </c>
      <c r="D2" s="10" t="n">
        <v>18</v>
      </c>
      <c r="E2" s="10" t="n">
        <v>150</v>
      </c>
      <c r="F2" s="10" t="n">
        <v>0</v>
      </c>
      <c r="G2" s="10" t="n">
        <v>100</v>
      </c>
      <c r="H2" s="10" t="n">
        <v>30</v>
      </c>
      <c r="I2" s="10" t="n">
        <v>0</v>
      </c>
      <c r="J2" s="10" t="n">
        <v>0</v>
      </c>
      <c r="K2" s="10" t="n">
        <v>0</v>
      </c>
      <c r="L2" s="10" t="n">
        <v>1</v>
      </c>
      <c r="M2" s="10" t="n">
        <v>1</v>
      </c>
      <c r="N2" s="10" t="n">
        <v>0</v>
      </c>
      <c r="O2" s="10" t="n">
        <v>0</v>
      </c>
      <c r="P2" s="10" t="n">
        <v>1</v>
      </c>
    </row>
    <row r="3">
      <c r="A3" s="2" t="inlineStr">
        <is>
          <t>Iced</t>
        </is>
      </c>
      <c r="B3" s="2" t="inlineStr">
        <is>
          <t>Americano</t>
        </is>
      </c>
      <c r="C3" s="10" t="n">
        <v>70</v>
      </c>
      <c r="D3" s="10" t="n">
        <v>18</v>
      </c>
      <c r="E3" s="10" t="n">
        <v>0</v>
      </c>
      <c r="F3" s="10" t="n">
        <v>150</v>
      </c>
      <c r="G3" s="10" t="n">
        <v>100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1</v>
      </c>
      <c r="M3" s="10" t="n">
        <v>1</v>
      </c>
      <c r="N3" s="10" t="n">
        <v>0</v>
      </c>
      <c r="O3" s="10" t="n">
        <v>0</v>
      </c>
      <c r="P3" s="10" t="n">
        <v>1</v>
      </c>
    </row>
    <row r="4">
      <c r="A4" s="2" t="inlineStr">
        <is>
          <t>Iced</t>
        </is>
      </c>
      <c r="B4" s="2" t="inlineStr">
        <is>
          <t>Latte</t>
        </is>
      </c>
      <c r="C4" s="10" t="n">
        <v>90</v>
      </c>
      <c r="D4" s="10" t="n">
        <v>18</v>
      </c>
      <c r="E4" s="10" t="n">
        <v>150</v>
      </c>
      <c r="F4" s="10" t="n">
        <v>0</v>
      </c>
      <c r="G4" s="10" t="n">
        <v>100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1</v>
      </c>
      <c r="M4" s="10" t="n">
        <v>1</v>
      </c>
      <c r="N4" s="10" t="n">
        <v>0</v>
      </c>
      <c r="O4" s="10" t="n">
        <v>0</v>
      </c>
      <c r="P4" s="10" t="n">
        <v>1</v>
      </c>
    </row>
    <row r="5">
      <c r="A5" s="2" t="inlineStr">
        <is>
          <t>Iced</t>
        </is>
      </c>
      <c r="B5" s="2" t="inlineStr">
        <is>
          <t>Ube Latte</t>
        </is>
      </c>
      <c r="C5" s="10" t="n">
        <v>110</v>
      </c>
      <c r="D5" s="10" t="n">
        <v>18</v>
      </c>
      <c r="E5" s="10" t="n">
        <v>150</v>
      </c>
      <c r="F5" s="10" t="n">
        <v>0</v>
      </c>
      <c r="G5" s="10" t="n">
        <v>100</v>
      </c>
      <c r="H5" s="10" t="n">
        <v>30</v>
      </c>
      <c r="I5" s="10" t="n">
        <v>8</v>
      </c>
      <c r="J5" s="10" t="n">
        <v>0</v>
      </c>
      <c r="K5" s="10" t="n">
        <v>0</v>
      </c>
      <c r="L5" s="10" t="n">
        <v>1</v>
      </c>
      <c r="M5" s="10" t="n">
        <v>1</v>
      </c>
      <c r="N5" s="10" t="n">
        <v>0</v>
      </c>
      <c r="O5" s="10" t="n">
        <v>0</v>
      </c>
      <c r="P5" s="10" t="n">
        <v>1</v>
      </c>
    </row>
    <row r="6">
      <c r="A6" s="2" t="inlineStr">
        <is>
          <t>Iced</t>
        </is>
      </c>
      <c r="B6" s="2" t="inlineStr">
        <is>
          <t>Mocha Latte</t>
        </is>
      </c>
      <c r="C6" s="10" t="n">
        <v>110</v>
      </c>
      <c r="D6" s="10" t="n">
        <v>18</v>
      </c>
      <c r="E6" s="10" t="n">
        <v>150</v>
      </c>
      <c r="F6" s="10" t="n">
        <v>0</v>
      </c>
      <c r="G6" s="10" t="n">
        <v>100</v>
      </c>
      <c r="H6" s="10" t="n">
        <v>30</v>
      </c>
      <c r="I6" s="10" t="n">
        <v>0</v>
      </c>
      <c r="J6" s="10" t="n">
        <v>0</v>
      </c>
      <c r="K6" s="10" t="n">
        <v>35</v>
      </c>
      <c r="L6" s="10" t="n">
        <v>1</v>
      </c>
      <c r="M6" s="10" t="n">
        <v>1</v>
      </c>
      <c r="N6" s="10" t="n">
        <v>0</v>
      </c>
      <c r="O6" s="10" t="n">
        <v>0</v>
      </c>
      <c r="P6" s="10" t="n">
        <v>1</v>
      </c>
    </row>
    <row r="7">
      <c r="A7" s="2" t="inlineStr">
        <is>
          <t>Iced</t>
        </is>
      </c>
      <c r="B7" s="2" t="inlineStr">
        <is>
          <t>Caramel Macchiato</t>
        </is>
      </c>
      <c r="C7" s="10" t="n">
        <v>110</v>
      </c>
      <c r="D7" s="10" t="n">
        <v>18</v>
      </c>
      <c r="E7" s="10" t="n">
        <v>150</v>
      </c>
      <c r="F7" s="10" t="n">
        <v>0</v>
      </c>
      <c r="G7" s="10" t="n">
        <v>100</v>
      </c>
      <c r="H7" s="10" t="n">
        <v>30</v>
      </c>
      <c r="I7" s="10" t="n">
        <v>0</v>
      </c>
      <c r="J7" s="10" t="n">
        <v>35</v>
      </c>
      <c r="K7" s="10" t="n">
        <v>0</v>
      </c>
      <c r="L7" s="10" t="n">
        <v>1</v>
      </c>
      <c r="M7" s="10" t="n">
        <v>1</v>
      </c>
      <c r="N7" s="10" t="n">
        <v>0</v>
      </c>
      <c r="O7" s="10" t="n">
        <v>0</v>
      </c>
      <c r="P7" s="10" t="n">
        <v>1</v>
      </c>
    </row>
    <row r="8">
      <c r="A8" s="2" t="inlineStr">
        <is>
          <t>Iced</t>
        </is>
      </c>
      <c r="B8" s="2" t="inlineStr">
        <is>
          <t>Kape Sua Da</t>
        </is>
      </c>
      <c r="C8" s="10" t="n">
        <v>105</v>
      </c>
      <c r="D8" s="10" t="n">
        <v>18</v>
      </c>
      <c r="E8" s="10" t="n">
        <v>0</v>
      </c>
      <c r="F8" s="10" t="n">
        <v>150</v>
      </c>
      <c r="G8" s="10" t="n">
        <v>100</v>
      </c>
      <c r="H8" s="10" t="n">
        <v>30</v>
      </c>
      <c r="I8" s="10" t="n">
        <v>0</v>
      </c>
      <c r="J8" s="10" t="n">
        <v>0</v>
      </c>
      <c r="K8" s="10" t="n">
        <v>0</v>
      </c>
      <c r="L8" s="10" t="n">
        <v>1</v>
      </c>
      <c r="M8" s="10" t="n">
        <v>1</v>
      </c>
      <c r="N8" s="10" t="n">
        <v>0</v>
      </c>
      <c r="O8" s="10" t="n">
        <v>0</v>
      </c>
      <c r="P8" s="10" t="n">
        <v>1</v>
      </c>
    </row>
    <row r="9">
      <c r="A9" s="2" t="inlineStr">
        <is>
          <t>Hot</t>
        </is>
      </c>
      <c r="B9" s="2" t="inlineStr">
        <is>
          <t>Spanish latte</t>
        </is>
      </c>
      <c r="C9" s="10" t="n">
        <v>105</v>
      </c>
      <c r="D9" s="10" t="n">
        <v>18</v>
      </c>
      <c r="E9" s="10" t="n">
        <v>200</v>
      </c>
      <c r="F9" s="10" t="n">
        <v>0</v>
      </c>
      <c r="G9" s="10" t="n">
        <v>0</v>
      </c>
      <c r="H9" s="10" t="n">
        <v>30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1</v>
      </c>
      <c r="O9" s="10" t="n">
        <v>1</v>
      </c>
      <c r="P9" s="10" t="n">
        <v>0</v>
      </c>
    </row>
    <row r="10">
      <c r="A10" s="2" t="inlineStr">
        <is>
          <t>Hot</t>
        </is>
      </c>
      <c r="B10" s="2" t="inlineStr">
        <is>
          <t>Americano</t>
        </is>
      </c>
      <c r="C10" s="10" t="n">
        <v>70</v>
      </c>
      <c r="D10" s="10" t="n">
        <v>18</v>
      </c>
      <c r="E10" s="10" t="n">
        <v>0</v>
      </c>
      <c r="F10" s="10" t="n">
        <v>200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1</v>
      </c>
      <c r="O10" s="10" t="n">
        <v>1</v>
      </c>
      <c r="P10" s="10" t="n">
        <v>0</v>
      </c>
    </row>
    <row r="11">
      <c r="A11" s="2" t="inlineStr">
        <is>
          <t>Hot</t>
        </is>
      </c>
      <c r="B11" s="2" t="inlineStr">
        <is>
          <t>Latte</t>
        </is>
      </c>
      <c r="C11" s="10" t="n">
        <v>90</v>
      </c>
      <c r="D11" s="10" t="n">
        <v>18</v>
      </c>
      <c r="E11" s="10" t="n">
        <v>200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1</v>
      </c>
      <c r="O11" s="10" t="n">
        <v>1</v>
      </c>
      <c r="P11" s="10" t="n">
        <v>0</v>
      </c>
    </row>
    <row r="12">
      <c r="A12" s="2" t="inlineStr">
        <is>
          <t>Hot</t>
        </is>
      </c>
      <c r="B12" s="2" t="inlineStr">
        <is>
          <t>Ube Latte</t>
        </is>
      </c>
      <c r="C12" s="10" t="n">
        <v>110</v>
      </c>
      <c r="D12" s="10" t="n">
        <v>18</v>
      </c>
      <c r="E12" s="10" t="n">
        <v>200</v>
      </c>
      <c r="F12" s="10" t="n">
        <v>0</v>
      </c>
      <c r="G12" s="10" t="n">
        <v>0</v>
      </c>
      <c r="H12" s="10" t="n">
        <v>30</v>
      </c>
      <c r="I12" s="10" t="n">
        <v>8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1</v>
      </c>
      <c r="O12" s="10" t="n">
        <v>1</v>
      </c>
      <c r="P12" s="10" t="n">
        <v>0</v>
      </c>
    </row>
    <row r="13">
      <c r="A13" s="2" t="inlineStr">
        <is>
          <t>Hot</t>
        </is>
      </c>
      <c r="B13" s="2" t="inlineStr">
        <is>
          <t>Mocha Latte</t>
        </is>
      </c>
      <c r="C13" s="10" t="n">
        <v>110</v>
      </c>
      <c r="D13" s="10" t="n">
        <v>18</v>
      </c>
      <c r="E13" s="10" t="n">
        <v>200</v>
      </c>
      <c r="F13" s="10" t="n">
        <v>0</v>
      </c>
      <c r="G13" s="10" t="n">
        <v>0</v>
      </c>
      <c r="H13" s="10" t="n">
        <v>30</v>
      </c>
      <c r="I13" s="10" t="n">
        <v>0</v>
      </c>
      <c r="J13" s="10" t="n">
        <v>0</v>
      </c>
      <c r="K13" s="10" t="n">
        <v>35</v>
      </c>
      <c r="L13" s="10" t="n">
        <v>0</v>
      </c>
      <c r="M13" s="10" t="n">
        <v>0</v>
      </c>
      <c r="N13" s="10" t="n">
        <v>1</v>
      </c>
      <c r="O13" s="10" t="n">
        <v>1</v>
      </c>
      <c r="P13" s="10" t="n">
        <v>0</v>
      </c>
    </row>
    <row r="14">
      <c r="A14" s="2" t="inlineStr">
        <is>
          <t>Hot</t>
        </is>
      </c>
      <c r="B14" s="2" t="inlineStr">
        <is>
          <t>Caramel Macchiato</t>
        </is>
      </c>
      <c r="C14" s="10" t="n">
        <v>110</v>
      </c>
      <c r="D14" s="10" t="n">
        <v>18</v>
      </c>
      <c r="E14" s="10" t="n">
        <v>200</v>
      </c>
      <c r="F14" s="10" t="n">
        <v>0</v>
      </c>
      <c r="G14" s="10" t="n">
        <v>0</v>
      </c>
      <c r="H14" s="10" t="n">
        <v>30</v>
      </c>
      <c r="I14" s="10" t="n">
        <v>0</v>
      </c>
      <c r="J14" s="10" t="n">
        <v>35</v>
      </c>
      <c r="K14" s="10" t="n">
        <v>0</v>
      </c>
      <c r="L14" s="10" t="n">
        <v>0</v>
      </c>
      <c r="M14" s="10" t="n">
        <v>0</v>
      </c>
      <c r="N14" s="10" t="n">
        <v>1</v>
      </c>
      <c r="O14" s="10" t="n">
        <v>1</v>
      </c>
      <c r="P14" s="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12" customWidth="1" min="5" max="5"/>
    <col width="10" customWidth="1" min="6" max="6"/>
    <col width="16" customWidth="1" min="7" max="7"/>
    <col width="18" customWidth="1" min="8" max="8"/>
  </cols>
  <sheetData>
    <row r="1">
      <c r="A1" s="6" t="inlineStr">
        <is>
          <t>Type</t>
        </is>
      </c>
      <c r="B1" s="6" t="inlineStr">
        <is>
          <t>Recipe</t>
        </is>
      </c>
      <c r="C1" s="6" t="inlineStr">
        <is>
          <t>Selling Price</t>
        </is>
      </c>
      <c r="D1" s="6" t="inlineStr">
        <is>
          <t>Ingredient</t>
        </is>
      </c>
      <c r="E1" s="6" t="inlineStr">
        <is>
          <t>Quantity</t>
        </is>
      </c>
      <c r="F1" s="6" t="inlineStr">
        <is>
          <t>Unit</t>
        </is>
      </c>
      <c r="G1" s="6" t="inlineStr">
        <is>
          <t>Cost Per Unit</t>
        </is>
      </c>
      <c r="H1" s="6" t="inlineStr">
        <is>
          <t>Ingredient Cost</t>
        </is>
      </c>
    </row>
    <row r="2">
      <c r="A2" s="2" t="inlineStr">
        <is>
          <t>Iced</t>
        </is>
      </c>
      <c r="B2" s="2" t="inlineStr">
        <is>
          <t>Spanish latte</t>
        </is>
      </c>
      <c r="C2" s="10" t="n">
        <v>105</v>
      </c>
      <c r="D2" s="2" t="inlineStr">
        <is>
          <t>Coffee</t>
        </is>
      </c>
      <c r="E2" s="10" t="n">
        <v>18</v>
      </c>
      <c r="F2" s="2" t="inlineStr">
        <is>
          <t>g</t>
        </is>
      </c>
      <c r="G2" s="9">
        <f>IFERROR(VLOOKUP(D2,'Unit Costs'!$A$2:$E$14,5,FALSE),"")</f>
        <v/>
      </c>
      <c r="H2" s="11">
        <f>IF(G2="","",E2*G2)</f>
        <v/>
      </c>
    </row>
    <row r="3">
      <c r="A3" s="2" t="inlineStr">
        <is>
          <t>Iced</t>
        </is>
      </c>
      <c r="B3" s="2" t="inlineStr">
        <is>
          <t>Spanish latte</t>
        </is>
      </c>
      <c r="C3" s="10" t="n">
        <v>105</v>
      </c>
      <c r="D3" s="2" t="inlineStr">
        <is>
          <t>Milk</t>
        </is>
      </c>
      <c r="E3" s="10" t="n">
        <v>150</v>
      </c>
      <c r="F3" s="2" t="inlineStr">
        <is>
          <t>ml</t>
        </is>
      </c>
      <c r="G3" s="9">
        <f>IFERROR(VLOOKUP(D3,'Unit Costs'!$A$2:$E$14,5,FALSE),"")</f>
        <v/>
      </c>
      <c r="H3" s="11">
        <f>IF(G3="","",E3*G3)</f>
        <v/>
      </c>
    </row>
    <row r="4">
      <c r="A4" s="2" t="inlineStr">
        <is>
          <t>Iced</t>
        </is>
      </c>
      <c r="B4" s="2" t="inlineStr">
        <is>
          <t>Spanish latte</t>
        </is>
      </c>
      <c r="C4" s="10" t="n">
        <v>105</v>
      </c>
      <c r="D4" s="2" t="inlineStr">
        <is>
          <t>Ice</t>
        </is>
      </c>
      <c r="E4" s="10" t="n">
        <v>100</v>
      </c>
      <c r="F4" s="2" t="inlineStr">
        <is>
          <t>g</t>
        </is>
      </c>
      <c r="G4" s="9">
        <f>IFERROR(VLOOKUP(D4,'Unit Costs'!$A$2:$E$14,5,FALSE),"")</f>
        <v/>
      </c>
      <c r="H4" s="11">
        <f>IF(G4="","",E4*G4)</f>
        <v/>
      </c>
    </row>
    <row r="5">
      <c r="A5" s="2" t="inlineStr">
        <is>
          <t>Iced</t>
        </is>
      </c>
      <c r="B5" s="2" t="inlineStr">
        <is>
          <t>Spanish latte</t>
        </is>
      </c>
      <c r="C5" s="10" t="n">
        <v>105</v>
      </c>
      <c r="D5" s="2" t="inlineStr">
        <is>
          <t>Condensed milk</t>
        </is>
      </c>
      <c r="E5" s="10" t="n">
        <v>30</v>
      </c>
      <c r="F5" s="2" t="inlineStr">
        <is>
          <t>g</t>
        </is>
      </c>
      <c r="G5" s="9">
        <f>IFERROR(VLOOKUP(D5,'Unit Costs'!$A$2:$E$14,5,FALSE),"")</f>
        <v/>
      </c>
      <c r="H5" s="11">
        <f>IF(G5="","",E5*G5)</f>
        <v/>
      </c>
    </row>
    <row r="6">
      <c r="A6" s="2" t="inlineStr">
        <is>
          <t>Iced</t>
        </is>
      </c>
      <c r="B6" s="2" t="inlineStr">
        <is>
          <t>Spanish latte</t>
        </is>
      </c>
      <c r="C6" s="10" t="n">
        <v>105</v>
      </c>
      <c r="D6" s="2" t="inlineStr">
        <is>
          <t>Cup</t>
        </is>
      </c>
      <c r="E6" s="10" t="n">
        <v>1</v>
      </c>
      <c r="F6" s="2" t="inlineStr">
        <is>
          <t>pc</t>
        </is>
      </c>
      <c r="G6" s="9">
        <f>IFERROR(VLOOKUP(D6,'Unit Costs'!$A$2:$E$14,5,FALSE),"")</f>
        <v/>
      </c>
      <c r="H6" s="11">
        <f>IF(G6="","",E6*G6)</f>
        <v/>
      </c>
    </row>
    <row r="7">
      <c r="A7" s="2" t="inlineStr">
        <is>
          <t>Iced</t>
        </is>
      </c>
      <c r="B7" s="2" t="inlineStr">
        <is>
          <t>Spanish latte</t>
        </is>
      </c>
      <c r="C7" s="10" t="n">
        <v>105</v>
      </c>
      <c r="D7" s="2" t="inlineStr">
        <is>
          <t>Lid</t>
        </is>
      </c>
      <c r="E7" s="10" t="n">
        <v>1</v>
      </c>
      <c r="F7" s="2" t="inlineStr">
        <is>
          <t>pc</t>
        </is>
      </c>
      <c r="G7" s="9">
        <f>IFERROR(VLOOKUP(D7,'Unit Costs'!$A$2:$E$14,5,FALSE),"")</f>
        <v/>
      </c>
      <c r="H7" s="11">
        <f>IF(G7="","",E7*G7)</f>
        <v/>
      </c>
    </row>
    <row r="8">
      <c r="A8" s="2" t="inlineStr">
        <is>
          <t>Iced</t>
        </is>
      </c>
      <c r="B8" s="2" t="inlineStr">
        <is>
          <t>Spanish latte</t>
        </is>
      </c>
      <c r="C8" s="10" t="n">
        <v>105</v>
      </c>
      <c r="D8" s="2" t="inlineStr">
        <is>
          <t>Straw</t>
        </is>
      </c>
      <c r="E8" s="10" t="n">
        <v>1</v>
      </c>
      <c r="F8" s="2" t="inlineStr">
        <is>
          <t>pc</t>
        </is>
      </c>
      <c r="G8" s="9">
        <f>IFERROR(VLOOKUP(D8,'Unit Costs'!$A$2:$E$14,5,FALSE),"")</f>
        <v/>
      </c>
      <c r="H8" s="11">
        <f>IF(G8="","",E8*G8)</f>
        <v/>
      </c>
    </row>
    <row r="9">
      <c r="A9" s="2" t="inlineStr">
        <is>
          <t>Iced</t>
        </is>
      </c>
      <c r="B9" s="2" t="inlineStr">
        <is>
          <t>Americano</t>
        </is>
      </c>
      <c r="C9" s="10" t="n">
        <v>70</v>
      </c>
      <c r="D9" s="2" t="inlineStr">
        <is>
          <t>Coffee</t>
        </is>
      </c>
      <c r="E9" s="10" t="n">
        <v>18</v>
      </c>
      <c r="F9" s="2" t="inlineStr">
        <is>
          <t>g</t>
        </is>
      </c>
      <c r="G9" s="9">
        <f>IFERROR(VLOOKUP(D9,'Unit Costs'!$A$2:$E$14,5,FALSE),"")</f>
        <v/>
      </c>
      <c r="H9" s="11">
        <f>IF(G9="","",E9*G9)</f>
        <v/>
      </c>
    </row>
    <row r="10">
      <c r="A10" s="2" t="inlineStr">
        <is>
          <t>Iced</t>
        </is>
      </c>
      <c r="B10" s="2" t="inlineStr">
        <is>
          <t>Americano</t>
        </is>
      </c>
      <c r="C10" s="10" t="n">
        <v>70</v>
      </c>
      <c r="D10" s="2" t="inlineStr">
        <is>
          <t>Water</t>
        </is>
      </c>
      <c r="E10" s="10" t="n">
        <v>150</v>
      </c>
      <c r="F10" s="2" t="inlineStr">
        <is>
          <t>ml</t>
        </is>
      </c>
      <c r="G10" s="9">
        <f>IFERROR(VLOOKUP(D10,'Unit Costs'!$A$2:$E$14,5,FALSE),"")</f>
        <v/>
      </c>
      <c r="H10" s="11">
        <f>IF(G10="","",E10*G10)</f>
        <v/>
      </c>
    </row>
    <row r="11">
      <c r="A11" s="2" t="inlineStr">
        <is>
          <t>Iced</t>
        </is>
      </c>
      <c r="B11" s="2" t="inlineStr">
        <is>
          <t>Americano</t>
        </is>
      </c>
      <c r="C11" s="10" t="n">
        <v>70</v>
      </c>
      <c r="D11" s="2" t="inlineStr">
        <is>
          <t>Ice</t>
        </is>
      </c>
      <c r="E11" s="10" t="n">
        <v>100</v>
      </c>
      <c r="F11" s="2" t="inlineStr">
        <is>
          <t>g</t>
        </is>
      </c>
      <c r="G11" s="9">
        <f>IFERROR(VLOOKUP(D11,'Unit Costs'!$A$2:$E$14,5,FALSE),"")</f>
        <v/>
      </c>
      <c r="H11" s="11">
        <f>IF(G11="","",E11*G11)</f>
        <v/>
      </c>
    </row>
    <row r="12">
      <c r="A12" s="2" t="inlineStr">
        <is>
          <t>Iced</t>
        </is>
      </c>
      <c r="B12" s="2" t="inlineStr">
        <is>
          <t>Americano</t>
        </is>
      </c>
      <c r="C12" s="10" t="n">
        <v>70</v>
      </c>
      <c r="D12" s="2" t="inlineStr">
        <is>
          <t>Cup</t>
        </is>
      </c>
      <c r="E12" s="10" t="n">
        <v>1</v>
      </c>
      <c r="F12" s="2" t="inlineStr">
        <is>
          <t>pc</t>
        </is>
      </c>
      <c r="G12" s="9">
        <f>IFERROR(VLOOKUP(D12,'Unit Costs'!$A$2:$E$14,5,FALSE),"")</f>
        <v/>
      </c>
      <c r="H12" s="11">
        <f>IF(G12="","",E12*G12)</f>
        <v/>
      </c>
    </row>
    <row r="13">
      <c r="A13" s="2" t="inlineStr">
        <is>
          <t>Iced</t>
        </is>
      </c>
      <c r="B13" s="2" t="inlineStr">
        <is>
          <t>Americano</t>
        </is>
      </c>
      <c r="C13" s="10" t="n">
        <v>70</v>
      </c>
      <c r="D13" s="2" t="inlineStr">
        <is>
          <t>Lid</t>
        </is>
      </c>
      <c r="E13" s="10" t="n">
        <v>1</v>
      </c>
      <c r="F13" s="2" t="inlineStr">
        <is>
          <t>pc</t>
        </is>
      </c>
      <c r="G13" s="9">
        <f>IFERROR(VLOOKUP(D13,'Unit Costs'!$A$2:$E$14,5,FALSE),"")</f>
        <v/>
      </c>
      <c r="H13" s="11">
        <f>IF(G13="","",E13*G13)</f>
        <v/>
      </c>
    </row>
    <row r="14">
      <c r="A14" s="2" t="inlineStr">
        <is>
          <t>Iced</t>
        </is>
      </c>
      <c r="B14" s="2" t="inlineStr">
        <is>
          <t>Americano</t>
        </is>
      </c>
      <c r="C14" s="10" t="n">
        <v>70</v>
      </c>
      <c r="D14" s="2" t="inlineStr">
        <is>
          <t>Straw</t>
        </is>
      </c>
      <c r="E14" s="10" t="n">
        <v>1</v>
      </c>
      <c r="F14" s="2" t="inlineStr">
        <is>
          <t>pc</t>
        </is>
      </c>
      <c r="G14" s="9">
        <f>IFERROR(VLOOKUP(D14,'Unit Costs'!$A$2:$E$14,5,FALSE),"")</f>
        <v/>
      </c>
      <c r="H14" s="11">
        <f>IF(G14="","",E14*G14)</f>
        <v/>
      </c>
    </row>
    <row r="15">
      <c r="A15" s="2" t="inlineStr">
        <is>
          <t>Iced</t>
        </is>
      </c>
      <c r="B15" s="2" t="inlineStr">
        <is>
          <t>Latte</t>
        </is>
      </c>
      <c r="C15" s="10" t="n">
        <v>90</v>
      </c>
      <c r="D15" s="2" t="inlineStr">
        <is>
          <t>Coffee</t>
        </is>
      </c>
      <c r="E15" s="10" t="n">
        <v>18</v>
      </c>
      <c r="F15" s="2" t="inlineStr">
        <is>
          <t>g</t>
        </is>
      </c>
      <c r="G15" s="9">
        <f>IFERROR(VLOOKUP(D15,'Unit Costs'!$A$2:$E$14,5,FALSE),"")</f>
        <v/>
      </c>
      <c r="H15" s="11">
        <f>IF(G15="","",E15*G15)</f>
        <v/>
      </c>
    </row>
    <row r="16">
      <c r="A16" s="2" t="inlineStr">
        <is>
          <t>Iced</t>
        </is>
      </c>
      <c r="B16" s="2" t="inlineStr">
        <is>
          <t>Latte</t>
        </is>
      </c>
      <c r="C16" s="10" t="n">
        <v>90</v>
      </c>
      <c r="D16" s="2" t="inlineStr">
        <is>
          <t>Milk</t>
        </is>
      </c>
      <c r="E16" s="10" t="n">
        <v>150</v>
      </c>
      <c r="F16" s="2" t="inlineStr">
        <is>
          <t>ml</t>
        </is>
      </c>
      <c r="G16" s="9">
        <f>IFERROR(VLOOKUP(D16,'Unit Costs'!$A$2:$E$14,5,FALSE),"")</f>
        <v/>
      </c>
      <c r="H16" s="11">
        <f>IF(G16="","",E16*G16)</f>
        <v/>
      </c>
    </row>
    <row r="17">
      <c r="A17" s="2" t="inlineStr">
        <is>
          <t>Iced</t>
        </is>
      </c>
      <c r="B17" s="2" t="inlineStr">
        <is>
          <t>Latte</t>
        </is>
      </c>
      <c r="C17" s="10" t="n">
        <v>90</v>
      </c>
      <c r="D17" s="2" t="inlineStr">
        <is>
          <t>Ice</t>
        </is>
      </c>
      <c r="E17" s="10" t="n">
        <v>100</v>
      </c>
      <c r="F17" s="2" t="inlineStr">
        <is>
          <t>g</t>
        </is>
      </c>
      <c r="G17" s="9">
        <f>IFERROR(VLOOKUP(D17,'Unit Costs'!$A$2:$E$14,5,FALSE),"")</f>
        <v/>
      </c>
      <c r="H17" s="11">
        <f>IF(G17="","",E17*G17)</f>
        <v/>
      </c>
    </row>
    <row r="18">
      <c r="A18" s="2" t="inlineStr">
        <is>
          <t>Iced</t>
        </is>
      </c>
      <c r="B18" s="2" t="inlineStr">
        <is>
          <t>Latte</t>
        </is>
      </c>
      <c r="C18" s="10" t="n">
        <v>90</v>
      </c>
      <c r="D18" s="2" t="inlineStr">
        <is>
          <t>Cup</t>
        </is>
      </c>
      <c r="E18" s="10" t="n">
        <v>1</v>
      </c>
      <c r="F18" s="2" t="inlineStr">
        <is>
          <t>pc</t>
        </is>
      </c>
      <c r="G18" s="9">
        <f>IFERROR(VLOOKUP(D18,'Unit Costs'!$A$2:$E$14,5,FALSE),"")</f>
        <v/>
      </c>
      <c r="H18" s="11">
        <f>IF(G18="","",E18*G18)</f>
        <v/>
      </c>
    </row>
    <row r="19">
      <c r="A19" s="2" t="inlineStr">
        <is>
          <t>Iced</t>
        </is>
      </c>
      <c r="B19" s="2" t="inlineStr">
        <is>
          <t>Latte</t>
        </is>
      </c>
      <c r="C19" s="10" t="n">
        <v>90</v>
      </c>
      <c r="D19" s="2" t="inlineStr">
        <is>
          <t>Lid</t>
        </is>
      </c>
      <c r="E19" s="10" t="n">
        <v>1</v>
      </c>
      <c r="F19" s="2" t="inlineStr">
        <is>
          <t>pc</t>
        </is>
      </c>
      <c r="G19" s="9">
        <f>IFERROR(VLOOKUP(D19,'Unit Costs'!$A$2:$E$14,5,FALSE),"")</f>
        <v/>
      </c>
      <c r="H19" s="11">
        <f>IF(G19="","",E19*G19)</f>
        <v/>
      </c>
    </row>
    <row r="20">
      <c r="A20" s="2" t="inlineStr">
        <is>
          <t>Iced</t>
        </is>
      </c>
      <c r="B20" s="2" t="inlineStr">
        <is>
          <t>Latte</t>
        </is>
      </c>
      <c r="C20" s="10" t="n">
        <v>90</v>
      </c>
      <c r="D20" s="2" t="inlineStr">
        <is>
          <t>Straw</t>
        </is>
      </c>
      <c r="E20" s="10" t="n">
        <v>1</v>
      </c>
      <c r="F20" s="2" t="inlineStr">
        <is>
          <t>pc</t>
        </is>
      </c>
      <c r="G20" s="9">
        <f>IFERROR(VLOOKUP(D20,'Unit Costs'!$A$2:$E$14,5,FALSE),"")</f>
        <v/>
      </c>
      <c r="H20" s="11">
        <f>IF(G20="","",E20*G20)</f>
        <v/>
      </c>
    </row>
    <row r="21">
      <c r="A21" s="2" t="inlineStr">
        <is>
          <t>Iced</t>
        </is>
      </c>
      <c r="B21" s="2" t="inlineStr">
        <is>
          <t>Ube Latte</t>
        </is>
      </c>
      <c r="C21" s="10" t="n">
        <v>110</v>
      </c>
      <c r="D21" s="2" t="inlineStr">
        <is>
          <t>Coffee</t>
        </is>
      </c>
      <c r="E21" s="10" t="n">
        <v>18</v>
      </c>
      <c r="F21" s="2" t="inlineStr">
        <is>
          <t>g</t>
        </is>
      </c>
      <c r="G21" s="9">
        <f>IFERROR(VLOOKUP(D21,'Unit Costs'!$A$2:$E$14,5,FALSE),"")</f>
        <v/>
      </c>
      <c r="H21" s="11">
        <f>IF(G21="","",E21*G21)</f>
        <v/>
      </c>
    </row>
    <row r="22">
      <c r="A22" s="2" t="inlineStr">
        <is>
          <t>Iced</t>
        </is>
      </c>
      <c r="B22" s="2" t="inlineStr">
        <is>
          <t>Ube Latte</t>
        </is>
      </c>
      <c r="C22" s="10" t="n">
        <v>110</v>
      </c>
      <c r="D22" s="2" t="inlineStr">
        <is>
          <t>Milk</t>
        </is>
      </c>
      <c r="E22" s="10" t="n">
        <v>150</v>
      </c>
      <c r="F22" s="2" t="inlineStr">
        <is>
          <t>ml</t>
        </is>
      </c>
      <c r="G22" s="9">
        <f>IFERROR(VLOOKUP(D22,'Unit Costs'!$A$2:$E$14,5,FALSE),"")</f>
        <v/>
      </c>
      <c r="H22" s="11">
        <f>IF(G22="","",E22*G22)</f>
        <v/>
      </c>
    </row>
    <row r="23">
      <c r="A23" s="2" t="inlineStr">
        <is>
          <t>Iced</t>
        </is>
      </c>
      <c r="B23" s="2" t="inlineStr">
        <is>
          <t>Ube Latte</t>
        </is>
      </c>
      <c r="C23" s="10" t="n">
        <v>110</v>
      </c>
      <c r="D23" s="2" t="inlineStr">
        <is>
          <t>Ice</t>
        </is>
      </c>
      <c r="E23" s="10" t="n">
        <v>100</v>
      </c>
      <c r="F23" s="2" t="inlineStr">
        <is>
          <t>g</t>
        </is>
      </c>
      <c r="G23" s="9">
        <f>IFERROR(VLOOKUP(D23,'Unit Costs'!$A$2:$E$14,5,FALSE),"")</f>
        <v/>
      </c>
      <c r="H23" s="11">
        <f>IF(G23="","",E23*G23)</f>
        <v/>
      </c>
    </row>
    <row r="24">
      <c r="A24" s="2" t="inlineStr">
        <is>
          <t>Iced</t>
        </is>
      </c>
      <c r="B24" s="2" t="inlineStr">
        <is>
          <t>Ube Latte</t>
        </is>
      </c>
      <c r="C24" s="10" t="n">
        <v>110</v>
      </c>
      <c r="D24" s="2" t="inlineStr">
        <is>
          <t>Condensed milk</t>
        </is>
      </c>
      <c r="E24" s="10" t="n">
        <v>30</v>
      </c>
      <c r="F24" s="2" t="inlineStr">
        <is>
          <t>g</t>
        </is>
      </c>
      <c r="G24" s="9">
        <f>IFERROR(VLOOKUP(D24,'Unit Costs'!$A$2:$E$14,5,FALSE),"")</f>
        <v/>
      </c>
      <c r="H24" s="11">
        <f>IF(G24="","",E24*G24)</f>
        <v/>
      </c>
    </row>
    <row r="25">
      <c r="A25" s="2" t="inlineStr">
        <is>
          <t>Iced</t>
        </is>
      </c>
      <c r="B25" s="2" t="inlineStr">
        <is>
          <t>Ube Latte</t>
        </is>
      </c>
      <c r="C25" s="10" t="n">
        <v>110</v>
      </c>
      <c r="D25" s="2" t="inlineStr">
        <is>
          <t>Ube powder</t>
        </is>
      </c>
      <c r="E25" s="10" t="n">
        <v>8</v>
      </c>
      <c r="F25" s="2" t="inlineStr">
        <is>
          <t>g</t>
        </is>
      </c>
      <c r="G25" s="9">
        <f>IFERROR(VLOOKUP(D25,'Unit Costs'!$A$2:$E$14,5,FALSE),"")</f>
        <v/>
      </c>
      <c r="H25" s="11">
        <f>IF(G25="","",E25*G25)</f>
        <v/>
      </c>
    </row>
    <row r="26">
      <c r="A26" s="2" t="inlineStr">
        <is>
          <t>Iced</t>
        </is>
      </c>
      <c r="B26" s="2" t="inlineStr">
        <is>
          <t>Ube Latte</t>
        </is>
      </c>
      <c r="C26" s="10" t="n">
        <v>110</v>
      </c>
      <c r="D26" s="2" t="inlineStr">
        <is>
          <t>Cup</t>
        </is>
      </c>
      <c r="E26" s="10" t="n">
        <v>1</v>
      </c>
      <c r="F26" s="2" t="inlineStr">
        <is>
          <t>pc</t>
        </is>
      </c>
      <c r="G26" s="9">
        <f>IFERROR(VLOOKUP(D26,'Unit Costs'!$A$2:$E$14,5,FALSE),"")</f>
        <v/>
      </c>
      <c r="H26" s="11">
        <f>IF(G26="","",E26*G26)</f>
        <v/>
      </c>
    </row>
    <row r="27">
      <c r="A27" s="2" t="inlineStr">
        <is>
          <t>Iced</t>
        </is>
      </c>
      <c r="B27" s="2" t="inlineStr">
        <is>
          <t>Ube Latte</t>
        </is>
      </c>
      <c r="C27" s="10" t="n">
        <v>110</v>
      </c>
      <c r="D27" s="2" t="inlineStr">
        <is>
          <t>Lid</t>
        </is>
      </c>
      <c r="E27" s="10" t="n">
        <v>1</v>
      </c>
      <c r="F27" s="2" t="inlineStr">
        <is>
          <t>pc</t>
        </is>
      </c>
      <c r="G27" s="9">
        <f>IFERROR(VLOOKUP(D27,'Unit Costs'!$A$2:$E$14,5,FALSE),"")</f>
        <v/>
      </c>
      <c r="H27" s="11">
        <f>IF(G27="","",E27*G27)</f>
        <v/>
      </c>
    </row>
    <row r="28">
      <c r="A28" s="2" t="inlineStr">
        <is>
          <t>Iced</t>
        </is>
      </c>
      <c r="B28" s="2" t="inlineStr">
        <is>
          <t>Ube Latte</t>
        </is>
      </c>
      <c r="C28" s="10" t="n">
        <v>110</v>
      </c>
      <c r="D28" s="2" t="inlineStr">
        <is>
          <t>Straw</t>
        </is>
      </c>
      <c r="E28" s="10" t="n">
        <v>1</v>
      </c>
      <c r="F28" s="2" t="inlineStr">
        <is>
          <t>pc</t>
        </is>
      </c>
      <c r="G28" s="9">
        <f>IFERROR(VLOOKUP(D28,'Unit Costs'!$A$2:$E$14,5,FALSE),"")</f>
        <v/>
      </c>
      <c r="H28" s="11">
        <f>IF(G28="","",E28*G28)</f>
        <v/>
      </c>
    </row>
    <row r="29">
      <c r="A29" s="2" t="inlineStr">
        <is>
          <t>Iced</t>
        </is>
      </c>
      <c r="B29" s="2" t="inlineStr">
        <is>
          <t>Mocha Latte</t>
        </is>
      </c>
      <c r="C29" s="10" t="n">
        <v>110</v>
      </c>
      <c r="D29" s="2" t="inlineStr">
        <is>
          <t>Coffee</t>
        </is>
      </c>
      <c r="E29" s="10" t="n">
        <v>18</v>
      </c>
      <c r="F29" s="2" t="inlineStr">
        <is>
          <t>g</t>
        </is>
      </c>
      <c r="G29" s="9">
        <f>IFERROR(VLOOKUP(D29,'Unit Costs'!$A$2:$E$14,5,FALSE),"")</f>
        <v/>
      </c>
      <c r="H29" s="11">
        <f>IF(G29="","",E29*G29)</f>
        <v/>
      </c>
    </row>
    <row r="30">
      <c r="A30" s="2" t="inlineStr">
        <is>
          <t>Iced</t>
        </is>
      </c>
      <c r="B30" s="2" t="inlineStr">
        <is>
          <t>Mocha Latte</t>
        </is>
      </c>
      <c r="C30" s="10" t="n">
        <v>110</v>
      </c>
      <c r="D30" s="2" t="inlineStr">
        <is>
          <t>Milk</t>
        </is>
      </c>
      <c r="E30" s="10" t="n">
        <v>150</v>
      </c>
      <c r="F30" s="2" t="inlineStr">
        <is>
          <t>ml</t>
        </is>
      </c>
      <c r="G30" s="9">
        <f>IFERROR(VLOOKUP(D30,'Unit Costs'!$A$2:$E$14,5,FALSE),"")</f>
        <v/>
      </c>
      <c r="H30" s="11">
        <f>IF(G30="","",E30*G30)</f>
        <v/>
      </c>
    </row>
    <row r="31">
      <c r="A31" s="2" t="inlineStr">
        <is>
          <t>Iced</t>
        </is>
      </c>
      <c r="B31" s="2" t="inlineStr">
        <is>
          <t>Mocha Latte</t>
        </is>
      </c>
      <c r="C31" s="10" t="n">
        <v>110</v>
      </c>
      <c r="D31" s="2" t="inlineStr">
        <is>
          <t>Ice</t>
        </is>
      </c>
      <c r="E31" s="10" t="n">
        <v>100</v>
      </c>
      <c r="F31" s="2" t="inlineStr">
        <is>
          <t>g</t>
        </is>
      </c>
      <c r="G31" s="9">
        <f>IFERROR(VLOOKUP(D31,'Unit Costs'!$A$2:$E$14,5,FALSE),"")</f>
        <v/>
      </c>
      <c r="H31" s="11">
        <f>IF(G31="","",E31*G31)</f>
        <v/>
      </c>
    </row>
    <row r="32">
      <c r="A32" s="2" t="inlineStr">
        <is>
          <t>Iced</t>
        </is>
      </c>
      <c r="B32" s="2" t="inlineStr">
        <is>
          <t>Mocha Latte</t>
        </is>
      </c>
      <c r="C32" s="10" t="n">
        <v>110</v>
      </c>
      <c r="D32" s="2" t="inlineStr">
        <is>
          <t>Condensed milk</t>
        </is>
      </c>
      <c r="E32" s="10" t="n">
        <v>30</v>
      </c>
      <c r="F32" s="2" t="inlineStr">
        <is>
          <t>g</t>
        </is>
      </c>
      <c r="G32" s="9">
        <f>IFERROR(VLOOKUP(D32,'Unit Costs'!$A$2:$E$14,5,FALSE),"")</f>
        <v/>
      </c>
      <c r="H32" s="11">
        <f>IF(G32="","",E32*G32)</f>
        <v/>
      </c>
    </row>
    <row r="33">
      <c r="A33" s="2" t="inlineStr">
        <is>
          <t>Iced</t>
        </is>
      </c>
      <c r="B33" s="2" t="inlineStr">
        <is>
          <t>Mocha Latte</t>
        </is>
      </c>
      <c r="C33" s="10" t="n">
        <v>110</v>
      </c>
      <c r="D33" s="2" t="inlineStr">
        <is>
          <t>Chocolate Syrup</t>
        </is>
      </c>
      <c r="E33" s="10" t="n">
        <v>35</v>
      </c>
      <c r="F33" s="2" t="inlineStr">
        <is>
          <t>g</t>
        </is>
      </c>
      <c r="G33" s="9">
        <f>IFERROR(VLOOKUP(D33,'Unit Costs'!$A$2:$E$14,5,FALSE),"")</f>
        <v/>
      </c>
      <c r="H33" s="11">
        <f>IF(G33="","",E33*G33)</f>
        <v/>
      </c>
    </row>
    <row r="34">
      <c r="A34" s="2" t="inlineStr">
        <is>
          <t>Iced</t>
        </is>
      </c>
      <c r="B34" s="2" t="inlineStr">
        <is>
          <t>Mocha Latte</t>
        </is>
      </c>
      <c r="C34" s="10" t="n">
        <v>110</v>
      </c>
      <c r="D34" s="2" t="inlineStr">
        <is>
          <t>Cup</t>
        </is>
      </c>
      <c r="E34" s="10" t="n">
        <v>1</v>
      </c>
      <c r="F34" s="2" t="inlineStr">
        <is>
          <t>pc</t>
        </is>
      </c>
      <c r="G34" s="9">
        <f>IFERROR(VLOOKUP(D34,'Unit Costs'!$A$2:$E$14,5,FALSE),"")</f>
        <v/>
      </c>
      <c r="H34" s="11">
        <f>IF(G34="","",E34*G34)</f>
        <v/>
      </c>
    </row>
    <row r="35">
      <c r="A35" s="2" t="inlineStr">
        <is>
          <t>Iced</t>
        </is>
      </c>
      <c r="B35" s="2" t="inlineStr">
        <is>
          <t>Mocha Latte</t>
        </is>
      </c>
      <c r="C35" s="10" t="n">
        <v>110</v>
      </c>
      <c r="D35" s="2" t="inlineStr">
        <is>
          <t>Lid</t>
        </is>
      </c>
      <c r="E35" s="10" t="n">
        <v>1</v>
      </c>
      <c r="F35" s="2" t="inlineStr">
        <is>
          <t>pc</t>
        </is>
      </c>
      <c r="G35" s="9">
        <f>IFERROR(VLOOKUP(D35,'Unit Costs'!$A$2:$E$14,5,FALSE),"")</f>
        <v/>
      </c>
      <c r="H35" s="11">
        <f>IF(G35="","",E35*G35)</f>
        <v/>
      </c>
    </row>
    <row r="36">
      <c r="A36" s="2" t="inlineStr">
        <is>
          <t>Iced</t>
        </is>
      </c>
      <c r="B36" s="2" t="inlineStr">
        <is>
          <t>Mocha Latte</t>
        </is>
      </c>
      <c r="C36" s="10" t="n">
        <v>110</v>
      </c>
      <c r="D36" s="2" t="inlineStr">
        <is>
          <t>Straw</t>
        </is>
      </c>
      <c r="E36" s="10" t="n">
        <v>1</v>
      </c>
      <c r="F36" s="2" t="inlineStr">
        <is>
          <t>pc</t>
        </is>
      </c>
      <c r="G36" s="9">
        <f>IFERROR(VLOOKUP(D36,'Unit Costs'!$A$2:$E$14,5,FALSE),"")</f>
        <v/>
      </c>
      <c r="H36" s="11">
        <f>IF(G36="","",E36*G36)</f>
        <v/>
      </c>
    </row>
    <row r="37">
      <c r="A37" s="2" t="inlineStr">
        <is>
          <t>Iced</t>
        </is>
      </c>
      <c r="B37" s="2" t="inlineStr">
        <is>
          <t>Caramel Macchiato</t>
        </is>
      </c>
      <c r="C37" s="10" t="n">
        <v>110</v>
      </c>
      <c r="D37" s="2" t="inlineStr">
        <is>
          <t>Coffee</t>
        </is>
      </c>
      <c r="E37" s="10" t="n">
        <v>18</v>
      </c>
      <c r="F37" s="2" t="inlineStr">
        <is>
          <t>g</t>
        </is>
      </c>
      <c r="G37" s="9">
        <f>IFERROR(VLOOKUP(D37,'Unit Costs'!$A$2:$E$14,5,FALSE),"")</f>
        <v/>
      </c>
      <c r="H37" s="11">
        <f>IF(G37="","",E37*G37)</f>
        <v/>
      </c>
    </row>
    <row r="38">
      <c r="A38" s="2" t="inlineStr">
        <is>
          <t>Iced</t>
        </is>
      </c>
      <c r="B38" s="2" t="inlineStr">
        <is>
          <t>Caramel Macchiato</t>
        </is>
      </c>
      <c r="C38" s="10" t="n">
        <v>110</v>
      </c>
      <c r="D38" s="2" t="inlineStr">
        <is>
          <t>Milk</t>
        </is>
      </c>
      <c r="E38" s="10" t="n">
        <v>150</v>
      </c>
      <c r="F38" s="2" t="inlineStr">
        <is>
          <t>ml</t>
        </is>
      </c>
      <c r="G38" s="9">
        <f>IFERROR(VLOOKUP(D38,'Unit Costs'!$A$2:$E$14,5,FALSE),"")</f>
        <v/>
      </c>
      <c r="H38" s="11">
        <f>IF(G38="","",E38*G38)</f>
        <v/>
      </c>
    </row>
    <row r="39">
      <c r="A39" s="2" t="inlineStr">
        <is>
          <t>Iced</t>
        </is>
      </c>
      <c r="B39" s="2" t="inlineStr">
        <is>
          <t>Caramel Macchiato</t>
        </is>
      </c>
      <c r="C39" s="10" t="n">
        <v>110</v>
      </c>
      <c r="D39" s="2" t="inlineStr">
        <is>
          <t>Ice</t>
        </is>
      </c>
      <c r="E39" s="10" t="n">
        <v>100</v>
      </c>
      <c r="F39" s="2" t="inlineStr">
        <is>
          <t>g</t>
        </is>
      </c>
      <c r="G39" s="9">
        <f>IFERROR(VLOOKUP(D39,'Unit Costs'!$A$2:$E$14,5,FALSE),"")</f>
        <v/>
      </c>
      <c r="H39" s="11">
        <f>IF(G39="","",E39*G39)</f>
        <v/>
      </c>
    </row>
    <row r="40">
      <c r="A40" s="2" t="inlineStr">
        <is>
          <t>Iced</t>
        </is>
      </c>
      <c r="B40" s="2" t="inlineStr">
        <is>
          <t>Caramel Macchiato</t>
        </is>
      </c>
      <c r="C40" s="10" t="n">
        <v>110</v>
      </c>
      <c r="D40" s="2" t="inlineStr">
        <is>
          <t>Condensed milk</t>
        </is>
      </c>
      <c r="E40" s="10" t="n">
        <v>30</v>
      </c>
      <c r="F40" s="2" t="inlineStr">
        <is>
          <t>g</t>
        </is>
      </c>
      <c r="G40" s="9">
        <f>IFERROR(VLOOKUP(D40,'Unit Costs'!$A$2:$E$14,5,FALSE),"")</f>
        <v/>
      </c>
      <c r="H40" s="11">
        <f>IF(G40="","",E40*G40)</f>
        <v/>
      </c>
    </row>
    <row r="41">
      <c r="A41" s="2" t="inlineStr">
        <is>
          <t>Iced</t>
        </is>
      </c>
      <c r="B41" s="2" t="inlineStr">
        <is>
          <t>Caramel Macchiato</t>
        </is>
      </c>
      <c r="C41" s="10" t="n">
        <v>110</v>
      </c>
      <c r="D41" s="2" t="inlineStr">
        <is>
          <t>Caramel Syrup</t>
        </is>
      </c>
      <c r="E41" s="10" t="n">
        <v>35</v>
      </c>
      <c r="F41" s="2" t="inlineStr">
        <is>
          <t>g</t>
        </is>
      </c>
      <c r="G41" s="9">
        <f>IFERROR(VLOOKUP(D41,'Unit Costs'!$A$2:$E$14,5,FALSE),"")</f>
        <v/>
      </c>
      <c r="H41" s="11">
        <f>IF(G41="","",E41*G41)</f>
        <v/>
      </c>
    </row>
    <row r="42">
      <c r="A42" s="2" t="inlineStr">
        <is>
          <t>Iced</t>
        </is>
      </c>
      <c r="B42" s="2" t="inlineStr">
        <is>
          <t>Caramel Macchiato</t>
        </is>
      </c>
      <c r="C42" s="10" t="n">
        <v>110</v>
      </c>
      <c r="D42" s="2" t="inlineStr">
        <is>
          <t>Cup</t>
        </is>
      </c>
      <c r="E42" s="10" t="n">
        <v>1</v>
      </c>
      <c r="F42" s="2" t="inlineStr">
        <is>
          <t>pc</t>
        </is>
      </c>
      <c r="G42" s="9">
        <f>IFERROR(VLOOKUP(D42,'Unit Costs'!$A$2:$E$14,5,FALSE),"")</f>
        <v/>
      </c>
      <c r="H42" s="11">
        <f>IF(G42="","",E42*G42)</f>
        <v/>
      </c>
    </row>
    <row r="43">
      <c r="A43" s="2" t="inlineStr">
        <is>
          <t>Iced</t>
        </is>
      </c>
      <c r="B43" s="2" t="inlineStr">
        <is>
          <t>Caramel Macchiato</t>
        </is>
      </c>
      <c r="C43" s="10" t="n">
        <v>110</v>
      </c>
      <c r="D43" s="2" t="inlineStr">
        <is>
          <t>Lid</t>
        </is>
      </c>
      <c r="E43" s="10" t="n">
        <v>1</v>
      </c>
      <c r="F43" s="2" t="inlineStr">
        <is>
          <t>pc</t>
        </is>
      </c>
      <c r="G43" s="9">
        <f>IFERROR(VLOOKUP(D43,'Unit Costs'!$A$2:$E$14,5,FALSE),"")</f>
        <v/>
      </c>
      <c r="H43" s="11">
        <f>IF(G43="","",E43*G43)</f>
        <v/>
      </c>
    </row>
    <row r="44">
      <c r="A44" s="2" t="inlineStr">
        <is>
          <t>Iced</t>
        </is>
      </c>
      <c r="B44" s="2" t="inlineStr">
        <is>
          <t>Caramel Macchiato</t>
        </is>
      </c>
      <c r="C44" s="10" t="n">
        <v>110</v>
      </c>
      <c r="D44" s="2" t="inlineStr">
        <is>
          <t>Straw</t>
        </is>
      </c>
      <c r="E44" s="10" t="n">
        <v>1</v>
      </c>
      <c r="F44" s="2" t="inlineStr">
        <is>
          <t>pc</t>
        </is>
      </c>
      <c r="G44" s="9">
        <f>IFERROR(VLOOKUP(D44,'Unit Costs'!$A$2:$E$14,5,FALSE),"")</f>
        <v/>
      </c>
      <c r="H44" s="11">
        <f>IF(G44="","",E44*G44)</f>
        <v/>
      </c>
    </row>
    <row r="45">
      <c r="A45" s="2" t="inlineStr">
        <is>
          <t>Iced</t>
        </is>
      </c>
      <c r="B45" s="2" t="inlineStr">
        <is>
          <t>Kape Sua Da</t>
        </is>
      </c>
      <c r="C45" s="10" t="n">
        <v>105</v>
      </c>
      <c r="D45" s="2" t="inlineStr">
        <is>
          <t>Coffee</t>
        </is>
      </c>
      <c r="E45" s="10" t="n">
        <v>18</v>
      </c>
      <c r="F45" s="2" t="inlineStr">
        <is>
          <t>g</t>
        </is>
      </c>
      <c r="G45" s="9">
        <f>IFERROR(VLOOKUP(D45,'Unit Costs'!$A$2:$E$14,5,FALSE),"")</f>
        <v/>
      </c>
      <c r="H45" s="11">
        <f>IF(G45="","",E45*G45)</f>
        <v/>
      </c>
    </row>
    <row r="46">
      <c r="A46" s="2" t="inlineStr">
        <is>
          <t>Iced</t>
        </is>
      </c>
      <c r="B46" s="2" t="inlineStr">
        <is>
          <t>Kape Sua Da</t>
        </is>
      </c>
      <c r="C46" s="10" t="n">
        <v>105</v>
      </c>
      <c r="D46" s="2" t="inlineStr">
        <is>
          <t>Water</t>
        </is>
      </c>
      <c r="E46" s="10" t="n">
        <v>150</v>
      </c>
      <c r="F46" s="2" t="inlineStr">
        <is>
          <t>ml</t>
        </is>
      </c>
      <c r="G46" s="9">
        <f>IFERROR(VLOOKUP(D46,'Unit Costs'!$A$2:$E$14,5,FALSE),"")</f>
        <v/>
      </c>
      <c r="H46" s="11">
        <f>IF(G46="","",E46*G46)</f>
        <v/>
      </c>
    </row>
    <row r="47">
      <c r="A47" s="2" t="inlineStr">
        <is>
          <t>Iced</t>
        </is>
      </c>
      <c r="B47" s="2" t="inlineStr">
        <is>
          <t>Kape Sua Da</t>
        </is>
      </c>
      <c r="C47" s="10" t="n">
        <v>105</v>
      </c>
      <c r="D47" s="2" t="inlineStr">
        <is>
          <t>Ice</t>
        </is>
      </c>
      <c r="E47" s="10" t="n">
        <v>100</v>
      </c>
      <c r="F47" s="2" t="inlineStr">
        <is>
          <t>g</t>
        </is>
      </c>
      <c r="G47" s="9">
        <f>IFERROR(VLOOKUP(D47,'Unit Costs'!$A$2:$E$14,5,FALSE),"")</f>
        <v/>
      </c>
      <c r="H47" s="11">
        <f>IF(G47="","",E47*G47)</f>
        <v/>
      </c>
    </row>
    <row r="48">
      <c r="A48" s="2" t="inlineStr">
        <is>
          <t>Iced</t>
        </is>
      </c>
      <c r="B48" s="2" t="inlineStr">
        <is>
          <t>Kape Sua Da</t>
        </is>
      </c>
      <c r="C48" s="10" t="n">
        <v>105</v>
      </c>
      <c r="D48" s="2" t="inlineStr">
        <is>
          <t>Condensed milk</t>
        </is>
      </c>
      <c r="E48" s="10" t="n">
        <v>30</v>
      </c>
      <c r="F48" s="2" t="inlineStr">
        <is>
          <t>g</t>
        </is>
      </c>
      <c r="G48" s="9">
        <f>IFERROR(VLOOKUP(D48,'Unit Costs'!$A$2:$E$14,5,FALSE),"")</f>
        <v/>
      </c>
      <c r="H48" s="11">
        <f>IF(G48="","",E48*G48)</f>
        <v/>
      </c>
    </row>
    <row r="49">
      <c r="A49" s="2" t="inlineStr">
        <is>
          <t>Iced</t>
        </is>
      </c>
      <c r="B49" s="2" t="inlineStr">
        <is>
          <t>Kape Sua Da</t>
        </is>
      </c>
      <c r="C49" s="10" t="n">
        <v>105</v>
      </c>
      <c r="D49" s="2" t="inlineStr">
        <is>
          <t>Cup</t>
        </is>
      </c>
      <c r="E49" s="10" t="n">
        <v>1</v>
      </c>
      <c r="F49" s="2" t="inlineStr">
        <is>
          <t>pc</t>
        </is>
      </c>
      <c r="G49" s="9">
        <f>IFERROR(VLOOKUP(D49,'Unit Costs'!$A$2:$E$14,5,FALSE),"")</f>
        <v/>
      </c>
      <c r="H49" s="11">
        <f>IF(G49="","",E49*G49)</f>
        <v/>
      </c>
    </row>
    <row r="50">
      <c r="A50" s="2" t="inlineStr">
        <is>
          <t>Iced</t>
        </is>
      </c>
      <c r="B50" s="2" t="inlineStr">
        <is>
          <t>Kape Sua Da</t>
        </is>
      </c>
      <c r="C50" s="10" t="n">
        <v>105</v>
      </c>
      <c r="D50" s="2" t="inlineStr">
        <is>
          <t>Lid</t>
        </is>
      </c>
      <c r="E50" s="10" t="n">
        <v>1</v>
      </c>
      <c r="F50" s="2" t="inlineStr">
        <is>
          <t>pc</t>
        </is>
      </c>
      <c r="G50" s="9">
        <f>IFERROR(VLOOKUP(D50,'Unit Costs'!$A$2:$E$14,5,FALSE),"")</f>
        <v/>
      </c>
      <c r="H50" s="11">
        <f>IF(G50="","",E50*G50)</f>
        <v/>
      </c>
    </row>
    <row r="51">
      <c r="A51" s="2" t="inlineStr">
        <is>
          <t>Iced</t>
        </is>
      </c>
      <c r="B51" s="2" t="inlineStr">
        <is>
          <t>Kape Sua Da</t>
        </is>
      </c>
      <c r="C51" s="10" t="n">
        <v>105</v>
      </c>
      <c r="D51" s="2" t="inlineStr">
        <is>
          <t>Straw</t>
        </is>
      </c>
      <c r="E51" s="10" t="n">
        <v>1</v>
      </c>
      <c r="F51" s="2" t="inlineStr">
        <is>
          <t>pc</t>
        </is>
      </c>
      <c r="G51" s="9">
        <f>IFERROR(VLOOKUP(D51,'Unit Costs'!$A$2:$E$14,5,FALSE),"")</f>
        <v/>
      </c>
      <c r="H51" s="11">
        <f>IF(G51="","",E51*G51)</f>
        <v/>
      </c>
    </row>
    <row r="52">
      <c r="A52" s="2" t="inlineStr">
        <is>
          <t>Hot</t>
        </is>
      </c>
      <c r="B52" s="2" t="inlineStr">
        <is>
          <t>Spanish latte</t>
        </is>
      </c>
      <c r="C52" s="10" t="n">
        <v>105</v>
      </c>
      <c r="D52" s="2" t="inlineStr">
        <is>
          <t>Coffee</t>
        </is>
      </c>
      <c r="E52" s="10" t="n">
        <v>18</v>
      </c>
      <c r="F52" s="2" t="inlineStr">
        <is>
          <t>g</t>
        </is>
      </c>
      <c r="G52" s="9">
        <f>IFERROR(VLOOKUP(D52,'Unit Costs'!$A$2:$E$14,5,FALSE),"")</f>
        <v/>
      </c>
      <c r="H52" s="11">
        <f>IF(G52="","",E52*G52)</f>
        <v/>
      </c>
    </row>
    <row r="53">
      <c r="A53" s="2" t="inlineStr">
        <is>
          <t>Hot</t>
        </is>
      </c>
      <c r="B53" s="2" t="inlineStr">
        <is>
          <t>Spanish latte</t>
        </is>
      </c>
      <c r="C53" s="10" t="n">
        <v>105</v>
      </c>
      <c r="D53" s="2" t="inlineStr">
        <is>
          <t>Milk</t>
        </is>
      </c>
      <c r="E53" s="10" t="n">
        <v>200</v>
      </c>
      <c r="F53" s="2" t="inlineStr">
        <is>
          <t>ml</t>
        </is>
      </c>
      <c r="G53" s="9">
        <f>IFERROR(VLOOKUP(D53,'Unit Costs'!$A$2:$E$14,5,FALSE),"")</f>
        <v/>
      </c>
      <c r="H53" s="11">
        <f>IF(G53="","",E53*G53)</f>
        <v/>
      </c>
    </row>
    <row r="54">
      <c r="A54" s="2" t="inlineStr">
        <is>
          <t>Hot</t>
        </is>
      </c>
      <c r="B54" s="2" t="inlineStr">
        <is>
          <t>Spanish latte</t>
        </is>
      </c>
      <c r="C54" s="10" t="n">
        <v>105</v>
      </c>
      <c r="D54" s="2" t="inlineStr">
        <is>
          <t>Condensed milk</t>
        </is>
      </c>
      <c r="E54" s="10" t="n">
        <v>30</v>
      </c>
      <c r="F54" s="2" t="inlineStr">
        <is>
          <t>g</t>
        </is>
      </c>
      <c r="G54" s="9">
        <f>IFERROR(VLOOKUP(D54,'Unit Costs'!$A$2:$E$14,5,FALSE),"")</f>
        <v/>
      </c>
      <c r="H54" s="11">
        <f>IF(G54="","",E54*G54)</f>
        <v/>
      </c>
    </row>
    <row r="55">
      <c r="A55" s="2" t="inlineStr">
        <is>
          <t>Hot</t>
        </is>
      </c>
      <c r="B55" s="2" t="inlineStr">
        <is>
          <t>Spanish latte</t>
        </is>
      </c>
      <c r="C55" s="10" t="n">
        <v>105</v>
      </c>
      <c r="D55" s="2" t="inlineStr">
        <is>
          <t>Hot Cup</t>
        </is>
      </c>
      <c r="E55" s="10" t="n">
        <v>1</v>
      </c>
      <c r="F55" s="2" t="inlineStr">
        <is>
          <t>pc</t>
        </is>
      </c>
      <c r="G55" s="9">
        <f>IFERROR(VLOOKUP(D55,'Unit Costs'!$A$2:$E$14,5,FALSE),"")</f>
        <v/>
      </c>
      <c r="H55" s="11">
        <f>IF(G55="","",E55*G55)</f>
        <v/>
      </c>
    </row>
    <row r="56">
      <c r="A56" s="2" t="inlineStr">
        <is>
          <t>Hot</t>
        </is>
      </c>
      <c r="B56" s="2" t="inlineStr">
        <is>
          <t>Spanish latte</t>
        </is>
      </c>
      <c r="C56" s="10" t="n">
        <v>105</v>
      </c>
      <c r="D56" s="2" t="inlineStr">
        <is>
          <t>Hot Lid</t>
        </is>
      </c>
      <c r="E56" s="10" t="n">
        <v>1</v>
      </c>
      <c r="F56" s="2" t="inlineStr">
        <is>
          <t>pc</t>
        </is>
      </c>
      <c r="G56" s="9">
        <f>IFERROR(VLOOKUP(D56,'Unit Costs'!$A$2:$E$14,5,FALSE),"")</f>
        <v/>
      </c>
      <c r="H56" s="11">
        <f>IF(G56="","",E56*G56)</f>
        <v/>
      </c>
    </row>
    <row r="57">
      <c r="A57" s="2" t="inlineStr">
        <is>
          <t>Hot</t>
        </is>
      </c>
      <c r="B57" s="2" t="inlineStr">
        <is>
          <t>Americano</t>
        </is>
      </c>
      <c r="C57" s="10" t="n">
        <v>70</v>
      </c>
      <c r="D57" s="2" t="inlineStr">
        <is>
          <t>Coffee</t>
        </is>
      </c>
      <c r="E57" s="10" t="n">
        <v>18</v>
      </c>
      <c r="F57" s="2" t="inlineStr">
        <is>
          <t>g</t>
        </is>
      </c>
      <c r="G57" s="9">
        <f>IFERROR(VLOOKUP(D57,'Unit Costs'!$A$2:$E$14,5,FALSE),"")</f>
        <v/>
      </c>
      <c r="H57" s="11">
        <f>IF(G57="","",E57*G57)</f>
        <v/>
      </c>
    </row>
    <row r="58">
      <c r="A58" s="2" t="inlineStr">
        <is>
          <t>Hot</t>
        </is>
      </c>
      <c r="B58" s="2" t="inlineStr">
        <is>
          <t>Americano</t>
        </is>
      </c>
      <c r="C58" s="10" t="n">
        <v>70</v>
      </c>
      <c r="D58" s="2" t="inlineStr">
        <is>
          <t>Water</t>
        </is>
      </c>
      <c r="E58" s="10" t="n">
        <v>200</v>
      </c>
      <c r="F58" s="2" t="inlineStr">
        <is>
          <t>ml</t>
        </is>
      </c>
      <c r="G58" s="9">
        <f>IFERROR(VLOOKUP(D58,'Unit Costs'!$A$2:$E$14,5,FALSE),"")</f>
        <v/>
      </c>
      <c r="H58" s="11">
        <f>IF(G58="","",E58*G58)</f>
        <v/>
      </c>
    </row>
    <row r="59">
      <c r="A59" s="2" t="inlineStr">
        <is>
          <t>Hot</t>
        </is>
      </c>
      <c r="B59" s="2" t="inlineStr">
        <is>
          <t>Americano</t>
        </is>
      </c>
      <c r="C59" s="10" t="n">
        <v>70</v>
      </c>
      <c r="D59" s="2" t="inlineStr">
        <is>
          <t>Hot Cup</t>
        </is>
      </c>
      <c r="E59" s="10" t="n">
        <v>1</v>
      </c>
      <c r="F59" s="2" t="inlineStr">
        <is>
          <t>pc</t>
        </is>
      </c>
      <c r="G59" s="9">
        <f>IFERROR(VLOOKUP(D59,'Unit Costs'!$A$2:$E$14,5,FALSE),"")</f>
        <v/>
      </c>
      <c r="H59" s="11">
        <f>IF(G59="","",E59*G59)</f>
        <v/>
      </c>
    </row>
    <row r="60">
      <c r="A60" s="2" t="inlineStr">
        <is>
          <t>Hot</t>
        </is>
      </c>
      <c r="B60" s="2" t="inlineStr">
        <is>
          <t>Americano</t>
        </is>
      </c>
      <c r="C60" s="10" t="n">
        <v>70</v>
      </c>
      <c r="D60" s="2" t="inlineStr">
        <is>
          <t>Hot Lid</t>
        </is>
      </c>
      <c r="E60" s="10" t="n">
        <v>1</v>
      </c>
      <c r="F60" s="2" t="inlineStr">
        <is>
          <t>pc</t>
        </is>
      </c>
      <c r="G60" s="9">
        <f>IFERROR(VLOOKUP(D60,'Unit Costs'!$A$2:$E$14,5,FALSE),"")</f>
        <v/>
      </c>
      <c r="H60" s="11">
        <f>IF(G60="","",E60*G60)</f>
        <v/>
      </c>
    </row>
    <row r="61">
      <c r="A61" s="2" t="inlineStr">
        <is>
          <t>Hot</t>
        </is>
      </c>
      <c r="B61" s="2" t="inlineStr">
        <is>
          <t>Latte</t>
        </is>
      </c>
      <c r="C61" s="10" t="n">
        <v>90</v>
      </c>
      <c r="D61" s="2" t="inlineStr">
        <is>
          <t>Coffee</t>
        </is>
      </c>
      <c r="E61" s="10" t="n">
        <v>18</v>
      </c>
      <c r="F61" s="2" t="inlineStr">
        <is>
          <t>g</t>
        </is>
      </c>
      <c r="G61" s="9">
        <f>IFERROR(VLOOKUP(D61,'Unit Costs'!$A$2:$E$14,5,FALSE),"")</f>
        <v/>
      </c>
      <c r="H61" s="11">
        <f>IF(G61="","",E61*G61)</f>
        <v/>
      </c>
    </row>
    <row r="62">
      <c r="A62" s="2" t="inlineStr">
        <is>
          <t>Hot</t>
        </is>
      </c>
      <c r="B62" s="2" t="inlineStr">
        <is>
          <t>Latte</t>
        </is>
      </c>
      <c r="C62" s="10" t="n">
        <v>90</v>
      </c>
      <c r="D62" s="2" t="inlineStr">
        <is>
          <t>Milk</t>
        </is>
      </c>
      <c r="E62" s="10" t="n">
        <v>200</v>
      </c>
      <c r="F62" s="2" t="inlineStr">
        <is>
          <t>ml</t>
        </is>
      </c>
      <c r="G62" s="9">
        <f>IFERROR(VLOOKUP(D62,'Unit Costs'!$A$2:$E$14,5,FALSE),"")</f>
        <v/>
      </c>
      <c r="H62" s="11">
        <f>IF(G62="","",E62*G62)</f>
        <v/>
      </c>
    </row>
    <row r="63">
      <c r="A63" s="2" t="inlineStr">
        <is>
          <t>Hot</t>
        </is>
      </c>
      <c r="B63" s="2" t="inlineStr">
        <is>
          <t>Latte</t>
        </is>
      </c>
      <c r="C63" s="10" t="n">
        <v>90</v>
      </c>
      <c r="D63" s="2" t="inlineStr">
        <is>
          <t>Hot Cup</t>
        </is>
      </c>
      <c r="E63" s="10" t="n">
        <v>1</v>
      </c>
      <c r="F63" s="2" t="inlineStr">
        <is>
          <t>pc</t>
        </is>
      </c>
      <c r="G63" s="9">
        <f>IFERROR(VLOOKUP(D63,'Unit Costs'!$A$2:$E$14,5,FALSE),"")</f>
        <v/>
      </c>
      <c r="H63" s="11">
        <f>IF(G63="","",E63*G63)</f>
        <v/>
      </c>
    </row>
    <row r="64">
      <c r="A64" s="2" t="inlineStr">
        <is>
          <t>Hot</t>
        </is>
      </c>
      <c r="B64" s="2" t="inlineStr">
        <is>
          <t>Latte</t>
        </is>
      </c>
      <c r="C64" s="10" t="n">
        <v>90</v>
      </c>
      <c r="D64" s="2" t="inlineStr">
        <is>
          <t>Hot Lid</t>
        </is>
      </c>
      <c r="E64" s="10" t="n">
        <v>1</v>
      </c>
      <c r="F64" s="2" t="inlineStr">
        <is>
          <t>pc</t>
        </is>
      </c>
      <c r="G64" s="9">
        <f>IFERROR(VLOOKUP(D64,'Unit Costs'!$A$2:$E$14,5,FALSE),"")</f>
        <v/>
      </c>
      <c r="H64" s="11">
        <f>IF(G64="","",E64*G64)</f>
        <v/>
      </c>
    </row>
    <row r="65">
      <c r="A65" s="2" t="inlineStr">
        <is>
          <t>Hot</t>
        </is>
      </c>
      <c r="B65" s="2" t="inlineStr">
        <is>
          <t>Ube Latte</t>
        </is>
      </c>
      <c r="C65" s="10" t="n">
        <v>110</v>
      </c>
      <c r="D65" s="2" t="inlineStr">
        <is>
          <t>Coffee</t>
        </is>
      </c>
      <c r="E65" s="10" t="n">
        <v>18</v>
      </c>
      <c r="F65" s="2" t="inlineStr">
        <is>
          <t>g</t>
        </is>
      </c>
      <c r="G65" s="9">
        <f>IFERROR(VLOOKUP(D65,'Unit Costs'!$A$2:$E$14,5,FALSE),"")</f>
        <v/>
      </c>
      <c r="H65" s="11">
        <f>IF(G65="","",E65*G65)</f>
        <v/>
      </c>
    </row>
    <row r="66">
      <c r="A66" s="2" t="inlineStr">
        <is>
          <t>Hot</t>
        </is>
      </c>
      <c r="B66" s="2" t="inlineStr">
        <is>
          <t>Ube Latte</t>
        </is>
      </c>
      <c r="C66" s="10" t="n">
        <v>110</v>
      </c>
      <c r="D66" s="2" t="inlineStr">
        <is>
          <t>Milk</t>
        </is>
      </c>
      <c r="E66" s="10" t="n">
        <v>200</v>
      </c>
      <c r="F66" s="2" t="inlineStr">
        <is>
          <t>ml</t>
        </is>
      </c>
      <c r="G66" s="9">
        <f>IFERROR(VLOOKUP(D66,'Unit Costs'!$A$2:$E$14,5,FALSE),"")</f>
        <v/>
      </c>
      <c r="H66" s="11">
        <f>IF(G66="","",E66*G66)</f>
        <v/>
      </c>
    </row>
    <row r="67">
      <c r="A67" s="2" t="inlineStr">
        <is>
          <t>Hot</t>
        </is>
      </c>
      <c r="B67" s="2" t="inlineStr">
        <is>
          <t>Ube Latte</t>
        </is>
      </c>
      <c r="C67" s="10" t="n">
        <v>110</v>
      </c>
      <c r="D67" s="2" t="inlineStr">
        <is>
          <t>Condensed milk</t>
        </is>
      </c>
      <c r="E67" s="10" t="n">
        <v>30</v>
      </c>
      <c r="F67" s="2" t="inlineStr">
        <is>
          <t>g</t>
        </is>
      </c>
      <c r="G67" s="9">
        <f>IFERROR(VLOOKUP(D67,'Unit Costs'!$A$2:$E$14,5,FALSE),"")</f>
        <v/>
      </c>
      <c r="H67" s="11">
        <f>IF(G67="","",E67*G67)</f>
        <v/>
      </c>
    </row>
    <row r="68">
      <c r="A68" s="2" t="inlineStr">
        <is>
          <t>Hot</t>
        </is>
      </c>
      <c r="B68" s="2" t="inlineStr">
        <is>
          <t>Ube Latte</t>
        </is>
      </c>
      <c r="C68" s="10" t="n">
        <v>110</v>
      </c>
      <c r="D68" s="2" t="inlineStr">
        <is>
          <t>Ube powder</t>
        </is>
      </c>
      <c r="E68" s="10" t="n">
        <v>8</v>
      </c>
      <c r="F68" s="2" t="inlineStr">
        <is>
          <t>g</t>
        </is>
      </c>
      <c r="G68" s="9">
        <f>IFERROR(VLOOKUP(D68,'Unit Costs'!$A$2:$E$14,5,FALSE),"")</f>
        <v/>
      </c>
      <c r="H68" s="11">
        <f>IF(G68="","",E68*G68)</f>
        <v/>
      </c>
    </row>
    <row r="69">
      <c r="A69" s="2" t="inlineStr">
        <is>
          <t>Hot</t>
        </is>
      </c>
      <c r="B69" s="2" t="inlineStr">
        <is>
          <t>Ube Latte</t>
        </is>
      </c>
      <c r="C69" s="10" t="n">
        <v>110</v>
      </c>
      <c r="D69" s="2" t="inlineStr">
        <is>
          <t>Hot Cup</t>
        </is>
      </c>
      <c r="E69" s="10" t="n">
        <v>1</v>
      </c>
      <c r="F69" s="2" t="inlineStr">
        <is>
          <t>pc</t>
        </is>
      </c>
      <c r="G69" s="9">
        <f>IFERROR(VLOOKUP(D69,'Unit Costs'!$A$2:$E$14,5,FALSE),"")</f>
        <v/>
      </c>
      <c r="H69" s="11">
        <f>IF(G69="","",E69*G69)</f>
        <v/>
      </c>
    </row>
    <row r="70">
      <c r="A70" s="2" t="inlineStr">
        <is>
          <t>Hot</t>
        </is>
      </c>
      <c r="B70" s="2" t="inlineStr">
        <is>
          <t>Ube Latte</t>
        </is>
      </c>
      <c r="C70" s="10" t="n">
        <v>110</v>
      </c>
      <c r="D70" s="2" t="inlineStr">
        <is>
          <t>Hot Lid</t>
        </is>
      </c>
      <c r="E70" s="10" t="n">
        <v>1</v>
      </c>
      <c r="F70" s="2" t="inlineStr">
        <is>
          <t>pc</t>
        </is>
      </c>
      <c r="G70" s="9">
        <f>IFERROR(VLOOKUP(D70,'Unit Costs'!$A$2:$E$14,5,FALSE),"")</f>
        <v/>
      </c>
      <c r="H70" s="11">
        <f>IF(G70="","",E70*G70)</f>
        <v/>
      </c>
    </row>
    <row r="71">
      <c r="A71" s="2" t="inlineStr">
        <is>
          <t>Hot</t>
        </is>
      </c>
      <c r="B71" s="2" t="inlineStr">
        <is>
          <t>Mocha Latte</t>
        </is>
      </c>
      <c r="C71" s="10" t="n">
        <v>110</v>
      </c>
      <c r="D71" s="2" t="inlineStr">
        <is>
          <t>Coffee</t>
        </is>
      </c>
      <c r="E71" s="10" t="n">
        <v>18</v>
      </c>
      <c r="F71" s="2" t="inlineStr">
        <is>
          <t>g</t>
        </is>
      </c>
      <c r="G71" s="9">
        <f>IFERROR(VLOOKUP(D71,'Unit Costs'!$A$2:$E$14,5,FALSE),"")</f>
        <v/>
      </c>
      <c r="H71" s="11">
        <f>IF(G71="","",E71*G71)</f>
        <v/>
      </c>
    </row>
    <row r="72">
      <c r="A72" s="2" t="inlineStr">
        <is>
          <t>Hot</t>
        </is>
      </c>
      <c r="B72" s="2" t="inlineStr">
        <is>
          <t>Mocha Latte</t>
        </is>
      </c>
      <c r="C72" s="10" t="n">
        <v>110</v>
      </c>
      <c r="D72" s="2" t="inlineStr">
        <is>
          <t>Milk</t>
        </is>
      </c>
      <c r="E72" s="10" t="n">
        <v>200</v>
      </c>
      <c r="F72" s="2" t="inlineStr">
        <is>
          <t>ml</t>
        </is>
      </c>
      <c r="G72" s="9">
        <f>IFERROR(VLOOKUP(D72,'Unit Costs'!$A$2:$E$14,5,FALSE),"")</f>
        <v/>
      </c>
      <c r="H72" s="11">
        <f>IF(G72="","",E72*G72)</f>
        <v/>
      </c>
    </row>
    <row r="73">
      <c r="A73" s="2" t="inlineStr">
        <is>
          <t>Hot</t>
        </is>
      </c>
      <c r="B73" s="2" t="inlineStr">
        <is>
          <t>Mocha Latte</t>
        </is>
      </c>
      <c r="C73" s="10" t="n">
        <v>110</v>
      </c>
      <c r="D73" s="2" t="inlineStr">
        <is>
          <t>Condensed milk</t>
        </is>
      </c>
      <c r="E73" s="10" t="n">
        <v>30</v>
      </c>
      <c r="F73" s="2" t="inlineStr">
        <is>
          <t>g</t>
        </is>
      </c>
      <c r="G73" s="9">
        <f>IFERROR(VLOOKUP(D73,'Unit Costs'!$A$2:$E$14,5,FALSE),"")</f>
        <v/>
      </c>
      <c r="H73" s="11">
        <f>IF(G73="","",E73*G73)</f>
        <v/>
      </c>
    </row>
    <row r="74">
      <c r="A74" s="2" t="inlineStr">
        <is>
          <t>Hot</t>
        </is>
      </c>
      <c r="B74" s="2" t="inlineStr">
        <is>
          <t>Mocha Latte</t>
        </is>
      </c>
      <c r="C74" s="10" t="n">
        <v>110</v>
      </c>
      <c r="D74" s="2" t="inlineStr">
        <is>
          <t>Chocolate Syrup</t>
        </is>
      </c>
      <c r="E74" s="10" t="n">
        <v>35</v>
      </c>
      <c r="F74" s="2" t="inlineStr">
        <is>
          <t>g</t>
        </is>
      </c>
      <c r="G74" s="9">
        <f>IFERROR(VLOOKUP(D74,'Unit Costs'!$A$2:$E$14,5,FALSE),"")</f>
        <v/>
      </c>
      <c r="H74" s="11">
        <f>IF(G74="","",E74*G74)</f>
        <v/>
      </c>
    </row>
    <row r="75">
      <c r="A75" s="2" t="inlineStr">
        <is>
          <t>Hot</t>
        </is>
      </c>
      <c r="B75" s="2" t="inlineStr">
        <is>
          <t>Mocha Latte</t>
        </is>
      </c>
      <c r="C75" s="10" t="n">
        <v>110</v>
      </c>
      <c r="D75" s="2" t="inlineStr">
        <is>
          <t>Hot Cup</t>
        </is>
      </c>
      <c r="E75" s="10" t="n">
        <v>1</v>
      </c>
      <c r="F75" s="2" t="inlineStr">
        <is>
          <t>pc</t>
        </is>
      </c>
      <c r="G75" s="9">
        <f>IFERROR(VLOOKUP(D75,'Unit Costs'!$A$2:$E$14,5,FALSE),"")</f>
        <v/>
      </c>
      <c r="H75" s="11">
        <f>IF(G75="","",E75*G75)</f>
        <v/>
      </c>
    </row>
    <row r="76">
      <c r="A76" s="2" t="inlineStr">
        <is>
          <t>Hot</t>
        </is>
      </c>
      <c r="B76" s="2" t="inlineStr">
        <is>
          <t>Mocha Latte</t>
        </is>
      </c>
      <c r="C76" s="10" t="n">
        <v>110</v>
      </c>
      <c r="D76" s="2" t="inlineStr">
        <is>
          <t>Hot Lid</t>
        </is>
      </c>
      <c r="E76" s="10" t="n">
        <v>1</v>
      </c>
      <c r="F76" s="2" t="inlineStr">
        <is>
          <t>pc</t>
        </is>
      </c>
      <c r="G76" s="9">
        <f>IFERROR(VLOOKUP(D76,'Unit Costs'!$A$2:$E$14,5,FALSE),"")</f>
        <v/>
      </c>
      <c r="H76" s="11">
        <f>IF(G76="","",E76*G76)</f>
        <v/>
      </c>
    </row>
    <row r="77">
      <c r="A77" s="2" t="inlineStr">
        <is>
          <t>Hot</t>
        </is>
      </c>
      <c r="B77" s="2" t="inlineStr">
        <is>
          <t>Caramel Macchiato</t>
        </is>
      </c>
      <c r="C77" s="10" t="n">
        <v>110</v>
      </c>
      <c r="D77" s="2" t="inlineStr">
        <is>
          <t>Coffee</t>
        </is>
      </c>
      <c r="E77" s="10" t="n">
        <v>18</v>
      </c>
      <c r="F77" s="2" t="inlineStr">
        <is>
          <t>g</t>
        </is>
      </c>
      <c r="G77" s="9">
        <f>IFERROR(VLOOKUP(D77,'Unit Costs'!$A$2:$E$14,5,FALSE),"")</f>
        <v/>
      </c>
      <c r="H77" s="11">
        <f>IF(G77="","",E77*G77)</f>
        <v/>
      </c>
    </row>
    <row r="78">
      <c r="A78" s="2" t="inlineStr">
        <is>
          <t>Hot</t>
        </is>
      </c>
      <c r="B78" s="2" t="inlineStr">
        <is>
          <t>Caramel Macchiato</t>
        </is>
      </c>
      <c r="C78" s="10" t="n">
        <v>110</v>
      </c>
      <c r="D78" s="2" t="inlineStr">
        <is>
          <t>Milk</t>
        </is>
      </c>
      <c r="E78" s="10" t="n">
        <v>200</v>
      </c>
      <c r="F78" s="2" t="inlineStr">
        <is>
          <t>ml</t>
        </is>
      </c>
      <c r="G78" s="9">
        <f>IFERROR(VLOOKUP(D78,'Unit Costs'!$A$2:$E$14,5,FALSE),"")</f>
        <v/>
      </c>
      <c r="H78" s="11">
        <f>IF(G78="","",E78*G78)</f>
        <v/>
      </c>
    </row>
    <row r="79">
      <c r="A79" s="2" t="inlineStr">
        <is>
          <t>Hot</t>
        </is>
      </c>
      <c r="B79" s="2" t="inlineStr">
        <is>
          <t>Caramel Macchiato</t>
        </is>
      </c>
      <c r="C79" s="10" t="n">
        <v>110</v>
      </c>
      <c r="D79" s="2" t="inlineStr">
        <is>
          <t>Condensed milk</t>
        </is>
      </c>
      <c r="E79" s="10" t="n">
        <v>30</v>
      </c>
      <c r="F79" s="2" t="inlineStr">
        <is>
          <t>g</t>
        </is>
      </c>
      <c r="G79" s="9">
        <f>IFERROR(VLOOKUP(D79,'Unit Costs'!$A$2:$E$14,5,FALSE),"")</f>
        <v/>
      </c>
      <c r="H79" s="11">
        <f>IF(G79="","",E79*G79)</f>
        <v/>
      </c>
    </row>
    <row r="80">
      <c r="A80" s="2" t="inlineStr">
        <is>
          <t>Hot</t>
        </is>
      </c>
      <c r="B80" s="2" t="inlineStr">
        <is>
          <t>Caramel Macchiato</t>
        </is>
      </c>
      <c r="C80" s="10" t="n">
        <v>110</v>
      </c>
      <c r="D80" s="2" t="inlineStr">
        <is>
          <t>Caramel Syrup</t>
        </is>
      </c>
      <c r="E80" s="10" t="n">
        <v>35</v>
      </c>
      <c r="F80" s="2" t="inlineStr">
        <is>
          <t>g</t>
        </is>
      </c>
      <c r="G80" s="9">
        <f>IFERROR(VLOOKUP(D80,'Unit Costs'!$A$2:$E$14,5,FALSE),"")</f>
        <v/>
      </c>
      <c r="H80" s="11">
        <f>IF(G80="","",E80*G80)</f>
        <v/>
      </c>
    </row>
    <row r="81">
      <c r="A81" s="2" t="inlineStr">
        <is>
          <t>Hot</t>
        </is>
      </c>
      <c r="B81" s="2" t="inlineStr">
        <is>
          <t>Caramel Macchiato</t>
        </is>
      </c>
      <c r="C81" s="10" t="n">
        <v>110</v>
      </c>
      <c r="D81" s="2" t="inlineStr">
        <is>
          <t>Hot Cup</t>
        </is>
      </c>
      <c r="E81" s="10" t="n">
        <v>1</v>
      </c>
      <c r="F81" s="2" t="inlineStr">
        <is>
          <t>pc</t>
        </is>
      </c>
      <c r="G81" s="9">
        <f>IFERROR(VLOOKUP(D81,'Unit Costs'!$A$2:$E$14,5,FALSE),"")</f>
        <v/>
      </c>
      <c r="H81" s="11">
        <f>IF(G81="","",E81*G81)</f>
        <v/>
      </c>
    </row>
    <row r="82">
      <c r="A82" s="2" t="inlineStr">
        <is>
          <t>Hot</t>
        </is>
      </c>
      <c r="B82" s="2" t="inlineStr">
        <is>
          <t>Caramel Macchiato</t>
        </is>
      </c>
      <c r="C82" s="10" t="n">
        <v>110</v>
      </c>
      <c r="D82" s="2" t="inlineStr">
        <is>
          <t>Hot Lid</t>
        </is>
      </c>
      <c r="E82" s="10" t="n">
        <v>1</v>
      </c>
      <c r="F82" s="2" t="inlineStr">
        <is>
          <t>pc</t>
        </is>
      </c>
      <c r="G82" s="9">
        <f>IFERROR(VLOOKUP(D82,'Unit Costs'!$A$2:$E$14,5,FALSE),"")</f>
        <v/>
      </c>
      <c r="H82" s="11">
        <f>IF(G82="","",E82*G82)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Type</t>
        </is>
      </c>
      <c r="B1" s="6" t="inlineStr">
        <is>
          <t>Recipe</t>
        </is>
      </c>
      <c r="C1" s="6" t="inlineStr">
        <is>
          <t>Selling Price</t>
        </is>
      </c>
      <c r="D1" s="6" t="inlineStr">
        <is>
          <t>Capital Per Cup</t>
        </is>
      </c>
      <c r="E1" s="6" t="inlineStr">
        <is>
          <t>Gross Profit Per Cup</t>
        </is>
      </c>
      <c r="F1" s="6" t="inlineStr">
        <is>
          <t>Profit Margin</t>
        </is>
      </c>
      <c r="G1" s="6" t="inlineStr">
        <is>
          <t>Capital % of Price</t>
        </is>
      </c>
      <c r="H1" s="6" t="inlineStr">
        <is>
          <t>Missing Cost Inputs</t>
        </is>
      </c>
      <c r="I1" s="6" t="inlineStr">
        <is>
          <t>Status</t>
        </is>
      </c>
    </row>
    <row r="2">
      <c r="A2" s="2" t="inlineStr">
        <is>
          <t>Iced</t>
        </is>
      </c>
      <c r="B2" s="2" t="inlineStr">
        <is>
          <t>Spanish latte</t>
        </is>
      </c>
      <c r="C2" s="10" t="n">
        <v>105</v>
      </c>
      <c r="D2" s="11">
        <f>IF(COUNTIFS('Cost Breakdown'!$A:$A,A2,'Cost Breakdown'!$B:$B,B2,'Cost Breakdown'!$G:$G,"")&gt;0,"",SUMIFS('Cost Breakdown'!$H:$H,'Cost Breakdown'!$A:$A,A2,'Cost Breakdown'!$B:$B,B2))</f>
        <v/>
      </c>
      <c r="E2" s="11">
        <f>IF(D2="","",C2-D2)</f>
        <v/>
      </c>
      <c r="F2" s="12">
        <f>IF(D2="","",E2/C2)</f>
        <v/>
      </c>
      <c r="G2" s="12">
        <f>IF(D2="","",D2/C2)</f>
        <v/>
      </c>
      <c r="H2" s="5">
        <f>COUNTIFS('Cost Breakdown'!$A:$A,A2,'Cost Breakdown'!$B:$B,B2,'Cost Breakdown'!$G:$G,"")</f>
        <v/>
      </c>
      <c r="I2" s="5">
        <f>IF(H2=0,"Complete","Enter unit costs")</f>
        <v/>
      </c>
    </row>
    <row r="3">
      <c r="A3" s="2" t="inlineStr">
        <is>
          <t>Iced</t>
        </is>
      </c>
      <c r="B3" s="2" t="inlineStr">
        <is>
          <t>Americano</t>
        </is>
      </c>
      <c r="C3" s="10" t="n">
        <v>70</v>
      </c>
      <c r="D3" s="11">
        <f>IF(COUNTIFS('Cost Breakdown'!$A:$A,A3,'Cost Breakdown'!$B:$B,B3,'Cost Breakdown'!$G:$G,"")&gt;0,"",SUMIFS('Cost Breakdown'!$H:$H,'Cost Breakdown'!$A:$A,A3,'Cost Breakdown'!$B:$B,B3))</f>
        <v/>
      </c>
      <c r="E3" s="11">
        <f>IF(D3="","",C3-D3)</f>
        <v/>
      </c>
      <c r="F3" s="12">
        <f>IF(D3="","",E3/C3)</f>
        <v/>
      </c>
      <c r="G3" s="12">
        <f>IF(D3="","",D3/C3)</f>
        <v/>
      </c>
      <c r="H3" s="5">
        <f>COUNTIFS('Cost Breakdown'!$A:$A,A3,'Cost Breakdown'!$B:$B,B3,'Cost Breakdown'!$G:$G,"")</f>
        <v/>
      </c>
      <c r="I3" s="5">
        <f>IF(H3=0,"Complete","Enter unit costs")</f>
        <v/>
      </c>
    </row>
    <row r="4">
      <c r="A4" s="2" t="inlineStr">
        <is>
          <t>Iced</t>
        </is>
      </c>
      <c r="B4" s="2" t="inlineStr">
        <is>
          <t>Latte</t>
        </is>
      </c>
      <c r="C4" s="10" t="n">
        <v>90</v>
      </c>
      <c r="D4" s="11">
        <f>IF(COUNTIFS('Cost Breakdown'!$A:$A,A4,'Cost Breakdown'!$B:$B,B4,'Cost Breakdown'!$G:$G,"")&gt;0,"",SUMIFS('Cost Breakdown'!$H:$H,'Cost Breakdown'!$A:$A,A4,'Cost Breakdown'!$B:$B,B4))</f>
        <v/>
      </c>
      <c r="E4" s="11">
        <f>IF(D4="","",C4-D4)</f>
        <v/>
      </c>
      <c r="F4" s="12">
        <f>IF(D4="","",E4/C4)</f>
        <v/>
      </c>
      <c r="G4" s="12">
        <f>IF(D4="","",D4/C4)</f>
        <v/>
      </c>
      <c r="H4" s="5">
        <f>COUNTIFS('Cost Breakdown'!$A:$A,A4,'Cost Breakdown'!$B:$B,B4,'Cost Breakdown'!$G:$G,"")</f>
        <v/>
      </c>
      <c r="I4" s="5">
        <f>IF(H4=0,"Complete","Enter unit costs")</f>
        <v/>
      </c>
    </row>
    <row r="5">
      <c r="A5" s="2" t="inlineStr">
        <is>
          <t>Iced</t>
        </is>
      </c>
      <c r="B5" s="2" t="inlineStr">
        <is>
          <t>Ube Latte</t>
        </is>
      </c>
      <c r="C5" s="10" t="n">
        <v>110</v>
      </c>
      <c r="D5" s="11">
        <f>IF(COUNTIFS('Cost Breakdown'!$A:$A,A5,'Cost Breakdown'!$B:$B,B5,'Cost Breakdown'!$G:$G,"")&gt;0,"",SUMIFS('Cost Breakdown'!$H:$H,'Cost Breakdown'!$A:$A,A5,'Cost Breakdown'!$B:$B,B5))</f>
        <v/>
      </c>
      <c r="E5" s="11">
        <f>IF(D5="","",C5-D5)</f>
        <v/>
      </c>
      <c r="F5" s="12">
        <f>IF(D5="","",E5/C5)</f>
        <v/>
      </c>
      <c r="G5" s="12">
        <f>IF(D5="","",D5/C5)</f>
        <v/>
      </c>
      <c r="H5" s="5">
        <f>COUNTIFS('Cost Breakdown'!$A:$A,A5,'Cost Breakdown'!$B:$B,B5,'Cost Breakdown'!$G:$G,"")</f>
        <v/>
      </c>
      <c r="I5" s="5">
        <f>IF(H5=0,"Complete","Enter unit costs")</f>
        <v/>
      </c>
    </row>
    <row r="6">
      <c r="A6" s="2" t="inlineStr">
        <is>
          <t>Iced</t>
        </is>
      </c>
      <c r="B6" s="2" t="inlineStr">
        <is>
          <t>Mocha Latte</t>
        </is>
      </c>
      <c r="C6" s="10" t="n">
        <v>110</v>
      </c>
      <c r="D6" s="11">
        <f>IF(COUNTIFS('Cost Breakdown'!$A:$A,A6,'Cost Breakdown'!$B:$B,B6,'Cost Breakdown'!$G:$G,"")&gt;0,"",SUMIFS('Cost Breakdown'!$H:$H,'Cost Breakdown'!$A:$A,A6,'Cost Breakdown'!$B:$B,B6))</f>
        <v/>
      </c>
      <c r="E6" s="11">
        <f>IF(D6="","",C6-D6)</f>
        <v/>
      </c>
      <c r="F6" s="12">
        <f>IF(D6="","",E6/C6)</f>
        <v/>
      </c>
      <c r="G6" s="12">
        <f>IF(D6="","",D6/C6)</f>
        <v/>
      </c>
      <c r="H6" s="5">
        <f>COUNTIFS('Cost Breakdown'!$A:$A,A6,'Cost Breakdown'!$B:$B,B6,'Cost Breakdown'!$G:$G,"")</f>
        <v/>
      </c>
      <c r="I6" s="5">
        <f>IF(H6=0,"Complete","Enter unit costs")</f>
        <v/>
      </c>
    </row>
    <row r="7">
      <c r="A7" s="2" t="inlineStr">
        <is>
          <t>Iced</t>
        </is>
      </c>
      <c r="B7" s="2" t="inlineStr">
        <is>
          <t>Caramel Macchiato</t>
        </is>
      </c>
      <c r="C7" s="10" t="n">
        <v>110</v>
      </c>
      <c r="D7" s="11">
        <f>IF(COUNTIFS('Cost Breakdown'!$A:$A,A7,'Cost Breakdown'!$B:$B,B7,'Cost Breakdown'!$G:$G,"")&gt;0,"",SUMIFS('Cost Breakdown'!$H:$H,'Cost Breakdown'!$A:$A,A7,'Cost Breakdown'!$B:$B,B7))</f>
        <v/>
      </c>
      <c r="E7" s="11">
        <f>IF(D7="","",C7-D7)</f>
        <v/>
      </c>
      <c r="F7" s="12">
        <f>IF(D7="","",E7/C7)</f>
        <v/>
      </c>
      <c r="G7" s="12">
        <f>IF(D7="","",D7/C7)</f>
        <v/>
      </c>
      <c r="H7" s="5">
        <f>COUNTIFS('Cost Breakdown'!$A:$A,A7,'Cost Breakdown'!$B:$B,B7,'Cost Breakdown'!$G:$G,"")</f>
        <v/>
      </c>
      <c r="I7" s="5">
        <f>IF(H7=0,"Complete","Enter unit costs")</f>
        <v/>
      </c>
    </row>
    <row r="8">
      <c r="A8" s="2" t="inlineStr">
        <is>
          <t>Iced</t>
        </is>
      </c>
      <c r="B8" s="2" t="inlineStr">
        <is>
          <t>Kape Sua Da</t>
        </is>
      </c>
      <c r="C8" s="10" t="n">
        <v>105</v>
      </c>
      <c r="D8" s="11">
        <f>IF(COUNTIFS('Cost Breakdown'!$A:$A,A8,'Cost Breakdown'!$B:$B,B8,'Cost Breakdown'!$G:$G,"")&gt;0,"",SUMIFS('Cost Breakdown'!$H:$H,'Cost Breakdown'!$A:$A,A8,'Cost Breakdown'!$B:$B,B8))</f>
        <v/>
      </c>
      <c r="E8" s="11">
        <f>IF(D8="","",C8-D8)</f>
        <v/>
      </c>
      <c r="F8" s="12">
        <f>IF(D8="","",E8/C8)</f>
        <v/>
      </c>
      <c r="G8" s="12">
        <f>IF(D8="","",D8/C8)</f>
        <v/>
      </c>
      <c r="H8" s="5">
        <f>COUNTIFS('Cost Breakdown'!$A:$A,A8,'Cost Breakdown'!$B:$B,B8,'Cost Breakdown'!$G:$G,"")</f>
        <v/>
      </c>
      <c r="I8" s="5">
        <f>IF(H8=0,"Complete","Enter unit costs")</f>
        <v/>
      </c>
    </row>
    <row r="9">
      <c r="A9" s="2" t="inlineStr">
        <is>
          <t>Hot</t>
        </is>
      </c>
      <c r="B9" s="2" t="inlineStr">
        <is>
          <t>Spanish latte</t>
        </is>
      </c>
      <c r="C9" s="10" t="n">
        <v>105</v>
      </c>
      <c r="D9" s="11">
        <f>IF(COUNTIFS('Cost Breakdown'!$A:$A,A9,'Cost Breakdown'!$B:$B,B9,'Cost Breakdown'!$G:$G,"")&gt;0,"",SUMIFS('Cost Breakdown'!$H:$H,'Cost Breakdown'!$A:$A,A9,'Cost Breakdown'!$B:$B,B9))</f>
        <v/>
      </c>
      <c r="E9" s="11">
        <f>IF(D9="","",C9-D9)</f>
        <v/>
      </c>
      <c r="F9" s="12">
        <f>IF(D9="","",E9/C9)</f>
        <v/>
      </c>
      <c r="G9" s="12">
        <f>IF(D9="","",D9/C9)</f>
        <v/>
      </c>
      <c r="H9" s="5">
        <f>COUNTIFS('Cost Breakdown'!$A:$A,A9,'Cost Breakdown'!$B:$B,B9,'Cost Breakdown'!$G:$G,"")</f>
        <v/>
      </c>
      <c r="I9" s="5">
        <f>IF(H9=0,"Complete","Enter unit costs")</f>
        <v/>
      </c>
    </row>
    <row r="10">
      <c r="A10" s="2" t="inlineStr">
        <is>
          <t>Hot</t>
        </is>
      </c>
      <c r="B10" s="2" t="inlineStr">
        <is>
          <t>Americano</t>
        </is>
      </c>
      <c r="C10" s="10" t="n">
        <v>70</v>
      </c>
      <c r="D10" s="11">
        <f>IF(COUNTIFS('Cost Breakdown'!$A:$A,A10,'Cost Breakdown'!$B:$B,B10,'Cost Breakdown'!$G:$G,"")&gt;0,"",SUMIFS('Cost Breakdown'!$H:$H,'Cost Breakdown'!$A:$A,A10,'Cost Breakdown'!$B:$B,B10))</f>
        <v/>
      </c>
      <c r="E10" s="11">
        <f>IF(D10="","",C10-D10)</f>
        <v/>
      </c>
      <c r="F10" s="12">
        <f>IF(D10="","",E10/C10)</f>
        <v/>
      </c>
      <c r="G10" s="12">
        <f>IF(D10="","",D10/C10)</f>
        <v/>
      </c>
      <c r="H10" s="5">
        <f>COUNTIFS('Cost Breakdown'!$A:$A,A10,'Cost Breakdown'!$B:$B,B10,'Cost Breakdown'!$G:$G,"")</f>
        <v/>
      </c>
      <c r="I10" s="5">
        <f>IF(H10=0,"Complete","Enter unit costs")</f>
        <v/>
      </c>
    </row>
    <row r="11">
      <c r="A11" s="2" t="inlineStr">
        <is>
          <t>Hot</t>
        </is>
      </c>
      <c r="B11" s="2" t="inlineStr">
        <is>
          <t>Latte</t>
        </is>
      </c>
      <c r="C11" s="10" t="n">
        <v>90</v>
      </c>
      <c r="D11" s="11">
        <f>IF(COUNTIFS('Cost Breakdown'!$A:$A,A11,'Cost Breakdown'!$B:$B,B11,'Cost Breakdown'!$G:$G,"")&gt;0,"",SUMIFS('Cost Breakdown'!$H:$H,'Cost Breakdown'!$A:$A,A11,'Cost Breakdown'!$B:$B,B11))</f>
        <v/>
      </c>
      <c r="E11" s="11">
        <f>IF(D11="","",C11-D11)</f>
        <v/>
      </c>
      <c r="F11" s="12">
        <f>IF(D11="","",E11/C11)</f>
        <v/>
      </c>
      <c r="G11" s="12">
        <f>IF(D11="","",D11/C11)</f>
        <v/>
      </c>
      <c r="H11" s="5">
        <f>COUNTIFS('Cost Breakdown'!$A:$A,A11,'Cost Breakdown'!$B:$B,B11,'Cost Breakdown'!$G:$G,"")</f>
        <v/>
      </c>
      <c r="I11" s="5">
        <f>IF(H11=0,"Complete","Enter unit costs")</f>
        <v/>
      </c>
    </row>
    <row r="12">
      <c r="A12" s="2" t="inlineStr">
        <is>
          <t>Hot</t>
        </is>
      </c>
      <c r="B12" s="2" t="inlineStr">
        <is>
          <t>Ube Latte</t>
        </is>
      </c>
      <c r="C12" s="10" t="n">
        <v>110</v>
      </c>
      <c r="D12" s="11">
        <f>IF(COUNTIFS('Cost Breakdown'!$A:$A,A12,'Cost Breakdown'!$B:$B,B12,'Cost Breakdown'!$G:$G,"")&gt;0,"",SUMIFS('Cost Breakdown'!$H:$H,'Cost Breakdown'!$A:$A,A12,'Cost Breakdown'!$B:$B,B12))</f>
        <v/>
      </c>
      <c r="E12" s="11">
        <f>IF(D12="","",C12-D12)</f>
        <v/>
      </c>
      <c r="F12" s="12">
        <f>IF(D12="","",E12/C12)</f>
        <v/>
      </c>
      <c r="G12" s="12">
        <f>IF(D12="","",D12/C12)</f>
        <v/>
      </c>
      <c r="H12" s="5">
        <f>COUNTIFS('Cost Breakdown'!$A:$A,A12,'Cost Breakdown'!$B:$B,B12,'Cost Breakdown'!$G:$G,"")</f>
        <v/>
      </c>
      <c r="I12" s="5">
        <f>IF(H12=0,"Complete","Enter unit costs")</f>
        <v/>
      </c>
    </row>
    <row r="13">
      <c r="A13" s="2" t="inlineStr">
        <is>
          <t>Hot</t>
        </is>
      </c>
      <c r="B13" s="2" t="inlineStr">
        <is>
          <t>Mocha Latte</t>
        </is>
      </c>
      <c r="C13" s="10" t="n">
        <v>110</v>
      </c>
      <c r="D13" s="11">
        <f>IF(COUNTIFS('Cost Breakdown'!$A:$A,A13,'Cost Breakdown'!$B:$B,B13,'Cost Breakdown'!$G:$G,"")&gt;0,"",SUMIFS('Cost Breakdown'!$H:$H,'Cost Breakdown'!$A:$A,A13,'Cost Breakdown'!$B:$B,B13))</f>
        <v/>
      </c>
      <c r="E13" s="11">
        <f>IF(D13="","",C13-D13)</f>
        <v/>
      </c>
      <c r="F13" s="12">
        <f>IF(D13="","",E13/C13)</f>
        <v/>
      </c>
      <c r="G13" s="12">
        <f>IF(D13="","",D13/C13)</f>
        <v/>
      </c>
      <c r="H13" s="5">
        <f>COUNTIFS('Cost Breakdown'!$A:$A,A13,'Cost Breakdown'!$B:$B,B13,'Cost Breakdown'!$G:$G,"")</f>
        <v/>
      </c>
      <c r="I13" s="5">
        <f>IF(H13=0,"Complete","Enter unit costs")</f>
        <v/>
      </c>
    </row>
    <row r="14">
      <c r="A14" s="2" t="inlineStr">
        <is>
          <t>Hot</t>
        </is>
      </c>
      <c r="B14" s="2" t="inlineStr">
        <is>
          <t>Caramel Macchiato</t>
        </is>
      </c>
      <c r="C14" s="10" t="n">
        <v>110</v>
      </c>
      <c r="D14" s="11">
        <f>IF(COUNTIFS('Cost Breakdown'!$A:$A,A14,'Cost Breakdown'!$B:$B,B14,'Cost Breakdown'!$G:$G,"")&gt;0,"",SUMIFS('Cost Breakdown'!$H:$H,'Cost Breakdown'!$A:$A,A14,'Cost Breakdown'!$B:$B,B14))</f>
        <v/>
      </c>
      <c r="E14" s="11">
        <f>IF(D14="","",C14-D14)</f>
        <v/>
      </c>
      <c r="F14" s="12">
        <f>IF(D14="","",E14/C14)</f>
        <v/>
      </c>
      <c r="G14" s="12">
        <f>IF(D14="","",D14/C14)</f>
        <v/>
      </c>
      <c r="H14" s="5">
        <f>COUNTIFS('Cost Breakdown'!$A:$A,A14,'Cost Breakdown'!$B:$B,B14,'Cost Breakdown'!$G:$G,"")</f>
        <v/>
      </c>
      <c r="I14" s="5">
        <f>IF(H14=0,"Complete","Enter unit costs")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2026-06-15T15:35:22Z</dcterms:created>
  <dcterms:modified xsi:type="dcterms:W3CDTF">2026-06-15T15:35:22Z</dcterms:modified>
</cp:coreProperties>
</file>