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nits" sheetId="2" state="visible" r:id="rId2"/>
    <sheet name="Items" sheetId="3" state="visible" r:id="rId3"/>
    <sheet name="Products" sheetId="4" state="visible" r:id="rId4"/>
    <sheet name="Recipe BOM" sheetId="5" state="visible" r:id="rId5"/>
    <sheet name="Product Summary" sheetId="6" state="visible" r:id="rId6"/>
  </sheets>
  <definedNames>
    <definedName name="UnitList">'Units'!$A$2:$A$13</definedName>
    <definedName name="ItemIDList">'Items'!$A$2:$A$201</definedName>
    <definedName name="ProductIDList">'Products'!$A$2:$A$201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0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UnitsTable" displayName="UnitsTable" ref="A1:E13" headerRowCount="1">
  <autoFilter ref="A1:E13"/>
  <tableColumns count="5">
    <tableColumn id="1" name="Unit"/>
    <tableColumn id="2" name="Unit Type"/>
    <tableColumn id="3" name="Base Unit"/>
    <tableColumn id="4" name="Factor to Base Unit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temsTable" displayName="ItemsTable" ref="A1:L201" headerRowCount="1">
  <autoFilter ref="A1:L201"/>
  <tableColumns count="12">
    <tableColumn id="1" name="Item ID"/>
    <tableColumn id="2" name="Item Name"/>
    <tableColumn id="3" name="Category"/>
    <tableColumn id="4" name="Base Unit"/>
    <tableColumn id="5" name="Purchase Qty"/>
    <tableColumn id="6" name="Purchase Unit"/>
    <tableColumn id="7" name="Purchase Cost"/>
    <tableColumn id="8" name="Purchase Qty in Base Unit"/>
    <tableColumn id="9" name="Waste %"/>
    <tableColumn id="10" name="Cost Per Base Unit"/>
    <tableColumn id="11" name="Status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Table" displayName="ProductsTable" ref="A1:F201" headerRowCount="1">
  <autoFilter ref="A1:F201"/>
  <tableColumns count="6">
    <tableColumn id="1" name="Product ID"/>
    <tableColumn id="2" name="Product Name"/>
    <tableColumn id="3" name="Category"/>
    <tableColumn id="4" name="Selling Price"/>
    <tableColumn id="5" name="Active?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cipeBOMTable" displayName="RecipeBOMTable" ref="A1:M1001" headerRowCount="1">
  <autoFilter ref="A1:M1001"/>
  <tableColumns count="13">
    <tableColumn id="1" name="Line ID"/>
    <tableColumn id="2" name="Product ID"/>
    <tableColumn id="3" name="Product Name"/>
    <tableColumn id="4" name="Item ID"/>
    <tableColumn id="5" name="Item Name"/>
    <tableColumn id="6" name="Quantity"/>
    <tableColumn id="7" name="Recipe Unit"/>
    <tableColumn id="8" name="Qty in Item Base Unit"/>
    <tableColumn id="9" name="Item Base Unit"/>
    <tableColumn id="10" name="Cost Per Base Unit"/>
    <tableColumn id="11" name="Line Cost"/>
    <tableColumn id="12" name="Status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SummaryTable" displayName="ProductSummaryTable" ref="A1:K201" headerRowCount="1">
  <autoFilter ref="A1:K201"/>
  <tableColumns count="11">
    <tableColumn id="1" name="Product ID"/>
    <tableColumn id="2" name="Product Name"/>
    <tableColumn id="3" name="Category"/>
    <tableColumn id="4" name="Selling Price"/>
    <tableColumn id="5" name="Capital / Total Cost"/>
    <tableColumn id="6" name="Gross Profit"/>
    <tableColumn id="7" name="Profit Margin"/>
    <tableColumn id="8" name="Cost % of Price"/>
    <tableColumn id="9" name="Recipe Lines"/>
    <tableColumn id="10" name="Issues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General Product Costing System</t>
        </is>
      </c>
      <c r="B1" s="2" t="n"/>
    </row>
    <row r="2">
      <c r="A2" s="2" t="n"/>
      <c r="B2" s="2" t="n"/>
    </row>
    <row r="3">
      <c r="A3" s="3" t="inlineStr">
        <is>
          <t>How the system works</t>
        </is>
      </c>
      <c r="B3" s="2" t="n"/>
    </row>
    <row r="4">
      <c r="A4" s="2" t="inlineStr">
        <is>
          <t>1. Update Units if you need more units or conversion factors.</t>
        </is>
      </c>
      <c r="B4" s="2" t="n"/>
    </row>
    <row r="5">
      <c r="A5" s="2" t="inlineStr">
        <is>
          <t>2. Add or update ingredients, packaging, materials, or supplies in Items.</t>
        </is>
      </c>
      <c r="B5" s="2" t="n"/>
    </row>
    <row r="6">
      <c r="A6" s="2" t="inlineStr">
        <is>
          <t>3. Add products and selling prices in Products.</t>
        </is>
      </c>
      <c r="B6" s="2" t="n"/>
    </row>
    <row r="7">
      <c r="A7" s="2" t="inlineStr">
        <is>
          <t>4. Add each product's ingredients/materials in Recipe BOM.</t>
        </is>
      </c>
      <c r="B7" s="2" t="n"/>
    </row>
    <row r="8">
      <c r="A8" s="2" t="inlineStr">
        <is>
          <t>5. Product Summary automatically calculates capital, gross profit, margin, and issues.</t>
        </is>
      </c>
      <c r="B8" s="2" t="n"/>
    </row>
    <row r="9">
      <c r="A9" s="2" t="n"/>
      <c r="B9" s="2" t="n"/>
    </row>
    <row r="10">
      <c r="A10" s="2" t="n"/>
      <c r="B10" s="2" t="n"/>
    </row>
    <row r="11">
      <c r="A11" s="3" t="inlineStr">
        <is>
          <t>Important</t>
        </is>
      </c>
      <c r="B11" s="2" t="n"/>
    </row>
    <row r="12">
      <c r="A12" s="2" t="inlineStr">
        <is>
          <t>Item costs are entered once in Items. Any recipe using that item updates when the item purchase cost changes.</t>
        </is>
      </c>
      <c r="B12" s="2" t="n"/>
    </row>
    <row r="13">
      <c r="A13" s="2" t="inlineStr">
        <is>
          <t>Product selling prices are entered once in Products. Product Summary updates when the price changes.</t>
        </is>
      </c>
      <c r="B13" s="2" t="n"/>
    </row>
    <row r="14">
      <c r="A14" s="2" t="inlineStr">
        <is>
          <t>This workbook starts empty, so you can build a new list of items, products, and recipes from scratch.</t>
        </is>
      </c>
      <c r="B14" s="2" t="n"/>
    </row>
    <row r="15">
      <c r="A15" s="2" t="inlineStr">
        <is>
          <t>Recipe units can differ from purchase units if both convert to the item's base unit. Example: buy flour by kg, use flour by g.</t>
        </is>
      </c>
      <c r="B15" s="2" t="n"/>
    </row>
    <row r="16">
      <c r="A16" s="2" t="inlineStr">
        <is>
          <t>Use the same currency everywhere.</t>
        </is>
      </c>
      <c r="B16" s="2" t="n"/>
    </row>
    <row r="17">
      <c r="A17" s="2" t="inlineStr">
        <is>
          <t>Rows are prebuilt for 200 items, 200 products, and 1000 recipe/BOM lines. Copy formulas down if you need more.</t>
        </is>
      </c>
      <c r="B17" s="2" t="n"/>
    </row>
    <row r="18">
      <c r="A18" s="2" t="n"/>
      <c r="B18" s="2" t="n"/>
    </row>
    <row r="19">
      <c r="A19" s="3" t="inlineStr">
        <is>
          <t>Color guide</t>
        </is>
      </c>
      <c r="B19" s="2" t="n"/>
    </row>
    <row r="20">
      <c r="A20" s="4" t="inlineStr">
        <is>
          <t>Yellow</t>
        </is>
      </c>
      <c r="B20" s="2" t="inlineStr">
        <is>
          <t>Input cells you edit.</t>
        </is>
      </c>
    </row>
    <row r="21">
      <c r="A21" s="5" t="inlineStr">
        <is>
          <t>Green</t>
        </is>
      </c>
      <c r="B21" s="2" t="inlineStr">
        <is>
          <t>Formula cells that calculate automatically.</t>
        </is>
      </c>
    </row>
    <row r="22">
      <c r="A22" s="6" t="inlineStr">
        <is>
          <t>Orange</t>
        </is>
      </c>
      <c r="B22" s="2" t="inlineStr">
        <is>
          <t>Notes and guidance.</t>
        </is>
      </c>
    </row>
    <row r="23">
      <c r="A23" s="7" t="inlineStr">
        <is>
          <t>Blue</t>
        </is>
      </c>
      <c r="B23" s="2" t="inlineStr">
        <is>
          <t>Table headers.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2" customWidth="1" min="5" max="5"/>
  </cols>
  <sheetData>
    <row r="1">
      <c r="A1" s="7" t="inlineStr">
        <is>
          <t>Unit</t>
        </is>
      </c>
      <c r="B1" s="7" t="inlineStr">
        <is>
          <t>Unit Type</t>
        </is>
      </c>
      <c r="C1" s="7" t="inlineStr">
        <is>
          <t>Base Unit</t>
        </is>
      </c>
      <c r="D1" s="7" t="inlineStr">
        <is>
          <t>Factor to Base Unit</t>
        </is>
      </c>
      <c r="E1" s="7" t="inlineStr">
        <is>
          <t>Notes</t>
        </is>
      </c>
    </row>
    <row r="2">
      <c r="A2" s="2" t="inlineStr">
        <is>
          <t>g</t>
        </is>
      </c>
      <c r="B2" s="2" t="inlineStr">
        <is>
          <t>Weight</t>
        </is>
      </c>
      <c r="C2" s="2" t="inlineStr">
        <is>
          <t>g</t>
        </is>
      </c>
      <c r="D2" s="8" t="n">
        <v>1</v>
      </c>
      <c r="E2" s="2" t="inlineStr">
        <is>
          <t>1 g = 1 g</t>
        </is>
      </c>
    </row>
    <row r="3">
      <c r="A3" s="2" t="inlineStr">
        <is>
          <t>kg</t>
        </is>
      </c>
      <c r="B3" s="2" t="inlineStr">
        <is>
          <t>Weight</t>
        </is>
      </c>
      <c r="C3" s="2" t="inlineStr">
        <is>
          <t>g</t>
        </is>
      </c>
      <c r="D3" s="8" t="n">
        <v>1000</v>
      </c>
      <c r="E3" s="2" t="inlineStr">
        <is>
          <t>1 kg = 1000 g</t>
        </is>
      </c>
    </row>
    <row r="4">
      <c r="A4" s="2" t="inlineStr">
        <is>
          <t>mg</t>
        </is>
      </c>
      <c r="B4" s="2" t="inlineStr">
        <is>
          <t>Weight</t>
        </is>
      </c>
      <c r="C4" s="2" t="inlineStr">
        <is>
          <t>g</t>
        </is>
      </c>
      <c r="D4" s="8" t="n">
        <v>0.001</v>
      </c>
      <c r="E4" s="2" t="inlineStr">
        <is>
          <t>1 mg = 0.001 g</t>
        </is>
      </c>
    </row>
    <row r="5">
      <c r="A5" s="2" t="inlineStr">
        <is>
          <t>oz</t>
        </is>
      </c>
      <c r="B5" s="2" t="inlineStr">
        <is>
          <t>Weight</t>
        </is>
      </c>
      <c r="C5" s="2" t="inlineStr">
        <is>
          <t>g</t>
        </is>
      </c>
      <c r="D5" s="8" t="n">
        <v>28.3495</v>
      </c>
      <c r="E5" s="2" t="inlineStr">
        <is>
          <t>1 oz = 28.3495 g</t>
        </is>
      </c>
    </row>
    <row r="6">
      <c r="A6" s="2" t="inlineStr">
        <is>
          <t>lb</t>
        </is>
      </c>
      <c r="B6" s="2" t="inlineStr">
        <is>
          <t>Weight</t>
        </is>
      </c>
      <c r="C6" s="2" t="inlineStr">
        <is>
          <t>g</t>
        </is>
      </c>
      <c r="D6" s="8" t="n">
        <v>453.592</v>
      </c>
      <c r="E6" s="2" t="inlineStr">
        <is>
          <t>1 lb = 453.592 g</t>
        </is>
      </c>
    </row>
    <row r="7">
      <c r="A7" s="2" t="inlineStr">
        <is>
          <t>ml</t>
        </is>
      </c>
      <c r="B7" s="2" t="inlineStr">
        <is>
          <t>Volume</t>
        </is>
      </c>
      <c r="C7" s="2" t="inlineStr">
        <is>
          <t>ml</t>
        </is>
      </c>
      <c r="D7" s="8" t="n">
        <v>1</v>
      </c>
      <c r="E7" s="2" t="inlineStr">
        <is>
          <t>1 ml = 1 ml</t>
        </is>
      </c>
    </row>
    <row r="8">
      <c r="A8" s="2" t="inlineStr">
        <is>
          <t>L</t>
        </is>
      </c>
      <c r="B8" s="2" t="inlineStr">
        <is>
          <t>Volume</t>
        </is>
      </c>
      <c r="C8" s="2" t="inlineStr">
        <is>
          <t>ml</t>
        </is>
      </c>
      <c r="D8" s="8" t="n">
        <v>1000</v>
      </c>
      <c r="E8" s="2" t="inlineStr">
        <is>
          <t>1 L = 1000 ml</t>
        </is>
      </c>
    </row>
    <row r="9">
      <c r="A9" s="2" t="inlineStr">
        <is>
          <t>fl oz</t>
        </is>
      </c>
      <c r="B9" s="2" t="inlineStr">
        <is>
          <t>Volume</t>
        </is>
      </c>
      <c r="C9" s="2" t="inlineStr">
        <is>
          <t>ml</t>
        </is>
      </c>
      <c r="D9" s="8" t="n">
        <v>29.5735</v>
      </c>
      <c r="E9" s="2" t="inlineStr">
        <is>
          <t>1 fl oz = 29.5735 ml</t>
        </is>
      </c>
    </row>
    <row r="10">
      <c r="A10" s="2" t="inlineStr">
        <is>
          <t>pc</t>
        </is>
      </c>
      <c r="B10" s="2" t="inlineStr">
        <is>
          <t>Count</t>
        </is>
      </c>
      <c r="C10" s="2" t="inlineStr">
        <is>
          <t>pc</t>
        </is>
      </c>
      <c r="D10" s="8" t="n">
        <v>1</v>
      </c>
      <c r="E10" s="2" t="inlineStr">
        <is>
          <t>1 pc = 1 pc</t>
        </is>
      </c>
    </row>
    <row r="11">
      <c r="A11" s="2" t="inlineStr">
        <is>
          <t>pcs</t>
        </is>
      </c>
      <c r="B11" s="2" t="inlineStr">
        <is>
          <t>Count</t>
        </is>
      </c>
      <c r="C11" s="2" t="inlineStr">
        <is>
          <t>pc</t>
        </is>
      </c>
      <c r="D11" s="8" t="n">
        <v>1</v>
      </c>
      <c r="E11" s="2" t="inlineStr">
        <is>
          <t>1 pcs = 1 pc</t>
        </is>
      </c>
    </row>
    <row r="12">
      <c r="A12" s="2" t="inlineStr">
        <is>
          <t>piece</t>
        </is>
      </c>
      <c r="B12" s="2" t="inlineStr">
        <is>
          <t>Count</t>
        </is>
      </c>
      <c r="C12" s="2" t="inlineStr">
        <is>
          <t>pc</t>
        </is>
      </c>
      <c r="D12" s="8" t="n">
        <v>1</v>
      </c>
      <c r="E12" s="2" t="inlineStr">
        <is>
          <t>1 piece = 1 pc</t>
        </is>
      </c>
    </row>
    <row r="13">
      <c r="A13" s="2" t="inlineStr">
        <is>
          <t>dozen</t>
        </is>
      </c>
      <c r="B13" s="2" t="inlineStr">
        <is>
          <t>Count</t>
        </is>
      </c>
      <c r="C13" s="2" t="inlineStr">
        <is>
          <t>pc</t>
        </is>
      </c>
      <c r="D13" s="8" t="n">
        <v>12</v>
      </c>
      <c r="E13" s="2" t="inlineStr">
        <is>
          <t>1 dozen = 12 pc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2" customWidth="1" min="4" max="4"/>
    <col width="14" customWidth="1" min="5" max="5"/>
    <col width="16" customWidth="1" min="6" max="6"/>
    <col width="14" customWidth="1" min="7" max="7"/>
    <col width="24" customWidth="1" min="8" max="8"/>
    <col width="12" customWidth="1" min="9" max="9"/>
    <col width="20" customWidth="1" min="10" max="10"/>
    <col width="18" customWidth="1" min="11" max="11"/>
    <col width="46" customWidth="1" min="12" max="12"/>
  </cols>
  <sheetData>
    <row r="1">
      <c r="A1" s="7" t="inlineStr">
        <is>
          <t>Item ID</t>
        </is>
      </c>
      <c r="B1" s="7" t="inlineStr">
        <is>
          <t>Item Name</t>
        </is>
      </c>
      <c r="C1" s="7" t="inlineStr">
        <is>
          <t>Category</t>
        </is>
      </c>
      <c r="D1" s="7" t="inlineStr">
        <is>
          <t>Base Unit</t>
        </is>
      </c>
      <c r="E1" s="7" t="inlineStr">
        <is>
          <t>Purchase Qty</t>
        </is>
      </c>
      <c r="F1" s="7" t="inlineStr">
        <is>
          <t>Purchase Unit</t>
        </is>
      </c>
      <c r="G1" s="7" t="inlineStr">
        <is>
          <t>Purchase Cost</t>
        </is>
      </c>
      <c r="H1" s="7" t="inlineStr">
        <is>
          <t>Purchase Qty in Base Unit</t>
        </is>
      </c>
      <c r="I1" s="7" t="inlineStr">
        <is>
          <t>Waste %</t>
        </is>
      </c>
      <c r="J1" s="7" t="inlineStr">
        <is>
          <t>Cost Per Base Unit</t>
        </is>
      </c>
      <c r="K1" s="7" t="inlineStr">
        <is>
          <t>Status</t>
        </is>
      </c>
      <c r="L1" s="7" t="inlineStr">
        <is>
          <t>Notes</t>
        </is>
      </c>
    </row>
    <row r="2">
      <c r="A2" s="2" t="n"/>
      <c r="B2" s="2" t="n"/>
      <c r="C2" s="2" t="n"/>
      <c r="D2" s="4" t="n"/>
      <c r="E2" s="9" t="n"/>
      <c r="F2" s="4" t="n"/>
      <c r="G2" s="9" t="n"/>
      <c r="H2" s="10">
        <f>IF(OR(E2="",F2=""),"",IFERROR(E2*VLOOKUP(F2,'Units'!$A$2:$D$13,4,FALSE),""))</f>
        <v/>
      </c>
      <c r="I2" s="11" t="n"/>
      <c r="J2" s="10">
        <f>IF(OR(G2="",H2=""),"",IFERROR(G2/(H2*(1-I2)),""))</f>
        <v/>
      </c>
      <c r="K2" s="5">
        <f>IF(AND(A2="",B2=""),"",IF(OR(A2="",B2="",D2="",E2="",F2="",G2=""),"Missing item data",IF(IFERROR(VLOOKUP(F2,'Units'!$A$2:$D$13,3,FALSE),"")&lt;&gt;D2,"Unit mismatch",IF(J2="","Check cost","OK"))))</f>
        <v/>
      </c>
      <c r="L2" s="6" t="n"/>
    </row>
    <row r="3">
      <c r="A3" s="2" t="n"/>
      <c r="B3" s="2" t="n"/>
      <c r="C3" s="2" t="n"/>
      <c r="D3" s="4" t="n"/>
      <c r="E3" s="9" t="n"/>
      <c r="F3" s="4" t="n"/>
      <c r="G3" s="9" t="n"/>
      <c r="H3" s="10">
        <f>IF(OR(E3="",F3=""),"",IFERROR(E3*VLOOKUP(F3,'Units'!$A$2:$D$13,4,FALSE),""))</f>
        <v/>
      </c>
      <c r="I3" s="11" t="n"/>
      <c r="J3" s="10">
        <f>IF(OR(G3="",H3=""),"",IFERROR(G3/(H3*(1-I3)),""))</f>
        <v/>
      </c>
      <c r="K3" s="5">
        <f>IF(AND(A3="",B3=""),"",IF(OR(A3="",B3="",D3="",E3="",F3="",G3=""),"Missing item data",IF(IFERROR(VLOOKUP(F3,'Units'!$A$2:$D$13,3,FALSE),"")&lt;&gt;D3,"Unit mismatch",IF(J3="","Check cost","OK"))))</f>
        <v/>
      </c>
      <c r="L3" s="6" t="n"/>
    </row>
    <row r="4">
      <c r="A4" s="2" t="n"/>
      <c r="B4" s="2" t="n"/>
      <c r="C4" s="2" t="n"/>
      <c r="D4" s="4" t="n"/>
      <c r="E4" s="9" t="n"/>
      <c r="F4" s="4" t="n"/>
      <c r="G4" s="9" t="n"/>
      <c r="H4" s="10">
        <f>IF(OR(E4="",F4=""),"",IFERROR(E4*VLOOKUP(F4,'Units'!$A$2:$D$13,4,FALSE),""))</f>
        <v/>
      </c>
      <c r="I4" s="11" t="n"/>
      <c r="J4" s="10">
        <f>IF(OR(G4="",H4=""),"",IFERROR(G4/(H4*(1-I4)),""))</f>
        <v/>
      </c>
      <c r="K4" s="5">
        <f>IF(AND(A4="",B4=""),"",IF(OR(A4="",B4="",D4="",E4="",F4="",G4=""),"Missing item data",IF(IFERROR(VLOOKUP(F4,'Units'!$A$2:$D$13,3,FALSE),"")&lt;&gt;D4,"Unit mismatch",IF(J4="","Check cost","OK"))))</f>
        <v/>
      </c>
      <c r="L4" s="6" t="n"/>
    </row>
    <row r="5">
      <c r="A5" s="2" t="n"/>
      <c r="B5" s="2" t="n"/>
      <c r="C5" s="2" t="n"/>
      <c r="D5" s="4" t="n"/>
      <c r="E5" s="9" t="n"/>
      <c r="F5" s="4" t="n"/>
      <c r="G5" s="9" t="n"/>
      <c r="H5" s="10">
        <f>IF(OR(E5="",F5=""),"",IFERROR(E5*VLOOKUP(F5,'Units'!$A$2:$D$13,4,FALSE),""))</f>
        <v/>
      </c>
      <c r="I5" s="11" t="n"/>
      <c r="J5" s="10">
        <f>IF(OR(G5="",H5=""),"",IFERROR(G5/(H5*(1-I5)),""))</f>
        <v/>
      </c>
      <c r="K5" s="5">
        <f>IF(AND(A5="",B5=""),"",IF(OR(A5="",B5="",D5="",E5="",F5="",G5=""),"Missing item data",IF(IFERROR(VLOOKUP(F5,'Units'!$A$2:$D$13,3,FALSE),"")&lt;&gt;D5,"Unit mismatch",IF(J5="","Check cost","OK"))))</f>
        <v/>
      </c>
      <c r="L5" s="6" t="n"/>
    </row>
    <row r="6">
      <c r="A6" s="2" t="n"/>
      <c r="B6" s="2" t="n"/>
      <c r="C6" s="2" t="n"/>
      <c r="D6" s="4" t="n"/>
      <c r="E6" s="9" t="n"/>
      <c r="F6" s="4" t="n"/>
      <c r="G6" s="9" t="n"/>
      <c r="H6" s="10">
        <f>IF(OR(E6="",F6=""),"",IFERROR(E6*VLOOKUP(F6,'Units'!$A$2:$D$13,4,FALSE),""))</f>
        <v/>
      </c>
      <c r="I6" s="11" t="n"/>
      <c r="J6" s="10">
        <f>IF(OR(G6="",H6=""),"",IFERROR(G6/(H6*(1-I6)),""))</f>
        <v/>
      </c>
      <c r="K6" s="5">
        <f>IF(AND(A6="",B6=""),"",IF(OR(A6="",B6="",D6="",E6="",F6="",G6=""),"Missing item data",IF(IFERROR(VLOOKUP(F6,'Units'!$A$2:$D$13,3,FALSE),"")&lt;&gt;D6,"Unit mismatch",IF(J6="","Check cost","OK"))))</f>
        <v/>
      </c>
      <c r="L6" s="6" t="n"/>
    </row>
    <row r="7">
      <c r="A7" s="2" t="n"/>
      <c r="B7" s="2" t="n"/>
      <c r="C7" s="2" t="n"/>
      <c r="D7" s="4" t="n"/>
      <c r="E7" s="9" t="n"/>
      <c r="F7" s="4" t="n"/>
      <c r="G7" s="9" t="n"/>
      <c r="H7" s="10">
        <f>IF(OR(E7="",F7=""),"",IFERROR(E7*VLOOKUP(F7,'Units'!$A$2:$D$13,4,FALSE),""))</f>
        <v/>
      </c>
      <c r="I7" s="11" t="n"/>
      <c r="J7" s="10">
        <f>IF(OR(G7="",H7=""),"",IFERROR(G7/(H7*(1-I7)),""))</f>
        <v/>
      </c>
      <c r="K7" s="5">
        <f>IF(AND(A7="",B7=""),"",IF(OR(A7="",B7="",D7="",E7="",F7="",G7=""),"Missing item data",IF(IFERROR(VLOOKUP(F7,'Units'!$A$2:$D$13,3,FALSE),"")&lt;&gt;D7,"Unit mismatch",IF(J7="","Check cost","OK"))))</f>
        <v/>
      </c>
      <c r="L7" s="6" t="n"/>
    </row>
    <row r="8">
      <c r="A8" s="2" t="n"/>
      <c r="B8" s="2" t="n"/>
      <c r="C8" s="2" t="n"/>
      <c r="D8" s="4" t="n"/>
      <c r="E8" s="9" t="n"/>
      <c r="F8" s="4" t="n"/>
      <c r="G8" s="9" t="n"/>
      <c r="H8" s="10">
        <f>IF(OR(E8="",F8=""),"",IFERROR(E8*VLOOKUP(F8,'Units'!$A$2:$D$13,4,FALSE),""))</f>
        <v/>
      </c>
      <c r="I8" s="11" t="n"/>
      <c r="J8" s="10">
        <f>IF(OR(G8="",H8=""),"",IFERROR(G8/(H8*(1-I8)),""))</f>
        <v/>
      </c>
      <c r="K8" s="5">
        <f>IF(AND(A8="",B8=""),"",IF(OR(A8="",B8="",D8="",E8="",F8="",G8=""),"Missing item data",IF(IFERROR(VLOOKUP(F8,'Units'!$A$2:$D$13,3,FALSE),"")&lt;&gt;D8,"Unit mismatch",IF(J8="","Check cost","OK"))))</f>
        <v/>
      </c>
      <c r="L8" s="6" t="n"/>
    </row>
    <row r="9">
      <c r="A9" s="2" t="n"/>
      <c r="B9" s="2" t="n"/>
      <c r="C9" s="2" t="n"/>
      <c r="D9" s="4" t="n"/>
      <c r="E9" s="9" t="n"/>
      <c r="F9" s="4" t="n"/>
      <c r="G9" s="9" t="n"/>
      <c r="H9" s="10">
        <f>IF(OR(E9="",F9=""),"",IFERROR(E9*VLOOKUP(F9,'Units'!$A$2:$D$13,4,FALSE),""))</f>
        <v/>
      </c>
      <c r="I9" s="11" t="n"/>
      <c r="J9" s="10">
        <f>IF(OR(G9="",H9=""),"",IFERROR(G9/(H9*(1-I9)),""))</f>
        <v/>
      </c>
      <c r="K9" s="5">
        <f>IF(AND(A9="",B9=""),"",IF(OR(A9="",B9="",D9="",E9="",F9="",G9=""),"Missing item data",IF(IFERROR(VLOOKUP(F9,'Units'!$A$2:$D$13,3,FALSE),"")&lt;&gt;D9,"Unit mismatch",IF(J9="","Check cost","OK"))))</f>
        <v/>
      </c>
      <c r="L9" s="6" t="n"/>
    </row>
    <row r="10">
      <c r="A10" s="2" t="n"/>
      <c r="B10" s="2" t="n"/>
      <c r="C10" s="2" t="n"/>
      <c r="D10" s="4" t="n"/>
      <c r="E10" s="9" t="n"/>
      <c r="F10" s="4" t="n"/>
      <c r="G10" s="9" t="n"/>
      <c r="H10" s="10">
        <f>IF(OR(E10="",F10=""),"",IFERROR(E10*VLOOKUP(F10,'Units'!$A$2:$D$13,4,FALSE),""))</f>
        <v/>
      </c>
      <c r="I10" s="11" t="n"/>
      <c r="J10" s="10">
        <f>IF(OR(G10="",H10=""),"",IFERROR(G10/(H10*(1-I10)),""))</f>
        <v/>
      </c>
      <c r="K10" s="5">
        <f>IF(AND(A10="",B10=""),"",IF(OR(A10="",B10="",D10="",E10="",F10="",G10=""),"Missing item data",IF(IFERROR(VLOOKUP(F10,'Units'!$A$2:$D$13,3,FALSE),"")&lt;&gt;D10,"Unit mismatch",IF(J10="","Check cost","OK"))))</f>
        <v/>
      </c>
      <c r="L10" s="6" t="n"/>
    </row>
    <row r="11">
      <c r="A11" s="2" t="n"/>
      <c r="B11" s="2" t="n"/>
      <c r="C11" s="2" t="n"/>
      <c r="D11" s="4" t="n"/>
      <c r="E11" s="9" t="n"/>
      <c r="F11" s="4" t="n"/>
      <c r="G11" s="9" t="n"/>
      <c r="H11" s="10">
        <f>IF(OR(E11="",F11=""),"",IFERROR(E11*VLOOKUP(F11,'Units'!$A$2:$D$13,4,FALSE),""))</f>
        <v/>
      </c>
      <c r="I11" s="11" t="n"/>
      <c r="J11" s="10">
        <f>IF(OR(G11="",H11=""),"",IFERROR(G11/(H11*(1-I11)),""))</f>
        <v/>
      </c>
      <c r="K11" s="5">
        <f>IF(AND(A11="",B11=""),"",IF(OR(A11="",B11="",D11="",E11="",F11="",G11=""),"Missing item data",IF(IFERROR(VLOOKUP(F11,'Units'!$A$2:$D$13,3,FALSE),"")&lt;&gt;D11,"Unit mismatch",IF(J11="","Check cost","OK"))))</f>
        <v/>
      </c>
      <c r="L11" s="6" t="n"/>
    </row>
    <row r="12">
      <c r="A12" s="2" t="n"/>
      <c r="B12" s="2" t="n"/>
      <c r="C12" s="2" t="n"/>
      <c r="D12" s="4" t="n"/>
      <c r="E12" s="9" t="n"/>
      <c r="F12" s="4" t="n"/>
      <c r="G12" s="9" t="n"/>
      <c r="H12" s="10">
        <f>IF(OR(E12="",F12=""),"",IFERROR(E12*VLOOKUP(F12,'Units'!$A$2:$D$13,4,FALSE),""))</f>
        <v/>
      </c>
      <c r="I12" s="11" t="n"/>
      <c r="J12" s="10">
        <f>IF(OR(G12="",H12=""),"",IFERROR(G12/(H12*(1-I12)),""))</f>
        <v/>
      </c>
      <c r="K12" s="5">
        <f>IF(AND(A12="",B12=""),"",IF(OR(A12="",B12="",D12="",E12="",F12="",G12=""),"Missing item data",IF(IFERROR(VLOOKUP(F12,'Units'!$A$2:$D$13,3,FALSE),"")&lt;&gt;D12,"Unit mismatch",IF(J12="","Check cost","OK"))))</f>
        <v/>
      </c>
      <c r="L12" s="6" t="n"/>
    </row>
    <row r="13">
      <c r="A13" s="2" t="n"/>
      <c r="B13" s="2" t="n"/>
      <c r="C13" s="2" t="n"/>
      <c r="D13" s="4" t="n"/>
      <c r="E13" s="9" t="n"/>
      <c r="F13" s="4" t="n"/>
      <c r="G13" s="9" t="n"/>
      <c r="H13" s="10">
        <f>IF(OR(E13="",F13=""),"",IFERROR(E13*VLOOKUP(F13,'Units'!$A$2:$D$13,4,FALSE),""))</f>
        <v/>
      </c>
      <c r="I13" s="11" t="n"/>
      <c r="J13" s="10">
        <f>IF(OR(G13="",H13=""),"",IFERROR(G13/(H13*(1-I13)),""))</f>
        <v/>
      </c>
      <c r="K13" s="5">
        <f>IF(AND(A13="",B13=""),"",IF(OR(A13="",B13="",D13="",E13="",F13="",G13=""),"Missing item data",IF(IFERROR(VLOOKUP(F13,'Units'!$A$2:$D$13,3,FALSE),"")&lt;&gt;D13,"Unit mismatch",IF(J13="","Check cost","OK"))))</f>
        <v/>
      </c>
      <c r="L13" s="6" t="n"/>
    </row>
    <row r="14">
      <c r="A14" s="2" t="n"/>
      <c r="B14" s="2" t="n"/>
      <c r="C14" s="2" t="n"/>
      <c r="D14" s="4" t="n"/>
      <c r="E14" s="9" t="n"/>
      <c r="F14" s="4" t="n"/>
      <c r="G14" s="9" t="n"/>
      <c r="H14" s="10">
        <f>IF(OR(E14="",F14=""),"",IFERROR(E14*VLOOKUP(F14,'Units'!$A$2:$D$13,4,FALSE),""))</f>
        <v/>
      </c>
      <c r="I14" s="11" t="n"/>
      <c r="J14" s="10">
        <f>IF(OR(G14="",H14=""),"",IFERROR(G14/(H14*(1-I14)),""))</f>
        <v/>
      </c>
      <c r="K14" s="5">
        <f>IF(AND(A14="",B14=""),"",IF(OR(A14="",B14="",D14="",E14="",F14="",G14=""),"Missing item data",IF(IFERROR(VLOOKUP(F14,'Units'!$A$2:$D$13,3,FALSE),"")&lt;&gt;D14,"Unit mismatch",IF(J14="","Check cost","OK"))))</f>
        <v/>
      </c>
      <c r="L14" s="6" t="n"/>
    </row>
    <row r="15">
      <c r="A15" s="2" t="n"/>
      <c r="B15" s="2" t="n"/>
      <c r="C15" s="2" t="n"/>
      <c r="D15" s="4" t="n"/>
      <c r="E15" s="9" t="n"/>
      <c r="F15" s="4" t="n"/>
      <c r="G15" s="9" t="n"/>
      <c r="H15" s="10">
        <f>IF(OR(E15="",F15=""),"",IFERROR(E15*VLOOKUP(F15,'Units'!$A$2:$D$13,4,FALSE),""))</f>
        <v/>
      </c>
      <c r="I15" s="11" t="n"/>
      <c r="J15" s="10">
        <f>IF(OR(G15="",H15=""),"",IFERROR(G15/(H15*(1-I15)),""))</f>
        <v/>
      </c>
      <c r="K15" s="5">
        <f>IF(AND(A15="",B15=""),"",IF(OR(A15="",B15="",D15="",E15="",F15="",G15=""),"Missing item data",IF(IFERROR(VLOOKUP(F15,'Units'!$A$2:$D$13,3,FALSE),"")&lt;&gt;D15,"Unit mismatch",IF(J15="","Check cost","OK"))))</f>
        <v/>
      </c>
      <c r="L15" s="6" t="n"/>
    </row>
    <row r="16">
      <c r="A16" s="2" t="n"/>
      <c r="B16" s="2" t="n"/>
      <c r="C16" s="2" t="n"/>
      <c r="D16" s="4" t="n"/>
      <c r="E16" s="9" t="n"/>
      <c r="F16" s="4" t="n"/>
      <c r="G16" s="9" t="n"/>
      <c r="H16" s="10">
        <f>IF(OR(E16="",F16=""),"",IFERROR(E16*VLOOKUP(F16,'Units'!$A$2:$D$13,4,FALSE),""))</f>
        <v/>
      </c>
      <c r="I16" s="11" t="n"/>
      <c r="J16" s="10">
        <f>IF(OR(G16="",H16=""),"",IFERROR(G16/(H16*(1-I16)),""))</f>
        <v/>
      </c>
      <c r="K16" s="5">
        <f>IF(AND(A16="",B16=""),"",IF(OR(A16="",B16="",D16="",E16="",F16="",G16=""),"Missing item data",IF(IFERROR(VLOOKUP(F16,'Units'!$A$2:$D$13,3,FALSE),"")&lt;&gt;D16,"Unit mismatch",IF(J16="","Check cost","OK"))))</f>
        <v/>
      </c>
      <c r="L16" s="6" t="n"/>
    </row>
    <row r="17">
      <c r="A17" s="2" t="n"/>
      <c r="B17" s="2" t="n"/>
      <c r="C17" s="2" t="n"/>
      <c r="D17" s="4" t="n"/>
      <c r="E17" s="9" t="n"/>
      <c r="F17" s="4" t="n"/>
      <c r="G17" s="9" t="n"/>
      <c r="H17" s="10">
        <f>IF(OR(E17="",F17=""),"",IFERROR(E17*VLOOKUP(F17,'Units'!$A$2:$D$13,4,FALSE),""))</f>
        <v/>
      </c>
      <c r="I17" s="11" t="n"/>
      <c r="J17" s="10">
        <f>IF(OR(G17="",H17=""),"",IFERROR(G17/(H17*(1-I17)),""))</f>
        <v/>
      </c>
      <c r="K17" s="5">
        <f>IF(AND(A17="",B17=""),"",IF(OR(A17="",B17="",D17="",E17="",F17="",G17=""),"Missing item data",IF(IFERROR(VLOOKUP(F17,'Units'!$A$2:$D$13,3,FALSE),"")&lt;&gt;D17,"Unit mismatch",IF(J17="","Check cost","OK"))))</f>
        <v/>
      </c>
      <c r="L17" s="6" t="n"/>
    </row>
    <row r="18">
      <c r="A18" s="2" t="n"/>
      <c r="B18" s="2" t="n"/>
      <c r="C18" s="2" t="n"/>
      <c r="D18" s="4" t="n"/>
      <c r="E18" s="9" t="n"/>
      <c r="F18" s="4" t="n"/>
      <c r="G18" s="9" t="n"/>
      <c r="H18" s="10">
        <f>IF(OR(E18="",F18=""),"",IFERROR(E18*VLOOKUP(F18,'Units'!$A$2:$D$13,4,FALSE),""))</f>
        <v/>
      </c>
      <c r="I18" s="11" t="n"/>
      <c r="J18" s="10">
        <f>IF(OR(G18="",H18=""),"",IFERROR(G18/(H18*(1-I18)),""))</f>
        <v/>
      </c>
      <c r="K18" s="5">
        <f>IF(AND(A18="",B18=""),"",IF(OR(A18="",B18="",D18="",E18="",F18="",G18=""),"Missing item data",IF(IFERROR(VLOOKUP(F18,'Units'!$A$2:$D$13,3,FALSE),"")&lt;&gt;D18,"Unit mismatch",IF(J18="","Check cost","OK"))))</f>
        <v/>
      </c>
      <c r="L18" s="6" t="n"/>
    </row>
    <row r="19">
      <c r="A19" s="2" t="n"/>
      <c r="B19" s="2" t="n"/>
      <c r="C19" s="2" t="n"/>
      <c r="D19" s="4" t="n"/>
      <c r="E19" s="9" t="n"/>
      <c r="F19" s="4" t="n"/>
      <c r="G19" s="9" t="n"/>
      <c r="H19" s="10">
        <f>IF(OR(E19="",F19=""),"",IFERROR(E19*VLOOKUP(F19,'Units'!$A$2:$D$13,4,FALSE),""))</f>
        <v/>
      </c>
      <c r="I19" s="11" t="n"/>
      <c r="J19" s="10">
        <f>IF(OR(G19="",H19=""),"",IFERROR(G19/(H19*(1-I19)),""))</f>
        <v/>
      </c>
      <c r="K19" s="5">
        <f>IF(AND(A19="",B19=""),"",IF(OR(A19="",B19="",D19="",E19="",F19="",G19=""),"Missing item data",IF(IFERROR(VLOOKUP(F19,'Units'!$A$2:$D$13,3,FALSE),"")&lt;&gt;D19,"Unit mismatch",IF(J19="","Check cost","OK"))))</f>
        <v/>
      </c>
      <c r="L19" s="6" t="n"/>
    </row>
    <row r="20">
      <c r="A20" s="2" t="n"/>
      <c r="B20" s="2" t="n"/>
      <c r="C20" s="2" t="n"/>
      <c r="D20" s="4" t="n"/>
      <c r="E20" s="9" t="n"/>
      <c r="F20" s="4" t="n"/>
      <c r="G20" s="9" t="n"/>
      <c r="H20" s="10">
        <f>IF(OR(E20="",F20=""),"",IFERROR(E20*VLOOKUP(F20,'Units'!$A$2:$D$13,4,FALSE),""))</f>
        <v/>
      </c>
      <c r="I20" s="11" t="n"/>
      <c r="J20" s="10">
        <f>IF(OR(G20="",H20=""),"",IFERROR(G20/(H20*(1-I20)),""))</f>
        <v/>
      </c>
      <c r="K20" s="5">
        <f>IF(AND(A20="",B20=""),"",IF(OR(A20="",B20="",D20="",E20="",F20="",G20=""),"Missing item data",IF(IFERROR(VLOOKUP(F20,'Units'!$A$2:$D$13,3,FALSE),"")&lt;&gt;D20,"Unit mismatch",IF(J20="","Check cost","OK"))))</f>
        <v/>
      </c>
      <c r="L20" s="6" t="n"/>
    </row>
    <row r="21">
      <c r="A21" s="2" t="n"/>
      <c r="B21" s="2" t="n"/>
      <c r="C21" s="2" t="n"/>
      <c r="D21" s="4" t="n"/>
      <c r="E21" s="9" t="n"/>
      <c r="F21" s="4" t="n"/>
      <c r="G21" s="9" t="n"/>
      <c r="H21" s="10">
        <f>IF(OR(E21="",F21=""),"",IFERROR(E21*VLOOKUP(F21,'Units'!$A$2:$D$13,4,FALSE),""))</f>
        <v/>
      </c>
      <c r="I21" s="11" t="n"/>
      <c r="J21" s="10">
        <f>IF(OR(G21="",H21=""),"",IFERROR(G21/(H21*(1-I21)),""))</f>
        <v/>
      </c>
      <c r="K21" s="5">
        <f>IF(AND(A21="",B21=""),"",IF(OR(A21="",B21="",D21="",E21="",F21="",G21=""),"Missing item data",IF(IFERROR(VLOOKUP(F21,'Units'!$A$2:$D$13,3,FALSE),"")&lt;&gt;D21,"Unit mismatch",IF(J21="","Check cost","OK"))))</f>
        <v/>
      </c>
      <c r="L21" s="6" t="n"/>
    </row>
    <row r="22">
      <c r="A22" s="2" t="n"/>
      <c r="B22" s="2" t="n"/>
      <c r="C22" s="2" t="n"/>
      <c r="D22" s="4" t="n"/>
      <c r="E22" s="9" t="n"/>
      <c r="F22" s="4" t="n"/>
      <c r="G22" s="9" t="n"/>
      <c r="H22" s="10">
        <f>IF(OR(E22="",F22=""),"",IFERROR(E22*VLOOKUP(F22,'Units'!$A$2:$D$13,4,FALSE),""))</f>
        <v/>
      </c>
      <c r="I22" s="11" t="n"/>
      <c r="J22" s="10">
        <f>IF(OR(G22="",H22=""),"",IFERROR(G22/(H22*(1-I22)),""))</f>
        <v/>
      </c>
      <c r="K22" s="5">
        <f>IF(AND(A22="",B22=""),"",IF(OR(A22="",B22="",D22="",E22="",F22="",G22=""),"Missing item data",IF(IFERROR(VLOOKUP(F22,'Units'!$A$2:$D$13,3,FALSE),"")&lt;&gt;D22,"Unit mismatch",IF(J22="","Check cost","OK"))))</f>
        <v/>
      </c>
      <c r="L22" s="6" t="n"/>
    </row>
    <row r="23">
      <c r="A23" s="2" t="n"/>
      <c r="B23" s="2" t="n"/>
      <c r="C23" s="2" t="n"/>
      <c r="D23" s="4" t="n"/>
      <c r="E23" s="9" t="n"/>
      <c r="F23" s="4" t="n"/>
      <c r="G23" s="9" t="n"/>
      <c r="H23" s="10">
        <f>IF(OR(E23="",F23=""),"",IFERROR(E23*VLOOKUP(F23,'Units'!$A$2:$D$13,4,FALSE),""))</f>
        <v/>
      </c>
      <c r="I23" s="11" t="n"/>
      <c r="J23" s="10">
        <f>IF(OR(G23="",H23=""),"",IFERROR(G23/(H23*(1-I23)),""))</f>
        <v/>
      </c>
      <c r="K23" s="5">
        <f>IF(AND(A23="",B23=""),"",IF(OR(A23="",B23="",D23="",E23="",F23="",G23=""),"Missing item data",IF(IFERROR(VLOOKUP(F23,'Units'!$A$2:$D$13,3,FALSE),"")&lt;&gt;D23,"Unit mismatch",IF(J23="","Check cost","OK"))))</f>
        <v/>
      </c>
      <c r="L23" s="6" t="n"/>
    </row>
    <row r="24">
      <c r="A24" s="2" t="n"/>
      <c r="B24" s="2" t="n"/>
      <c r="C24" s="2" t="n"/>
      <c r="D24" s="4" t="n"/>
      <c r="E24" s="9" t="n"/>
      <c r="F24" s="4" t="n"/>
      <c r="G24" s="9" t="n"/>
      <c r="H24" s="10">
        <f>IF(OR(E24="",F24=""),"",IFERROR(E24*VLOOKUP(F24,'Units'!$A$2:$D$13,4,FALSE),""))</f>
        <v/>
      </c>
      <c r="I24" s="11" t="n"/>
      <c r="J24" s="10">
        <f>IF(OR(G24="",H24=""),"",IFERROR(G24/(H24*(1-I24)),""))</f>
        <v/>
      </c>
      <c r="K24" s="5">
        <f>IF(AND(A24="",B24=""),"",IF(OR(A24="",B24="",D24="",E24="",F24="",G24=""),"Missing item data",IF(IFERROR(VLOOKUP(F24,'Units'!$A$2:$D$13,3,FALSE),"")&lt;&gt;D24,"Unit mismatch",IF(J24="","Check cost","OK"))))</f>
        <v/>
      </c>
      <c r="L24" s="6" t="n"/>
    </row>
    <row r="25">
      <c r="A25" s="2" t="n"/>
      <c r="B25" s="2" t="n"/>
      <c r="C25" s="2" t="n"/>
      <c r="D25" s="4" t="n"/>
      <c r="E25" s="9" t="n"/>
      <c r="F25" s="4" t="n"/>
      <c r="G25" s="9" t="n"/>
      <c r="H25" s="10">
        <f>IF(OR(E25="",F25=""),"",IFERROR(E25*VLOOKUP(F25,'Units'!$A$2:$D$13,4,FALSE),""))</f>
        <v/>
      </c>
      <c r="I25" s="11" t="n"/>
      <c r="J25" s="10">
        <f>IF(OR(G25="",H25=""),"",IFERROR(G25/(H25*(1-I25)),""))</f>
        <v/>
      </c>
      <c r="K25" s="5">
        <f>IF(AND(A25="",B25=""),"",IF(OR(A25="",B25="",D25="",E25="",F25="",G25=""),"Missing item data",IF(IFERROR(VLOOKUP(F25,'Units'!$A$2:$D$13,3,FALSE),"")&lt;&gt;D25,"Unit mismatch",IF(J25="","Check cost","OK"))))</f>
        <v/>
      </c>
      <c r="L25" s="6" t="n"/>
    </row>
    <row r="26">
      <c r="A26" s="2" t="n"/>
      <c r="B26" s="2" t="n"/>
      <c r="C26" s="2" t="n"/>
      <c r="D26" s="4" t="n"/>
      <c r="E26" s="9" t="n"/>
      <c r="F26" s="4" t="n"/>
      <c r="G26" s="9" t="n"/>
      <c r="H26" s="10">
        <f>IF(OR(E26="",F26=""),"",IFERROR(E26*VLOOKUP(F26,'Units'!$A$2:$D$13,4,FALSE),""))</f>
        <v/>
      </c>
      <c r="I26" s="11" t="n"/>
      <c r="J26" s="10">
        <f>IF(OR(G26="",H26=""),"",IFERROR(G26/(H26*(1-I26)),""))</f>
        <v/>
      </c>
      <c r="K26" s="5">
        <f>IF(AND(A26="",B26=""),"",IF(OR(A26="",B26="",D26="",E26="",F26="",G26=""),"Missing item data",IF(IFERROR(VLOOKUP(F26,'Units'!$A$2:$D$13,3,FALSE),"")&lt;&gt;D26,"Unit mismatch",IF(J26="","Check cost","OK"))))</f>
        <v/>
      </c>
      <c r="L26" s="6" t="n"/>
    </row>
    <row r="27">
      <c r="A27" s="2" t="n"/>
      <c r="B27" s="2" t="n"/>
      <c r="C27" s="2" t="n"/>
      <c r="D27" s="4" t="n"/>
      <c r="E27" s="9" t="n"/>
      <c r="F27" s="4" t="n"/>
      <c r="G27" s="9" t="n"/>
      <c r="H27" s="10">
        <f>IF(OR(E27="",F27=""),"",IFERROR(E27*VLOOKUP(F27,'Units'!$A$2:$D$13,4,FALSE),""))</f>
        <v/>
      </c>
      <c r="I27" s="11" t="n"/>
      <c r="J27" s="10">
        <f>IF(OR(G27="",H27=""),"",IFERROR(G27/(H27*(1-I27)),""))</f>
        <v/>
      </c>
      <c r="K27" s="5">
        <f>IF(AND(A27="",B27=""),"",IF(OR(A27="",B27="",D27="",E27="",F27="",G27=""),"Missing item data",IF(IFERROR(VLOOKUP(F27,'Units'!$A$2:$D$13,3,FALSE),"")&lt;&gt;D27,"Unit mismatch",IF(J27="","Check cost","OK"))))</f>
        <v/>
      </c>
      <c r="L27" s="6" t="n"/>
    </row>
    <row r="28">
      <c r="A28" s="2" t="n"/>
      <c r="B28" s="2" t="n"/>
      <c r="C28" s="2" t="n"/>
      <c r="D28" s="4" t="n"/>
      <c r="E28" s="9" t="n"/>
      <c r="F28" s="4" t="n"/>
      <c r="G28" s="9" t="n"/>
      <c r="H28" s="10">
        <f>IF(OR(E28="",F28=""),"",IFERROR(E28*VLOOKUP(F28,'Units'!$A$2:$D$13,4,FALSE),""))</f>
        <v/>
      </c>
      <c r="I28" s="11" t="n"/>
      <c r="J28" s="10">
        <f>IF(OR(G28="",H28=""),"",IFERROR(G28/(H28*(1-I28)),""))</f>
        <v/>
      </c>
      <c r="K28" s="5">
        <f>IF(AND(A28="",B28=""),"",IF(OR(A28="",B28="",D28="",E28="",F28="",G28=""),"Missing item data",IF(IFERROR(VLOOKUP(F28,'Units'!$A$2:$D$13,3,FALSE),"")&lt;&gt;D28,"Unit mismatch",IF(J28="","Check cost","OK"))))</f>
        <v/>
      </c>
      <c r="L28" s="6" t="n"/>
    </row>
    <row r="29">
      <c r="A29" s="2" t="n"/>
      <c r="B29" s="2" t="n"/>
      <c r="C29" s="2" t="n"/>
      <c r="D29" s="4" t="n"/>
      <c r="E29" s="9" t="n"/>
      <c r="F29" s="4" t="n"/>
      <c r="G29" s="9" t="n"/>
      <c r="H29" s="10">
        <f>IF(OR(E29="",F29=""),"",IFERROR(E29*VLOOKUP(F29,'Units'!$A$2:$D$13,4,FALSE),""))</f>
        <v/>
      </c>
      <c r="I29" s="11" t="n"/>
      <c r="J29" s="10">
        <f>IF(OR(G29="",H29=""),"",IFERROR(G29/(H29*(1-I29)),""))</f>
        <v/>
      </c>
      <c r="K29" s="5">
        <f>IF(AND(A29="",B29=""),"",IF(OR(A29="",B29="",D29="",E29="",F29="",G29=""),"Missing item data",IF(IFERROR(VLOOKUP(F29,'Units'!$A$2:$D$13,3,FALSE),"")&lt;&gt;D29,"Unit mismatch",IF(J29="","Check cost","OK"))))</f>
        <v/>
      </c>
      <c r="L29" s="6" t="n"/>
    </row>
    <row r="30">
      <c r="A30" s="2" t="n"/>
      <c r="B30" s="2" t="n"/>
      <c r="C30" s="2" t="n"/>
      <c r="D30" s="4" t="n"/>
      <c r="E30" s="9" t="n"/>
      <c r="F30" s="4" t="n"/>
      <c r="G30" s="9" t="n"/>
      <c r="H30" s="10">
        <f>IF(OR(E30="",F30=""),"",IFERROR(E30*VLOOKUP(F30,'Units'!$A$2:$D$13,4,FALSE),""))</f>
        <v/>
      </c>
      <c r="I30" s="11" t="n"/>
      <c r="J30" s="10">
        <f>IF(OR(G30="",H30=""),"",IFERROR(G30/(H30*(1-I30)),""))</f>
        <v/>
      </c>
      <c r="K30" s="5">
        <f>IF(AND(A30="",B30=""),"",IF(OR(A30="",B30="",D30="",E30="",F30="",G30=""),"Missing item data",IF(IFERROR(VLOOKUP(F30,'Units'!$A$2:$D$13,3,FALSE),"")&lt;&gt;D30,"Unit mismatch",IF(J30="","Check cost","OK"))))</f>
        <v/>
      </c>
      <c r="L30" s="6" t="n"/>
    </row>
    <row r="31">
      <c r="A31" s="2" t="n"/>
      <c r="B31" s="2" t="n"/>
      <c r="C31" s="2" t="n"/>
      <c r="D31" s="4" t="n"/>
      <c r="E31" s="9" t="n"/>
      <c r="F31" s="4" t="n"/>
      <c r="G31" s="9" t="n"/>
      <c r="H31" s="10">
        <f>IF(OR(E31="",F31=""),"",IFERROR(E31*VLOOKUP(F31,'Units'!$A$2:$D$13,4,FALSE),""))</f>
        <v/>
      </c>
      <c r="I31" s="11" t="n"/>
      <c r="J31" s="10">
        <f>IF(OR(G31="",H31=""),"",IFERROR(G31/(H31*(1-I31)),""))</f>
        <v/>
      </c>
      <c r="K31" s="5">
        <f>IF(AND(A31="",B31=""),"",IF(OR(A31="",B31="",D31="",E31="",F31="",G31=""),"Missing item data",IF(IFERROR(VLOOKUP(F31,'Units'!$A$2:$D$13,3,FALSE),"")&lt;&gt;D31,"Unit mismatch",IF(J31="","Check cost","OK"))))</f>
        <v/>
      </c>
      <c r="L31" s="6" t="n"/>
    </row>
    <row r="32">
      <c r="A32" s="2" t="n"/>
      <c r="B32" s="2" t="n"/>
      <c r="C32" s="2" t="n"/>
      <c r="D32" s="4" t="n"/>
      <c r="E32" s="9" t="n"/>
      <c r="F32" s="4" t="n"/>
      <c r="G32" s="9" t="n"/>
      <c r="H32" s="10">
        <f>IF(OR(E32="",F32=""),"",IFERROR(E32*VLOOKUP(F32,'Units'!$A$2:$D$13,4,FALSE),""))</f>
        <v/>
      </c>
      <c r="I32" s="11" t="n"/>
      <c r="J32" s="10">
        <f>IF(OR(G32="",H32=""),"",IFERROR(G32/(H32*(1-I32)),""))</f>
        <v/>
      </c>
      <c r="K32" s="5">
        <f>IF(AND(A32="",B32=""),"",IF(OR(A32="",B32="",D32="",E32="",F32="",G32=""),"Missing item data",IF(IFERROR(VLOOKUP(F32,'Units'!$A$2:$D$13,3,FALSE),"")&lt;&gt;D32,"Unit mismatch",IF(J32="","Check cost","OK"))))</f>
        <v/>
      </c>
      <c r="L32" s="6" t="n"/>
    </row>
    <row r="33">
      <c r="A33" s="2" t="n"/>
      <c r="B33" s="2" t="n"/>
      <c r="C33" s="2" t="n"/>
      <c r="D33" s="4" t="n"/>
      <c r="E33" s="9" t="n"/>
      <c r="F33" s="4" t="n"/>
      <c r="G33" s="9" t="n"/>
      <c r="H33" s="10">
        <f>IF(OR(E33="",F33=""),"",IFERROR(E33*VLOOKUP(F33,'Units'!$A$2:$D$13,4,FALSE),""))</f>
        <v/>
      </c>
      <c r="I33" s="11" t="n"/>
      <c r="J33" s="10">
        <f>IF(OR(G33="",H33=""),"",IFERROR(G33/(H33*(1-I33)),""))</f>
        <v/>
      </c>
      <c r="K33" s="5">
        <f>IF(AND(A33="",B33=""),"",IF(OR(A33="",B33="",D33="",E33="",F33="",G33=""),"Missing item data",IF(IFERROR(VLOOKUP(F33,'Units'!$A$2:$D$13,3,FALSE),"")&lt;&gt;D33,"Unit mismatch",IF(J33="","Check cost","OK"))))</f>
        <v/>
      </c>
      <c r="L33" s="6" t="n"/>
    </row>
    <row r="34">
      <c r="A34" s="2" t="n"/>
      <c r="B34" s="2" t="n"/>
      <c r="C34" s="2" t="n"/>
      <c r="D34" s="4" t="n"/>
      <c r="E34" s="9" t="n"/>
      <c r="F34" s="4" t="n"/>
      <c r="G34" s="9" t="n"/>
      <c r="H34" s="10">
        <f>IF(OR(E34="",F34=""),"",IFERROR(E34*VLOOKUP(F34,'Units'!$A$2:$D$13,4,FALSE),""))</f>
        <v/>
      </c>
      <c r="I34" s="11" t="n"/>
      <c r="J34" s="10">
        <f>IF(OR(G34="",H34=""),"",IFERROR(G34/(H34*(1-I34)),""))</f>
        <v/>
      </c>
      <c r="K34" s="5">
        <f>IF(AND(A34="",B34=""),"",IF(OR(A34="",B34="",D34="",E34="",F34="",G34=""),"Missing item data",IF(IFERROR(VLOOKUP(F34,'Units'!$A$2:$D$13,3,FALSE),"")&lt;&gt;D34,"Unit mismatch",IF(J34="","Check cost","OK"))))</f>
        <v/>
      </c>
      <c r="L34" s="6" t="n"/>
    </row>
    <row r="35">
      <c r="A35" s="2" t="n"/>
      <c r="B35" s="2" t="n"/>
      <c r="C35" s="2" t="n"/>
      <c r="D35" s="4" t="n"/>
      <c r="E35" s="9" t="n"/>
      <c r="F35" s="4" t="n"/>
      <c r="G35" s="9" t="n"/>
      <c r="H35" s="10">
        <f>IF(OR(E35="",F35=""),"",IFERROR(E35*VLOOKUP(F35,'Units'!$A$2:$D$13,4,FALSE),""))</f>
        <v/>
      </c>
      <c r="I35" s="11" t="n"/>
      <c r="J35" s="10">
        <f>IF(OR(G35="",H35=""),"",IFERROR(G35/(H35*(1-I35)),""))</f>
        <v/>
      </c>
      <c r="K35" s="5">
        <f>IF(AND(A35="",B35=""),"",IF(OR(A35="",B35="",D35="",E35="",F35="",G35=""),"Missing item data",IF(IFERROR(VLOOKUP(F35,'Units'!$A$2:$D$13,3,FALSE),"")&lt;&gt;D35,"Unit mismatch",IF(J35="","Check cost","OK"))))</f>
        <v/>
      </c>
      <c r="L35" s="6" t="n"/>
    </row>
    <row r="36">
      <c r="A36" s="2" t="n"/>
      <c r="B36" s="2" t="n"/>
      <c r="C36" s="2" t="n"/>
      <c r="D36" s="4" t="n"/>
      <c r="E36" s="9" t="n"/>
      <c r="F36" s="4" t="n"/>
      <c r="G36" s="9" t="n"/>
      <c r="H36" s="10">
        <f>IF(OR(E36="",F36=""),"",IFERROR(E36*VLOOKUP(F36,'Units'!$A$2:$D$13,4,FALSE),""))</f>
        <v/>
      </c>
      <c r="I36" s="11" t="n"/>
      <c r="J36" s="10">
        <f>IF(OR(G36="",H36=""),"",IFERROR(G36/(H36*(1-I36)),""))</f>
        <v/>
      </c>
      <c r="K36" s="5">
        <f>IF(AND(A36="",B36=""),"",IF(OR(A36="",B36="",D36="",E36="",F36="",G36=""),"Missing item data",IF(IFERROR(VLOOKUP(F36,'Units'!$A$2:$D$13,3,FALSE),"")&lt;&gt;D36,"Unit mismatch",IF(J36="","Check cost","OK"))))</f>
        <v/>
      </c>
      <c r="L36" s="6" t="n"/>
    </row>
    <row r="37">
      <c r="A37" s="2" t="n"/>
      <c r="B37" s="2" t="n"/>
      <c r="C37" s="2" t="n"/>
      <c r="D37" s="4" t="n"/>
      <c r="E37" s="9" t="n"/>
      <c r="F37" s="4" t="n"/>
      <c r="G37" s="9" t="n"/>
      <c r="H37" s="10">
        <f>IF(OR(E37="",F37=""),"",IFERROR(E37*VLOOKUP(F37,'Units'!$A$2:$D$13,4,FALSE),""))</f>
        <v/>
      </c>
      <c r="I37" s="11" t="n"/>
      <c r="J37" s="10">
        <f>IF(OR(G37="",H37=""),"",IFERROR(G37/(H37*(1-I37)),""))</f>
        <v/>
      </c>
      <c r="K37" s="5">
        <f>IF(AND(A37="",B37=""),"",IF(OR(A37="",B37="",D37="",E37="",F37="",G37=""),"Missing item data",IF(IFERROR(VLOOKUP(F37,'Units'!$A$2:$D$13,3,FALSE),"")&lt;&gt;D37,"Unit mismatch",IF(J37="","Check cost","OK"))))</f>
        <v/>
      </c>
      <c r="L37" s="6" t="n"/>
    </row>
    <row r="38">
      <c r="A38" s="2" t="n"/>
      <c r="B38" s="2" t="n"/>
      <c r="C38" s="2" t="n"/>
      <c r="D38" s="4" t="n"/>
      <c r="E38" s="9" t="n"/>
      <c r="F38" s="4" t="n"/>
      <c r="G38" s="9" t="n"/>
      <c r="H38" s="10">
        <f>IF(OR(E38="",F38=""),"",IFERROR(E38*VLOOKUP(F38,'Units'!$A$2:$D$13,4,FALSE),""))</f>
        <v/>
      </c>
      <c r="I38" s="11" t="n"/>
      <c r="J38" s="10">
        <f>IF(OR(G38="",H38=""),"",IFERROR(G38/(H38*(1-I38)),""))</f>
        <v/>
      </c>
      <c r="K38" s="5">
        <f>IF(AND(A38="",B38=""),"",IF(OR(A38="",B38="",D38="",E38="",F38="",G38=""),"Missing item data",IF(IFERROR(VLOOKUP(F38,'Units'!$A$2:$D$13,3,FALSE),"")&lt;&gt;D38,"Unit mismatch",IF(J38="","Check cost","OK"))))</f>
        <v/>
      </c>
      <c r="L38" s="6" t="n"/>
    </row>
    <row r="39">
      <c r="A39" s="2" t="n"/>
      <c r="B39" s="2" t="n"/>
      <c r="C39" s="2" t="n"/>
      <c r="D39" s="4" t="n"/>
      <c r="E39" s="9" t="n"/>
      <c r="F39" s="4" t="n"/>
      <c r="G39" s="9" t="n"/>
      <c r="H39" s="10">
        <f>IF(OR(E39="",F39=""),"",IFERROR(E39*VLOOKUP(F39,'Units'!$A$2:$D$13,4,FALSE),""))</f>
        <v/>
      </c>
      <c r="I39" s="11" t="n"/>
      <c r="J39" s="10">
        <f>IF(OR(G39="",H39=""),"",IFERROR(G39/(H39*(1-I39)),""))</f>
        <v/>
      </c>
      <c r="K39" s="5">
        <f>IF(AND(A39="",B39=""),"",IF(OR(A39="",B39="",D39="",E39="",F39="",G39=""),"Missing item data",IF(IFERROR(VLOOKUP(F39,'Units'!$A$2:$D$13,3,FALSE),"")&lt;&gt;D39,"Unit mismatch",IF(J39="","Check cost","OK"))))</f>
        <v/>
      </c>
      <c r="L39" s="6" t="n"/>
    </row>
    <row r="40">
      <c r="A40" s="2" t="n"/>
      <c r="B40" s="2" t="n"/>
      <c r="C40" s="2" t="n"/>
      <c r="D40" s="4" t="n"/>
      <c r="E40" s="9" t="n"/>
      <c r="F40" s="4" t="n"/>
      <c r="G40" s="9" t="n"/>
      <c r="H40" s="10">
        <f>IF(OR(E40="",F40=""),"",IFERROR(E40*VLOOKUP(F40,'Units'!$A$2:$D$13,4,FALSE),""))</f>
        <v/>
      </c>
      <c r="I40" s="11" t="n"/>
      <c r="J40" s="10">
        <f>IF(OR(G40="",H40=""),"",IFERROR(G40/(H40*(1-I40)),""))</f>
        <v/>
      </c>
      <c r="K40" s="5">
        <f>IF(AND(A40="",B40=""),"",IF(OR(A40="",B40="",D40="",E40="",F40="",G40=""),"Missing item data",IF(IFERROR(VLOOKUP(F40,'Units'!$A$2:$D$13,3,FALSE),"")&lt;&gt;D40,"Unit mismatch",IF(J40="","Check cost","OK"))))</f>
        <v/>
      </c>
      <c r="L40" s="6" t="n"/>
    </row>
    <row r="41">
      <c r="A41" s="2" t="n"/>
      <c r="B41" s="2" t="n"/>
      <c r="C41" s="2" t="n"/>
      <c r="D41" s="4" t="n"/>
      <c r="E41" s="9" t="n"/>
      <c r="F41" s="4" t="n"/>
      <c r="G41" s="9" t="n"/>
      <c r="H41" s="10">
        <f>IF(OR(E41="",F41=""),"",IFERROR(E41*VLOOKUP(F41,'Units'!$A$2:$D$13,4,FALSE),""))</f>
        <v/>
      </c>
      <c r="I41" s="11" t="n"/>
      <c r="J41" s="10">
        <f>IF(OR(G41="",H41=""),"",IFERROR(G41/(H41*(1-I41)),""))</f>
        <v/>
      </c>
      <c r="K41" s="5">
        <f>IF(AND(A41="",B41=""),"",IF(OR(A41="",B41="",D41="",E41="",F41="",G41=""),"Missing item data",IF(IFERROR(VLOOKUP(F41,'Units'!$A$2:$D$13,3,FALSE),"")&lt;&gt;D41,"Unit mismatch",IF(J41="","Check cost","OK"))))</f>
        <v/>
      </c>
      <c r="L41" s="6" t="n"/>
    </row>
    <row r="42">
      <c r="A42" s="2" t="n"/>
      <c r="B42" s="2" t="n"/>
      <c r="C42" s="2" t="n"/>
      <c r="D42" s="4" t="n"/>
      <c r="E42" s="9" t="n"/>
      <c r="F42" s="4" t="n"/>
      <c r="G42" s="9" t="n"/>
      <c r="H42" s="10">
        <f>IF(OR(E42="",F42=""),"",IFERROR(E42*VLOOKUP(F42,'Units'!$A$2:$D$13,4,FALSE),""))</f>
        <v/>
      </c>
      <c r="I42" s="11" t="n"/>
      <c r="J42" s="10">
        <f>IF(OR(G42="",H42=""),"",IFERROR(G42/(H42*(1-I42)),""))</f>
        <v/>
      </c>
      <c r="K42" s="5">
        <f>IF(AND(A42="",B42=""),"",IF(OR(A42="",B42="",D42="",E42="",F42="",G42=""),"Missing item data",IF(IFERROR(VLOOKUP(F42,'Units'!$A$2:$D$13,3,FALSE),"")&lt;&gt;D42,"Unit mismatch",IF(J42="","Check cost","OK"))))</f>
        <v/>
      </c>
      <c r="L42" s="6" t="n"/>
    </row>
    <row r="43">
      <c r="A43" s="2" t="n"/>
      <c r="B43" s="2" t="n"/>
      <c r="C43" s="2" t="n"/>
      <c r="D43" s="4" t="n"/>
      <c r="E43" s="9" t="n"/>
      <c r="F43" s="4" t="n"/>
      <c r="G43" s="9" t="n"/>
      <c r="H43" s="10">
        <f>IF(OR(E43="",F43=""),"",IFERROR(E43*VLOOKUP(F43,'Units'!$A$2:$D$13,4,FALSE),""))</f>
        <v/>
      </c>
      <c r="I43" s="11" t="n"/>
      <c r="J43" s="10">
        <f>IF(OR(G43="",H43=""),"",IFERROR(G43/(H43*(1-I43)),""))</f>
        <v/>
      </c>
      <c r="K43" s="5">
        <f>IF(AND(A43="",B43=""),"",IF(OR(A43="",B43="",D43="",E43="",F43="",G43=""),"Missing item data",IF(IFERROR(VLOOKUP(F43,'Units'!$A$2:$D$13,3,FALSE),"")&lt;&gt;D43,"Unit mismatch",IF(J43="","Check cost","OK"))))</f>
        <v/>
      </c>
      <c r="L43" s="6" t="n"/>
    </row>
    <row r="44">
      <c r="A44" s="2" t="n"/>
      <c r="B44" s="2" t="n"/>
      <c r="C44" s="2" t="n"/>
      <c r="D44" s="4" t="n"/>
      <c r="E44" s="9" t="n"/>
      <c r="F44" s="4" t="n"/>
      <c r="G44" s="9" t="n"/>
      <c r="H44" s="10">
        <f>IF(OR(E44="",F44=""),"",IFERROR(E44*VLOOKUP(F44,'Units'!$A$2:$D$13,4,FALSE),""))</f>
        <v/>
      </c>
      <c r="I44" s="11" t="n"/>
      <c r="J44" s="10">
        <f>IF(OR(G44="",H44=""),"",IFERROR(G44/(H44*(1-I44)),""))</f>
        <v/>
      </c>
      <c r="K44" s="5">
        <f>IF(AND(A44="",B44=""),"",IF(OR(A44="",B44="",D44="",E44="",F44="",G44=""),"Missing item data",IF(IFERROR(VLOOKUP(F44,'Units'!$A$2:$D$13,3,FALSE),"")&lt;&gt;D44,"Unit mismatch",IF(J44="","Check cost","OK"))))</f>
        <v/>
      </c>
      <c r="L44" s="6" t="n"/>
    </row>
    <row r="45">
      <c r="A45" s="2" t="n"/>
      <c r="B45" s="2" t="n"/>
      <c r="C45" s="2" t="n"/>
      <c r="D45" s="4" t="n"/>
      <c r="E45" s="9" t="n"/>
      <c r="F45" s="4" t="n"/>
      <c r="G45" s="9" t="n"/>
      <c r="H45" s="10">
        <f>IF(OR(E45="",F45=""),"",IFERROR(E45*VLOOKUP(F45,'Units'!$A$2:$D$13,4,FALSE),""))</f>
        <v/>
      </c>
      <c r="I45" s="11" t="n"/>
      <c r="J45" s="10">
        <f>IF(OR(G45="",H45=""),"",IFERROR(G45/(H45*(1-I45)),""))</f>
        <v/>
      </c>
      <c r="K45" s="5">
        <f>IF(AND(A45="",B45=""),"",IF(OR(A45="",B45="",D45="",E45="",F45="",G45=""),"Missing item data",IF(IFERROR(VLOOKUP(F45,'Units'!$A$2:$D$13,3,FALSE),"")&lt;&gt;D45,"Unit mismatch",IF(J45="","Check cost","OK"))))</f>
        <v/>
      </c>
      <c r="L45" s="6" t="n"/>
    </row>
    <row r="46">
      <c r="A46" s="2" t="n"/>
      <c r="B46" s="2" t="n"/>
      <c r="C46" s="2" t="n"/>
      <c r="D46" s="4" t="n"/>
      <c r="E46" s="9" t="n"/>
      <c r="F46" s="4" t="n"/>
      <c r="G46" s="9" t="n"/>
      <c r="H46" s="10">
        <f>IF(OR(E46="",F46=""),"",IFERROR(E46*VLOOKUP(F46,'Units'!$A$2:$D$13,4,FALSE),""))</f>
        <v/>
      </c>
      <c r="I46" s="11" t="n"/>
      <c r="J46" s="10">
        <f>IF(OR(G46="",H46=""),"",IFERROR(G46/(H46*(1-I46)),""))</f>
        <v/>
      </c>
      <c r="K46" s="5">
        <f>IF(AND(A46="",B46=""),"",IF(OR(A46="",B46="",D46="",E46="",F46="",G46=""),"Missing item data",IF(IFERROR(VLOOKUP(F46,'Units'!$A$2:$D$13,3,FALSE),"")&lt;&gt;D46,"Unit mismatch",IF(J46="","Check cost","OK"))))</f>
        <v/>
      </c>
      <c r="L46" s="6" t="n"/>
    </row>
    <row r="47">
      <c r="A47" s="2" t="n"/>
      <c r="B47" s="2" t="n"/>
      <c r="C47" s="2" t="n"/>
      <c r="D47" s="4" t="n"/>
      <c r="E47" s="9" t="n"/>
      <c r="F47" s="4" t="n"/>
      <c r="G47" s="9" t="n"/>
      <c r="H47" s="10">
        <f>IF(OR(E47="",F47=""),"",IFERROR(E47*VLOOKUP(F47,'Units'!$A$2:$D$13,4,FALSE),""))</f>
        <v/>
      </c>
      <c r="I47" s="11" t="n"/>
      <c r="J47" s="10">
        <f>IF(OR(G47="",H47=""),"",IFERROR(G47/(H47*(1-I47)),""))</f>
        <v/>
      </c>
      <c r="K47" s="5">
        <f>IF(AND(A47="",B47=""),"",IF(OR(A47="",B47="",D47="",E47="",F47="",G47=""),"Missing item data",IF(IFERROR(VLOOKUP(F47,'Units'!$A$2:$D$13,3,FALSE),"")&lt;&gt;D47,"Unit mismatch",IF(J47="","Check cost","OK"))))</f>
        <v/>
      </c>
      <c r="L47" s="6" t="n"/>
    </row>
    <row r="48">
      <c r="A48" s="2" t="n"/>
      <c r="B48" s="2" t="n"/>
      <c r="C48" s="2" t="n"/>
      <c r="D48" s="4" t="n"/>
      <c r="E48" s="9" t="n"/>
      <c r="F48" s="4" t="n"/>
      <c r="G48" s="9" t="n"/>
      <c r="H48" s="10">
        <f>IF(OR(E48="",F48=""),"",IFERROR(E48*VLOOKUP(F48,'Units'!$A$2:$D$13,4,FALSE),""))</f>
        <v/>
      </c>
      <c r="I48" s="11" t="n"/>
      <c r="J48" s="10">
        <f>IF(OR(G48="",H48=""),"",IFERROR(G48/(H48*(1-I48)),""))</f>
        <v/>
      </c>
      <c r="K48" s="5">
        <f>IF(AND(A48="",B48=""),"",IF(OR(A48="",B48="",D48="",E48="",F48="",G48=""),"Missing item data",IF(IFERROR(VLOOKUP(F48,'Units'!$A$2:$D$13,3,FALSE),"")&lt;&gt;D48,"Unit mismatch",IF(J48="","Check cost","OK"))))</f>
        <v/>
      </c>
      <c r="L48" s="6" t="n"/>
    </row>
    <row r="49">
      <c r="A49" s="2" t="n"/>
      <c r="B49" s="2" t="n"/>
      <c r="C49" s="2" t="n"/>
      <c r="D49" s="4" t="n"/>
      <c r="E49" s="9" t="n"/>
      <c r="F49" s="4" t="n"/>
      <c r="G49" s="9" t="n"/>
      <c r="H49" s="10">
        <f>IF(OR(E49="",F49=""),"",IFERROR(E49*VLOOKUP(F49,'Units'!$A$2:$D$13,4,FALSE),""))</f>
        <v/>
      </c>
      <c r="I49" s="11" t="n"/>
      <c r="J49" s="10">
        <f>IF(OR(G49="",H49=""),"",IFERROR(G49/(H49*(1-I49)),""))</f>
        <v/>
      </c>
      <c r="K49" s="5">
        <f>IF(AND(A49="",B49=""),"",IF(OR(A49="",B49="",D49="",E49="",F49="",G49=""),"Missing item data",IF(IFERROR(VLOOKUP(F49,'Units'!$A$2:$D$13,3,FALSE),"")&lt;&gt;D49,"Unit mismatch",IF(J49="","Check cost","OK"))))</f>
        <v/>
      </c>
      <c r="L49" s="6" t="n"/>
    </row>
    <row r="50">
      <c r="A50" s="2" t="n"/>
      <c r="B50" s="2" t="n"/>
      <c r="C50" s="2" t="n"/>
      <c r="D50" s="4" t="n"/>
      <c r="E50" s="9" t="n"/>
      <c r="F50" s="4" t="n"/>
      <c r="G50" s="9" t="n"/>
      <c r="H50" s="10">
        <f>IF(OR(E50="",F50=""),"",IFERROR(E50*VLOOKUP(F50,'Units'!$A$2:$D$13,4,FALSE),""))</f>
        <v/>
      </c>
      <c r="I50" s="11" t="n"/>
      <c r="J50" s="10">
        <f>IF(OR(G50="",H50=""),"",IFERROR(G50/(H50*(1-I50)),""))</f>
        <v/>
      </c>
      <c r="K50" s="5">
        <f>IF(AND(A50="",B50=""),"",IF(OR(A50="",B50="",D50="",E50="",F50="",G50=""),"Missing item data",IF(IFERROR(VLOOKUP(F50,'Units'!$A$2:$D$13,3,FALSE),"")&lt;&gt;D50,"Unit mismatch",IF(J50="","Check cost","OK"))))</f>
        <v/>
      </c>
      <c r="L50" s="6" t="n"/>
    </row>
    <row r="51">
      <c r="A51" s="2" t="n"/>
      <c r="B51" s="2" t="n"/>
      <c r="C51" s="2" t="n"/>
      <c r="D51" s="4" t="n"/>
      <c r="E51" s="9" t="n"/>
      <c r="F51" s="4" t="n"/>
      <c r="G51" s="9" t="n"/>
      <c r="H51" s="10">
        <f>IF(OR(E51="",F51=""),"",IFERROR(E51*VLOOKUP(F51,'Units'!$A$2:$D$13,4,FALSE),""))</f>
        <v/>
      </c>
      <c r="I51" s="11" t="n"/>
      <c r="J51" s="10">
        <f>IF(OR(G51="",H51=""),"",IFERROR(G51/(H51*(1-I51)),""))</f>
        <v/>
      </c>
      <c r="K51" s="5">
        <f>IF(AND(A51="",B51=""),"",IF(OR(A51="",B51="",D51="",E51="",F51="",G51=""),"Missing item data",IF(IFERROR(VLOOKUP(F51,'Units'!$A$2:$D$13,3,FALSE),"")&lt;&gt;D51,"Unit mismatch",IF(J51="","Check cost","OK"))))</f>
        <v/>
      </c>
      <c r="L51" s="6" t="n"/>
    </row>
    <row r="52">
      <c r="A52" s="2" t="n"/>
      <c r="B52" s="2" t="n"/>
      <c r="C52" s="2" t="n"/>
      <c r="D52" s="4" t="n"/>
      <c r="E52" s="9" t="n"/>
      <c r="F52" s="4" t="n"/>
      <c r="G52" s="9" t="n"/>
      <c r="H52" s="10">
        <f>IF(OR(E52="",F52=""),"",IFERROR(E52*VLOOKUP(F52,'Units'!$A$2:$D$13,4,FALSE),""))</f>
        <v/>
      </c>
      <c r="I52" s="11" t="n"/>
      <c r="J52" s="10">
        <f>IF(OR(G52="",H52=""),"",IFERROR(G52/(H52*(1-I52)),""))</f>
        <v/>
      </c>
      <c r="K52" s="5">
        <f>IF(AND(A52="",B52=""),"",IF(OR(A52="",B52="",D52="",E52="",F52="",G52=""),"Missing item data",IF(IFERROR(VLOOKUP(F52,'Units'!$A$2:$D$13,3,FALSE),"")&lt;&gt;D52,"Unit mismatch",IF(J52="","Check cost","OK"))))</f>
        <v/>
      </c>
      <c r="L52" s="6" t="n"/>
    </row>
    <row r="53">
      <c r="A53" s="2" t="n"/>
      <c r="B53" s="2" t="n"/>
      <c r="C53" s="2" t="n"/>
      <c r="D53" s="4" t="n"/>
      <c r="E53" s="9" t="n"/>
      <c r="F53" s="4" t="n"/>
      <c r="G53" s="9" t="n"/>
      <c r="H53" s="10">
        <f>IF(OR(E53="",F53=""),"",IFERROR(E53*VLOOKUP(F53,'Units'!$A$2:$D$13,4,FALSE),""))</f>
        <v/>
      </c>
      <c r="I53" s="11" t="n"/>
      <c r="J53" s="10">
        <f>IF(OR(G53="",H53=""),"",IFERROR(G53/(H53*(1-I53)),""))</f>
        <v/>
      </c>
      <c r="K53" s="5">
        <f>IF(AND(A53="",B53=""),"",IF(OR(A53="",B53="",D53="",E53="",F53="",G53=""),"Missing item data",IF(IFERROR(VLOOKUP(F53,'Units'!$A$2:$D$13,3,FALSE),"")&lt;&gt;D53,"Unit mismatch",IF(J53="","Check cost","OK"))))</f>
        <v/>
      </c>
      <c r="L53" s="6" t="n"/>
    </row>
    <row r="54">
      <c r="A54" s="2" t="n"/>
      <c r="B54" s="2" t="n"/>
      <c r="C54" s="2" t="n"/>
      <c r="D54" s="4" t="n"/>
      <c r="E54" s="9" t="n"/>
      <c r="F54" s="4" t="n"/>
      <c r="G54" s="9" t="n"/>
      <c r="H54" s="10">
        <f>IF(OR(E54="",F54=""),"",IFERROR(E54*VLOOKUP(F54,'Units'!$A$2:$D$13,4,FALSE),""))</f>
        <v/>
      </c>
      <c r="I54" s="11" t="n"/>
      <c r="J54" s="10">
        <f>IF(OR(G54="",H54=""),"",IFERROR(G54/(H54*(1-I54)),""))</f>
        <v/>
      </c>
      <c r="K54" s="5">
        <f>IF(AND(A54="",B54=""),"",IF(OR(A54="",B54="",D54="",E54="",F54="",G54=""),"Missing item data",IF(IFERROR(VLOOKUP(F54,'Units'!$A$2:$D$13,3,FALSE),"")&lt;&gt;D54,"Unit mismatch",IF(J54="","Check cost","OK"))))</f>
        <v/>
      </c>
      <c r="L54" s="6" t="n"/>
    </row>
    <row r="55">
      <c r="A55" s="2" t="n"/>
      <c r="B55" s="2" t="n"/>
      <c r="C55" s="2" t="n"/>
      <c r="D55" s="4" t="n"/>
      <c r="E55" s="9" t="n"/>
      <c r="F55" s="4" t="n"/>
      <c r="G55" s="9" t="n"/>
      <c r="H55" s="10">
        <f>IF(OR(E55="",F55=""),"",IFERROR(E55*VLOOKUP(F55,'Units'!$A$2:$D$13,4,FALSE),""))</f>
        <v/>
      </c>
      <c r="I55" s="11" t="n"/>
      <c r="J55" s="10">
        <f>IF(OR(G55="",H55=""),"",IFERROR(G55/(H55*(1-I55)),""))</f>
        <v/>
      </c>
      <c r="K55" s="5">
        <f>IF(AND(A55="",B55=""),"",IF(OR(A55="",B55="",D55="",E55="",F55="",G55=""),"Missing item data",IF(IFERROR(VLOOKUP(F55,'Units'!$A$2:$D$13,3,FALSE),"")&lt;&gt;D55,"Unit mismatch",IF(J55="","Check cost","OK"))))</f>
        <v/>
      </c>
      <c r="L55" s="6" t="n"/>
    </row>
    <row r="56">
      <c r="A56" s="2" t="n"/>
      <c r="B56" s="2" t="n"/>
      <c r="C56" s="2" t="n"/>
      <c r="D56" s="4" t="n"/>
      <c r="E56" s="9" t="n"/>
      <c r="F56" s="4" t="n"/>
      <c r="G56" s="9" t="n"/>
      <c r="H56" s="10">
        <f>IF(OR(E56="",F56=""),"",IFERROR(E56*VLOOKUP(F56,'Units'!$A$2:$D$13,4,FALSE),""))</f>
        <v/>
      </c>
      <c r="I56" s="11" t="n"/>
      <c r="J56" s="10">
        <f>IF(OR(G56="",H56=""),"",IFERROR(G56/(H56*(1-I56)),""))</f>
        <v/>
      </c>
      <c r="K56" s="5">
        <f>IF(AND(A56="",B56=""),"",IF(OR(A56="",B56="",D56="",E56="",F56="",G56=""),"Missing item data",IF(IFERROR(VLOOKUP(F56,'Units'!$A$2:$D$13,3,FALSE),"")&lt;&gt;D56,"Unit mismatch",IF(J56="","Check cost","OK"))))</f>
        <v/>
      </c>
      <c r="L56" s="6" t="n"/>
    </row>
    <row r="57">
      <c r="A57" s="2" t="n"/>
      <c r="B57" s="2" t="n"/>
      <c r="C57" s="2" t="n"/>
      <c r="D57" s="4" t="n"/>
      <c r="E57" s="9" t="n"/>
      <c r="F57" s="4" t="n"/>
      <c r="G57" s="9" t="n"/>
      <c r="H57" s="10">
        <f>IF(OR(E57="",F57=""),"",IFERROR(E57*VLOOKUP(F57,'Units'!$A$2:$D$13,4,FALSE),""))</f>
        <v/>
      </c>
      <c r="I57" s="11" t="n"/>
      <c r="J57" s="10">
        <f>IF(OR(G57="",H57=""),"",IFERROR(G57/(H57*(1-I57)),""))</f>
        <v/>
      </c>
      <c r="K57" s="5">
        <f>IF(AND(A57="",B57=""),"",IF(OR(A57="",B57="",D57="",E57="",F57="",G57=""),"Missing item data",IF(IFERROR(VLOOKUP(F57,'Units'!$A$2:$D$13,3,FALSE),"")&lt;&gt;D57,"Unit mismatch",IF(J57="","Check cost","OK"))))</f>
        <v/>
      </c>
      <c r="L57" s="6" t="n"/>
    </row>
    <row r="58">
      <c r="A58" s="2" t="n"/>
      <c r="B58" s="2" t="n"/>
      <c r="C58" s="2" t="n"/>
      <c r="D58" s="4" t="n"/>
      <c r="E58" s="9" t="n"/>
      <c r="F58" s="4" t="n"/>
      <c r="G58" s="9" t="n"/>
      <c r="H58" s="10">
        <f>IF(OR(E58="",F58=""),"",IFERROR(E58*VLOOKUP(F58,'Units'!$A$2:$D$13,4,FALSE),""))</f>
        <v/>
      </c>
      <c r="I58" s="11" t="n"/>
      <c r="J58" s="10">
        <f>IF(OR(G58="",H58=""),"",IFERROR(G58/(H58*(1-I58)),""))</f>
        <v/>
      </c>
      <c r="K58" s="5">
        <f>IF(AND(A58="",B58=""),"",IF(OR(A58="",B58="",D58="",E58="",F58="",G58=""),"Missing item data",IF(IFERROR(VLOOKUP(F58,'Units'!$A$2:$D$13,3,FALSE),"")&lt;&gt;D58,"Unit mismatch",IF(J58="","Check cost","OK"))))</f>
        <v/>
      </c>
      <c r="L58" s="6" t="n"/>
    </row>
    <row r="59">
      <c r="A59" s="2" t="n"/>
      <c r="B59" s="2" t="n"/>
      <c r="C59" s="2" t="n"/>
      <c r="D59" s="4" t="n"/>
      <c r="E59" s="9" t="n"/>
      <c r="F59" s="4" t="n"/>
      <c r="G59" s="9" t="n"/>
      <c r="H59" s="10">
        <f>IF(OR(E59="",F59=""),"",IFERROR(E59*VLOOKUP(F59,'Units'!$A$2:$D$13,4,FALSE),""))</f>
        <v/>
      </c>
      <c r="I59" s="11" t="n"/>
      <c r="J59" s="10">
        <f>IF(OR(G59="",H59=""),"",IFERROR(G59/(H59*(1-I59)),""))</f>
        <v/>
      </c>
      <c r="K59" s="5">
        <f>IF(AND(A59="",B59=""),"",IF(OR(A59="",B59="",D59="",E59="",F59="",G59=""),"Missing item data",IF(IFERROR(VLOOKUP(F59,'Units'!$A$2:$D$13,3,FALSE),"")&lt;&gt;D59,"Unit mismatch",IF(J59="","Check cost","OK"))))</f>
        <v/>
      </c>
      <c r="L59" s="6" t="n"/>
    </row>
    <row r="60">
      <c r="A60" s="2" t="n"/>
      <c r="B60" s="2" t="n"/>
      <c r="C60" s="2" t="n"/>
      <c r="D60" s="4" t="n"/>
      <c r="E60" s="9" t="n"/>
      <c r="F60" s="4" t="n"/>
      <c r="G60" s="9" t="n"/>
      <c r="H60" s="10">
        <f>IF(OR(E60="",F60=""),"",IFERROR(E60*VLOOKUP(F60,'Units'!$A$2:$D$13,4,FALSE),""))</f>
        <v/>
      </c>
      <c r="I60" s="11" t="n"/>
      <c r="J60" s="10">
        <f>IF(OR(G60="",H60=""),"",IFERROR(G60/(H60*(1-I60)),""))</f>
        <v/>
      </c>
      <c r="K60" s="5">
        <f>IF(AND(A60="",B60=""),"",IF(OR(A60="",B60="",D60="",E60="",F60="",G60=""),"Missing item data",IF(IFERROR(VLOOKUP(F60,'Units'!$A$2:$D$13,3,FALSE),"")&lt;&gt;D60,"Unit mismatch",IF(J60="","Check cost","OK"))))</f>
        <v/>
      </c>
      <c r="L60" s="6" t="n"/>
    </row>
    <row r="61">
      <c r="A61" s="2" t="n"/>
      <c r="B61" s="2" t="n"/>
      <c r="C61" s="2" t="n"/>
      <c r="D61" s="4" t="n"/>
      <c r="E61" s="9" t="n"/>
      <c r="F61" s="4" t="n"/>
      <c r="G61" s="9" t="n"/>
      <c r="H61" s="10">
        <f>IF(OR(E61="",F61=""),"",IFERROR(E61*VLOOKUP(F61,'Units'!$A$2:$D$13,4,FALSE),""))</f>
        <v/>
      </c>
      <c r="I61" s="11" t="n"/>
      <c r="J61" s="10">
        <f>IF(OR(G61="",H61=""),"",IFERROR(G61/(H61*(1-I61)),""))</f>
        <v/>
      </c>
      <c r="K61" s="5">
        <f>IF(AND(A61="",B61=""),"",IF(OR(A61="",B61="",D61="",E61="",F61="",G61=""),"Missing item data",IF(IFERROR(VLOOKUP(F61,'Units'!$A$2:$D$13,3,FALSE),"")&lt;&gt;D61,"Unit mismatch",IF(J61="","Check cost","OK"))))</f>
        <v/>
      </c>
      <c r="L61" s="6" t="n"/>
    </row>
    <row r="62">
      <c r="A62" s="2" t="n"/>
      <c r="B62" s="2" t="n"/>
      <c r="C62" s="2" t="n"/>
      <c r="D62" s="4" t="n"/>
      <c r="E62" s="9" t="n"/>
      <c r="F62" s="4" t="n"/>
      <c r="G62" s="9" t="n"/>
      <c r="H62" s="10">
        <f>IF(OR(E62="",F62=""),"",IFERROR(E62*VLOOKUP(F62,'Units'!$A$2:$D$13,4,FALSE),""))</f>
        <v/>
      </c>
      <c r="I62" s="11" t="n"/>
      <c r="J62" s="10">
        <f>IF(OR(G62="",H62=""),"",IFERROR(G62/(H62*(1-I62)),""))</f>
        <v/>
      </c>
      <c r="K62" s="5">
        <f>IF(AND(A62="",B62=""),"",IF(OR(A62="",B62="",D62="",E62="",F62="",G62=""),"Missing item data",IF(IFERROR(VLOOKUP(F62,'Units'!$A$2:$D$13,3,FALSE),"")&lt;&gt;D62,"Unit mismatch",IF(J62="","Check cost","OK"))))</f>
        <v/>
      </c>
      <c r="L62" s="6" t="n"/>
    </row>
    <row r="63">
      <c r="A63" s="2" t="n"/>
      <c r="B63" s="2" t="n"/>
      <c r="C63" s="2" t="n"/>
      <c r="D63" s="4" t="n"/>
      <c r="E63" s="9" t="n"/>
      <c r="F63" s="4" t="n"/>
      <c r="G63" s="9" t="n"/>
      <c r="H63" s="10">
        <f>IF(OR(E63="",F63=""),"",IFERROR(E63*VLOOKUP(F63,'Units'!$A$2:$D$13,4,FALSE),""))</f>
        <v/>
      </c>
      <c r="I63" s="11" t="n"/>
      <c r="J63" s="10">
        <f>IF(OR(G63="",H63=""),"",IFERROR(G63/(H63*(1-I63)),""))</f>
        <v/>
      </c>
      <c r="K63" s="5">
        <f>IF(AND(A63="",B63=""),"",IF(OR(A63="",B63="",D63="",E63="",F63="",G63=""),"Missing item data",IF(IFERROR(VLOOKUP(F63,'Units'!$A$2:$D$13,3,FALSE),"")&lt;&gt;D63,"Unit mismatch",IF(J63="","Check cost","OK"))))</f>
        <v/>
      </c>
      <c r="L63" s="6" t="n"/>
    </row>
    <row r="64">
      <c r="A64" s="2" t="n"/>
      <c r="B64" s="2" t="n"/>
      <c r="C64" s="2" t="n"/>
      <c r="D64" s="4" t="n"/>
      <c r="E64" s="9" t="n"/>
      <c r="F64" s="4" t="n"/>
      <c r="G64" s="9" t="n"/>
      <c r="H64" s="10">
        <f>IF(OR(E64="",F64=""),"",IFERROR(E64*VLOOKUP(F64,'Units'!$A$2:$D$13,4,FALSE),""))</f>
        <v/>
      </c>
      <c r="I64" s="11" t="n"/>
      <c r="J64" s="10">
        <f>IF(OR(G64="",H64=""),"",IFERROR(G64/(H64*(1-I64)),""))</f>
        <v/>
      </c>
      <c r="K64" s="5">
        <f>IF(AND(A64="",B64=""),"",IF(OR(A64="",B64="",D64="",E64="",F64="",G64=""),"Missing item data",IF(IFERROR(VLOOKUP(F64,'Units'!$A$2:$D$13,3,FALSE),"")&lt;&gt;D64,"Unit mismatch",IF(J64="","Check cost","OK"))))</f>
        <v/>
      </c>
      <c r="L64" s="6" t="n"/>
    </row>
    <row r="65">
      <c r="A65" s="2" t="n"/>
      <c r="B65" s="2" t="n"/>
      <c r="C65" s="2" t="n"/>
      <c r="D65" s="4" t="n"/>
      <c r="E65" s="9" t="n"/>
      <c r="F65" s="4" t="n"/>
      <c r="G65" s="9" t="n"/>
      <c r="H65" s="10">
        <f>IF(OR(E65="",F65=""),"",IFERROR(E65*VLOOKUP(F65,'Units'!$A$2:$D$13,4,FALSE),""))</f>
        <v/>
      </c>
      <c r="I65" s="11" t="n"/>
      <c r="J65" s="10">
        <f>IF(OR(G65="",H65=""),"",IFERROR(G65/(H65*(1-I65)),""))</f>
        <v/>
      </c>
      <c r="K65" s="5">
        <f>IF(AND(A65="",B65=""),"",IF(OR(A65="",B65="",D65="",E65="",F65="",G65=""),"Missing item data",IF(IFERROR(VLOOKUP(F65,'Units'!$A$2:$D$13,3,FALSE),"")&lt;&gt;D65,"Unit mismatch",IF(J65="","Check cost","OK"))))</f>
        <v/>
      </c>
      <c r="L65" s="6" t="n"/>
    </row>
    <row r="66">
      <c r="A66" s="2" t="n"/>
      <c r="B66" s="2" t="n"/>
      <c r="C66" s="2" t="n"/>
      <c r="D66" s="4" t="n"/>
      <c r="E66" s="9" t="n"/>
      <c r="F66" s="4" t="n"/>
      <c r="G66" s="9" t="n"/>
      <c r="H66" s="10">
        <f>IF(OR(E66="",F66=""),"",IFERROR(E66*VLOOKUP(F66,'Units'!$A$2:$D$13,4,FALSE),""))</f>
        <v/>
      </c>
      <c r="I66" s="11" t="n"/>
      <c r="J66" s="10">
        <f>IF(OR(G66="",H66=""),"",IFERROR(G66/(H66*(1-I66)),""))</f>
        <v/>
      </c>
      <c r="K66" s="5">
        <f>IF(AND(A66="",B66=""),"",IF(OR(A66="",B66="",D66="",E66="",F66="",G66=""),"Missing item data",IF(IFERROR(VLOOKUP(F66,'Units'!$A$2:$D$13,3,FALSE),"")&lt;&gt;D66,"Unit mismatch",IF(J66="","Check cost","OK"))))</f>
        <v/>
      </c>
      <c r="L66" s="6" t="n"/>
    </row>
    <row r="67">
      <c r="A67" s="2" t="n"/>
      <c r="B67" s="2" t="n"/>
      <c r="C67" s="2" t="n"/>
      <c r="D67" s="4" t="n"/>
      <c r="E67" s="9" t="n"/>
      <c r="F67" s="4" t="n"/>
      <c r="G67" s="9" t="n"/>
      <c r="H67" s="10">
        <f>IF(OR(E67="",F67=""),"",IFERROR(E67*VLOOKUP(F67,'Units'!$A$2:$D$13,4,FALSE),""))</f>
        <v/>
      </c>
      <c r="I67" s="11" t="n"/>
      <c r="J67" s="10">
        <f>IF(OR(G67="",H67=""),"",IFERROR(G67/(H67*(1-I67)),""))</f>
        <v/>
      </c>
      <c r="K67" s="5">
        <f>IF(AND(A67="",B67=""),"",IF(OR(A67="",B67="",D67="",E67="",F67="",G67=""),"Missing item data",IF(IFERROR(VLOOKUP(F67,'Units'!$A$2:$D$13,3,FALSE),"")&lt;&gt;D67,"Unit mismatch",IF(J67="","Check cost","OK"))))</f>
        <v/>
      </c>
      <c r="L67" s="6" t="n"/>
    </row>
    <row r="68">
      <c r="A68" s="2" t="n"/>
      <c r="B68" s="2" t="n"/>
      <c r="C68" s="2" t="n"/>
      <c r="D68" s="4" t="n"/>
      <c r="E68" s="9" t="n"/>
      <c r="F68" s="4" t="n"/>
      <c r="G68" s="9" t="n"/>
      <c r="H68" s="10">
        <f>IF(OR(E68="",F68=""),"",IFERROR(E68*VLOOKUP(F68,'Units'!$A$2:$D$13,4,FALSE),""))</f>
        <v/>
      </c>
      <c r="I68" s="11" t="n"/>
      <c r="J68" s="10">
        <f>IF(OR(G68="",H68=""),"",IFERROR(G68/(H68*(1-I68)),""))</f>
        <v/>
      </c>
      <c r="K68" s="5">
        <f>IF(AND(A68="",B68=""),"",IF(OR(A68="",B68="",D68="",E68="",F68="",G68=""),"Missing item data",IF(IFERROR(VLOOKUP(F68,'Units'!$A$2:$D$13,3,FALSE),"")&lt;&gt;D68,"Unit mismatch",IF(J68="","Check cost","OK"))))</f>
        <v/>
      </c>
      <c r="L68" s="6" t="n"/>
    </row>
    <row r="69">
      <c r="A69" s="2" t="n"/>
      <c r="B69" s="2" t="n"/>
      <c r="C69" s="2" t="n"/>
      <c r="D69" s="4" t="n"/>
      <c r="E69" s="9" t="n"/>
      <c r="F69" s="4" t="n"/>
      <c r="G69" s="9" t="n"/>
      <c r="H69" s="10">
        <f>IF(OR(E69="",F69=""),"",IFERROR(E69*VLOOKUP(F69,'Units'!$A$2:$D$13,4,FALSE),""))</f>
        <v/>
      </c>
      <c r="I69" s="11" t="n"/>
      <c r="J69" s="10">
        <f>IF(OR(G69="",H69=""),"",IFERROR(G69/(H69*(1-I69)),""))</f>
        <v/>
      </c>
      <c r="K69" s="5">
        <f>IF(AND(A69="",B69=""),"",IF(OR(A69="",B69="",D69="",E69="",F69="",G69=""),"Missing item data",IF(IFERROR(VLOOKUP(F69,'Units'!$A$2:$D$13,3,FALSE),"")&lt;&gt;D69,"Unit mismatch",IF(J69="","Check cost","OK"))))</f>
        <v/>
      </c>
      <c r="L69" s="6" t="n"/>
    </row>
    <row r="70">
      <c r="A70" s="2" t="n"/>
      <c r="B70" s="2" t="n"/>
      <c r="C70" s="2" t="n"/>
      <c r="D70" s="4" t="n"/>
      <c r="E70" s="9" t="n"/>
      <c r="F70" s="4" t="n"/>
      <c r="G70" s="9" t="n"/>
      <c r="H70" s="10">
        <f>IF(OR(E70="",F70=""),"",IFERROR(E70*VLOOKUP(F70,'Units'!$A$2:$D$13,4,FALSE),""))</f>
        <v/>
      </c>
      <c r="I70" s="11" t="n"/>
      <c r="J70" s="10">
        <f>IF(OR(G70="",H70=""),"",IFERROR(G70/(H70*(1-I70)),""))</f>
        <v/>
      </c>
      <c r="K70" s="5">
        <f>IF(AND(A70="",B70=""),"",IF(OR(A70="",B70="",D70="",E70="",F70="",G70=""),"Missing item data",IF(IFERROR(VLOOKUP(F70,'Units'!$A$2:$D$13,3,FALSE),"")&lt;&gt;D70,"Unit mismatch",IF(J70="","Check cost","OK"))))</f>
        <v/>
      </c>
      <c r="L70" s="6" t="n"/>
    </row>
    <row r="71">
      <c r="A71" s="2" t="n"/>
      <c r="B71" s="2" t="n"/>
      <c r="C71" s="2" t="n"/>
      <c r="D71" s="4" t="n"/>
      <c r="E71" s="9" t="n"/>
      <c r="F71" s="4" t="n"/>
      <c r="G71" s="9" t="n"/>
      <c r="H71" s="10">
        <f>IF(OR(E71="",F71=""),"",IFERROR(E71*VLOOKUP(F71,'Units'!$A$2:$D$13,4,FALSE),""))</f>
        <v/>
      </c>
      <c r="I71" s="11" t="n"/>
      <c r="J71" s="10">
        <f>IF(OR(G71="",H71=""),"",IFERROR(G71/(H71*(1-I71)),""))</f>
        <v/>
      </c>
      <c r="K71" s="5">
        <f>IF(AND(A71="",B71=""),"",IF(OR(A71="",B71="",D71="",E71="",F71="",G71=""),"Missing item data",IF(IFERROR(VLOOKUP(F71,'Units'!$A$2:$D$13,3,FALSE),"")&lt;&gt;D71,"Unit mismatch",IF(J71="","Check cost","OK"))))</f>
        <v/>
      </c>
      <c r="L71" s="6" t="n"/>
    </row>
    <row r="72">
      <c r="A72" s="2" t="n"/>
      <c r="B72" s="2" t="n"/>
      <c r="C72" s="2" t="n"/>
      <c r="D72" s="4" t="n"/>
      <c r="E72" s="9" t="n"/>
      <c r="F72" s="4" t="n"/>
      <c r="G72" s="9" t="n"/>
      <c r="H72" s="10">
        <f>IF(OR(E72="",F72=""),"",IFERROR(E72*VLOOKUP(F72,'Units'!$A$2:$D$13,4,FALSE),""))</f>
        <v/>
      </c>
      <c r="I72" s="11" t="n"/>
      <c r="J72" s="10">
        <f>IF(OR(G72="",H72=""),"",IFERROR(G72/(H72*(1-I72)),""))</f>
        <v/>
      </c>
      <c r="K72" s="5">
        <f>IF(AND(A72="",B72=""),"",IF(OR(A72="",B72="",D72="",E72="",F72="",G72=""),"Missing item data",IF(IFERROR(VLOOKUP(F72,'Units'!$A$2:$D$13,3,FALSE),"")&lt;&gt;D72,"Unit mismatch",IF(J72="","Check cost","OK"))))</f>
        <v/>
      </c>
      <c r="L72" s="6" t="n"/>
    </row>
    <row r="73">
      <c r="A73" s="2" t="n"/>
      <c r="B73" s="2" t="n"/>
      <c r="C73" s="2" t="n"/>
      <c r="D73" s="4" t="n"/>
      <c r="E73" s="9" t="n"/>
      <c r="F73" s="4" t="n"/>
      <c r="G73" s="9" t="n"/>
      <c r="H73" s="10">
        <f>IF(OR(E73="",F73=""),"",IFERROR(E73*VLOOKUP(F73,'Units'!$A$2:$D$13,4,FALSE),""))</f>
        <v/>
      </c>
      <c r="I73" s="11" t="n"/>
      <c r="J73" s="10">
        <f>IF(OR(G73="",H73=""),"",IFERROR(G73/(H73*(1-I73)),""))</f>
        <v/>
      </c>
      <c r="K73" s="5">
        <f>IF(AND(A73="",B73=""),"",IF(OR(A73="",B73="",D73="",E73="",F73="",G73=""),"Missing item data",IF(IFERROR(VLOOKUP(F73,'Units'!$A$2:$D$13,3,FALSE),"")&lt;&gt;D73,"Unit mismatch",IF(J73="","Check cost","OK"))))</f>
        <v/>
      </c>
      <c r="L73" s="6" t="n"/>
    </row>
    <row r="74">
      <c r="A74" s="2" t="n"/>
      <c r="B74" s="2" t="n"/>
      <c r="C74" s="2" t="n"/>
      <c r="D74" s="4" t="n"/>
      <c r="E74" s="9" t="n"/>
      <c r="F74" s="4" t="n"/>
      <c r="G74" s="9" t="n"/>
      <c r="H74" s="10">
        <f>IF(OR(E74="",F74=""),"",IFERROR(E74*VLOOKUP(F74,'Units'!$A$2:$D$13,4,FALSE),""))</f>
        <v/>
      </c>
      <c r="I74" s="11" t="n"/>
      <c r="J74" s="10">
        <f>IF(OR(G74="",H74=""),"",IFERROR(G74/(H74*(1-I74)),""))</f>
        <v/>
      </c>
      <c r="K74" s="5">
        <f>IF(AND(A74="",B74=""),"",IF(OR(A74="",B74="",D74="",E74="",F74="",G74=""),"Missing item data",IF(IFERROR(VLOOKUP(F74,'Units'!$A$2:$D$13,3,FALSE),"")&lt;&gt;D74,"Unit mismatch",IF(J74="","Check cost","OK"))))</f>
        <v/>
      </c>
      <c r="L74" s="6" t="n"/>
    </row>
    <row r="75">
      <c r="A75" s="2" t="n"/>
      <c r="B75" s="2" t="n"/>
      <c r="C75" s="2" t="n"/>
      <c r="D75" s="4" t="n"/>
      <c r="E75" s="9" t="n"/>
      <c r="F75" s="4" t="n"/>
      <c r="G75" s="9" t="n"/>
      <c r="H75" s="10">
        <f>IF(OR(E75="",F75=""),"",IFERROR(E75*VLOOKUP(F75,'Units'!$A$2:$D$13,4,FALSE),""))</f>
        <v/>
      </c>
      <c r="I75" s="11" t="n"/>
      <c r="J75" s="10">
        <f>IF(OR(G75="",H75=""),"",IFERROR(G75/(H75*(1-I75)),""))</f>
        <v/>
      </c>
      <c r="K75" s="5">
        <f>IF(AND(A75="",B75=""),"",IF(OR(A75="",B75="",D75="",E75="",F75="",G75=""),"Missing item data",IF(IFERROR(VLOOKUP(F75,'Units'!$A$2:$D$13,3,FALSE),"")&lt;&gt;D75,"Unit mismatch",IF(J75="","Check cost","OK"))))</f>
        <v/>
      </c>
      <c r="L75" s="6" t="n"/>
    </row>
    <row r="76">
      <c r="A76" s="2" t="n"/>
      <c r="B76" s="2" t="n"/>
      <c r="C76" s="2" t="n"/>
      <c r="D76" s="4" t="n"/>
      <c r="E76" s="9" t="n"/>
      <c r="F76" s="4" t="n"/>
      <c r="G76" s="9" t="n"/>
      <c r="H76" s="10">
        <f>IF(OR(E76="",F76=""),"",IFERROR(E76*VLOOKUP(F76,'Units'!$A$2:$D$13,4,FALSE),""))</f>
        <v/>
      </c>
      <c r="I76" s="11" t="n"/>
      <c r="J76" s="10">
        <f>IF(OR(G76="",H76=""),"",IFERROR(G76/(H76*(1-I76)),""))</f>
        <v/>
      </c>
      <c r="K76" s="5">
        <f>IF(AND(A76="",B76=""),"",IF(OR(A76="",B76="",D76="",E76="",F76="",G76=""),"Missing item data",IF(IFERROR(VLOOKUP(F76,'Units'!$A$2:$D$13,3,FALSE),"")&lt;&gt;D76,"Unit mismatch",IF(J76="","Check cost","OK"))))</f>
        <v/>
      </c>
      <c r="L76" s="6" t="n"/>
    </row>
    <row r="77">
      <c r="A77" s="2" t="n"/>
      <c r="B77" s="2" t="n"/>
      <c r="C77" s="2" t="n"/>
      <c r="D77" s="4" t="n"/>
      <c r="E77" s="9" t="n"/>
      <c r="F77" s="4" t="n"/>
      <c r="G77" s="9" t="n"/>
      <c r="H77" s="10">
        <f>IF(OR(E77="",F77=""),"",IFERROR(E77*VLOOKUP(F77,'Units'!$A$2:$D$13,4,FALSE),""))</f>
        <v/>
      </c>
      <c r="I77" s="11" t="n"/>
      <c r="J77" s="10">
        <f>IF(OR(G77="",H77=""),"",IFERROR(G77/(H77*(1-I77)),""))</f>
        <v/>
      </c>
      <c r="K77" s="5">
        <f>IF(AND(A77="",B77=""),"",IF(OR(A77="",B77="",D77="",E77="",F77="",G77=""),"Missing item data",IF(IFERROR(VLOOKUP(F77,'Units'!$A$2:$D$13,3,FALSE),"")&lt;&gt;D77,"Unit mismatch",IF(J77="","Check cost","OK"))))</f>
        <v/>
      </c>
      <c r="L77" s="6" t="n"/>
    </row>
    <row r="78">
      <c r="A78" s="2" t="n"/>
      <c r="B78" s="2" t="n"/>
      <c r="C78" s="2" t="n"/>
      <c r="D78" s="4" t="n"/>
      <c r="E78" s="9" t="n"/>
      <c r="F78" s="4" t="n"/>
      <c r="G78" s="9" t="n"/>
      <c r="H78" s="10">
        <f>IF(OR(E78="",F78=""),"",IFERROR(E78*VLOOKUP(F78,'Units'!$A$2:$D$13,4,FALSE),""))</f>
        <v/>
      </c>
      <c r="I78" s="11" t="n"/>
      <c r="J78" s="10">
        <f>IF(OR(G78="",H78=""),"",IFERROR(G78/(H78*(1-I78)),""))</f>
        <v/>
      </c>
      <c r="K78" s="5">
        <f>IF(AND(A78="",B78=""),"",IF(OR(A78="",B78="",D78="",E78="",F78="",G78=""),"Missing item data",IF(IFERROR(VLOOKUP(F78,'Units'!$A$2:$D$13,3,FALSE),"")&lt;&gt;D78,"Unit mismatch",IF(J78="","Check cost","OK"))))</f>
        <v/>
      </c>
      <c r="L78" s="6" t="n"/>
    </row>
    <row r="79">
      <c r="A79" s="2" t="n"/>
      <c r="B79" s="2" t="n"/>
      <c r="C79" s="2" t="n"/>
      <c r="D79" s="4" t="n"/>
      <c r="E79" s="9" t="n"/>
      <c r="F79" s="4" t="n"/>
      <c r="G79" s="9" t="n"/>
      <c r="H79" s="10">
        <f>IF(OR(E79="",F79=""),"",IFERROR(E79*VLOOKUP(F79,'Units'!$A$2:$D$13,4,FALSE),""))</f>
        <v/>
      </c>
      <c r="I79" s="11" t="n"/>
      <c r="J79" s="10">
        <f>IF(OR(G79="",H79=""),"",IFERROR(G79/(H79*(1-I79)),""))</f>
        <v/>
      </c>
      <c r="K79" s="5">
        <f>IF(AND(A79="",B79=""),"",IF(OR(A79="",B79="",D79="",E79="",F79="",G79=""),"Missing item data",IF(IFERROR(VLOOKUP(F79,'Units'!$A$2:$D$13,3,FALSE),"")&lt;&gt;D79,"Unit mismatch",IF(J79="","Check cost","OK"))))</f>
        <v/>
      </c>
      <c r="L79" s="6" t="n"/>
    </row>
    <row r="80">
      <c r="A80" s="2" t="n"/>
      <c r="B80" s="2" t="n"/>
      <c r="C80" s="2" t="n"/>
      <c r="D80" s="4" t="n"/>
      <c r="E80" s="9" t="n"/>
      <c r="F80" s="4" t="n"/>
      <c r="G80" s="9" t="n"/>
      <c r="H80" s="10">
        <f>IF(OR(E80="",F80=""),"",IFERROR(E80*VLOOKUP(F80,'Units'!$A$2:$D$13,4,FALSE),""))</f>
        <v/>
      </c>
      <c r="I80" s="11" t="n"/>
      <c r="J80" s="10">
        <f>IF(OR(G80="",H80=""),"",IFERROR(G80/(H80*(1-I80)),""))</f>
        <v/>
      </c>
      <c r="K80" s="5">
        <f>IF(AND(A80="",B80=""),"",IF(OR(A80="",B80="",D80="",E80="",F80="",G80=""),"Missing item data",IF(IFERROR(VLOOKUP(F80,'Units'!$A$2:$D$13,3,FALSE),"")&lt;&gt;D80,"Unit mismatch",IF(J80="","Check cost","OK"))))</f>
        <v/>
      </c>
      <c r="L80" s="6" t="n"/>
    </row>
    <row r="81">
      <c r="A81" s="2" t="n"/>
      <c r="B81" s="2" t="n"/>
      <c r="C81" s="2" t="n"/>
      <c r="D81" s="4" t="n"/>
      <c r="E81" s="9" t="n"/>
      <c r="F81" s="4" t="n"/>
      <c r="G81" s="9" t="n"/>
      <c r="H81" s="10">
        <f>IF(OR(E81="",F81=""),"",IFERROR(E81*VLOOKUP(F81,'Units'!$A$2:$D$13,4,FALSE),""))</f>
        <v/>
      </c>
      <c r="I81" s="11" t="n"/>
      <c r="J81" s="10">
        <f>IF(OR(G81="",H81=""),"",IFERROR(G81/(H81*(1-I81)),""))</f>
        <v/>
      </c>
      <c r="K81" s="5">
        <f>IF(AND(A81="",B81=""),"",IF(OR(A81="",B81="",D81="",E81="",F81="",G81=""),"Missing item data",IF(IFERROR(VLOOKUP(F81,'Units'!$A$2:$D$13,3,FALSE),"")&lt;&gt;D81,"Unit mismatch",IF(J81="","Check cost","OK"))))</f>
        <v/>
      </c>
      <c r="L81" s="6" t="n"/>
    </row>
    <row r="82">
      <c r="A82" s="2" t="n"/>
      <c r="B82" s="2" t="n"/>
      <c r="C82" s="2" t="n"/>
      <c r="D82" s="4" t="n"/>
      <c r="E82" s="9" t="n"/>
      <c r="F82" s="4" t="n"/>
      <c r="G82" s="9" t="n"/>
      <c r="H82" s="10">
        <f>IF(OR(E82="",F82=""),"",IFERROR(E82*VLOOKUP(F82,'Units'!$A$2:$D$13,4,FALSE),""))</f>
        <v/>
      </c>
      <c r="I82" s="11" t="n"/>
      <c r="J82" s="10">
        <f>IF(OR(G82="",H82=""),"",IFERROR(G82/(H82*(1-I82)),""))</f>
        <v/>
      </c>
      <c r="K82" s="5">
        <f>IF(AND(A82="",B82=""),"",IF(OR(A82="",B82="",D82="",E82="",F82="",G82=""),"Missing item data",IF(IFERROR(VLOOKUP(F82,'Units'!$A$2:$D$13,3,FALSE),"")&lt;&gt;D82,"Unit mismatch",IF(J82="","Check cost","OK"))))</f>
        <v/>
      </c>
      <c r="L82" s="6" t="n"/>
    </row>
    <row r="83">
      <c r="A83" s="2" t="n"/>
      <c r="B83" s="2" t="n"/>
      <c r="C83" s="2" t="n"/>
      <c r="D83" s="4" t="n"/>
      <c r="E83" s="9" t="n"/>
      <c r="F83" s="4" t="n"/>
      <c r="G83" s="9" t="n"/>
      <c r="H83" s="10">
        <f>IF(OR(E83="",F83=""),"",IFERROR(E83*VLOOKUP(F83,'Units'!$A$2:$D$13,4,FALSE),""))</f>
        <v/>
      </c>
      <c r="I83" s="11" t="n"/>
      <c r="J83" s="10">
        <f>IF(OR(G83="",H83=""),"",IFERROR(G83/(H83*(1-I83)),""))</f>
        <v/>
      </c>
      <c r="K83" s="5">
        <f>IF(AND(A83="",B83=""),"",IF(OR(A83="",B83="",D83="",E83="",F83="",G83=""),"Missing item data",IF(IFERROR(VLOOKUP(F83,'Units'!$A$2:$D$13,3,FALSE),"")&lt;&gt;D83,"Unit mismatch",IF(J83="","Check cost","OK"))))</f>
        <v/>
      </c>
      <c r="L83" s="6" t="n"/>
    </row>
    <row r="84">
      <c r="A84" s="2" t="n"/>
      <c r="B84" s="2" t="n"/>
      <c r="C84" s="2" t="n"/>
      <c r="D84" s="4" t="n"/>
      <c r="E84" s="9" t="n"/>
      <c r="F84" s="4" t="n"/>
      <c r="G84" s="9" t="n"/>
      <c r="H84" s="10">
        <f>IF(OR(E84="",F84=""),"",IFERROR(E84*VLOOKUP(F84,'Units'!$A$2:$D$13,4,FALSE),""))</f>
        <v/>
      </c>
      <c r="I84" s="11" t="n"/>
      <c r="J84" s="10">
        <f>IF(OR(G84="",H84=""),"",IFERROR(G84/(H84*(1-I84)),""))</f>
        <v/>
      </c>
      <c r="K84" s="5">
        <f>IF(AND(A84="",B84=""),"",IF(OR(A84="",B84="",D84="",E84="",F84="",G84=""),"Missing item data",IF(IFERROR(VLOOKUP(F84,'Units'!$A$2:$D$13,3,FALSE),"")&lt;&gt;D84,"Unit mismatch",IF(J84="","Check cost","OK"))))</f>
        <v/>
      </c>
      <c r="L84" s="6" t="n"/>
    </row>
    <row r="85">
      <c r="A85" s="2" t="n"/>
      <c r="B85" s="2" t="n"/>
      <c r="C85" s="2" t="n"/>
      <c r="D85" s="4" t="n"/>
      <c r="E85" s="9" t="n"/>
      <c r="F85" s="4" t="n"/>
      <c r="G85" s="9" t="n"/>
      <c r="H85" s="10">
        <f>IF(OR(E85="",F85=""),"",IFERROR(E85*VLOOKUP(F85,'Units'!$A$2:$D$13,4,FALSE),""))</f>
        <v/>
      </c>
      <c r="I85" s="11" t="n"/>
      <c r="J85" s="10">
        <f>IF(OR(G85="",H85=""),"",IFERROR(G85/(H85*(1-I85)),""))</f>
        <v/>
      </c>
      <c r="K85" s="5">
        <f>IF(AND(A85="",B85=""),"",IF(OR(A85="",B85="",D85="",E85="",F85="",G85=""),"Missing item data",IF(IFERROR(VLOOKUP(F85,'Units'!$A$2:$D$13,3,FALSE),"")&lt;&gt;D85,"Unit mismatch",IF(J85="","Check cost","OK"))))</f>
        <v/>
      </c>
      <c r="L85" s="6" t="n"/>
    </row>
    <row r="86">
      <c r="A86" s="2" t="n"/>
      <c r="B86" s="2" t="n"/>
      <c r="C86" s="2" t="n"/>
      <c r="D86" s="4" t="n"/>
      <c r="E86" s="9" t="n"/>
      <c r="F86" s="4" t="n"/>
      <c r="G86" s="9" t="n"/>
      <c r="H86" s="10">
        <f>IF(OR(E86="",F86=""),"",IFERROR(E86*VLOOKUP(F86,'Units'!$A$2:$D$13,4,FALSE),""))</f>
        <v/>
      </c>
      <c r="I86" s="11" t="n"/>
      <c r="J86" s="10">
        <f>IF(OR(G86="",H86=""),"",IFERROR(G86/(H86*(1-I86)),""))</f>
        <v/>
      </c>
      <c r="K86" s="5">
        <f>IF(AND(A86="",B86=""),"",IF(OR(A86="",B86="",D86="",E86="",F86="",G86=""),"Missing item data",IF(IFERROR(VLOOKUP(F86,'Units'!$A$2:$D$13,3,FALSE),"")&lt;&gt;D86,"Unit mismatch",IF(J86="","Check cost","OK"))))</f>
        <v/>
      </c>
      <c r="L86" s="6" t="n"/>
    </row>
    <row r="87">
      <c r="A87" s="2" t="n"/>
      <c r="B87" s="2" t="n"/>
      <c r="C87" s="2" t="n"/>
      <c r="D87" s="4" t="n"/>
      <c r="E87" s="9" t="n"/>
      <c r="F87" s="4" t="n"/>
      <c r="G87" s="9" t="n"/>
      <c r="H87" s="10">
        <f>IF(OR(E87="",F87=""),"",IFERROR(E87*VLOOKUP(F87,'Units'!$A$2:$D$13,4,FALSE),""))</f>
        <v/>
      </c>
      <c r="I87" s="11" t="n"/>
      <c r="J87" s="10">
        <f>IF(OR(G87="",H87=""),"",IFERROR(G87/(H87*(1-I87)),""))</f>
        <v/>
      </c>
      <c r="K87" s="5">
        <f>IF(AND(A87="",B87=""),"",IF(OR(A87="",B87="",D87="",E87="",F87="",G87=""),"Missing item data",IF(IFERROR(VLOOKUP(F87,'Units'!$A$2:$D$13,3,FALSE),"")&lt;&gt;D87,"Unit mismatch",IF(J87="","Check cost","OK"))))</f>
        <v/>
      </c>
      <c r="L87" s="6" t="n"/>
    </row>
    <row r="88">
      <c r="A88" s="2" t="n"/>
      <c r="B88" s="2" t="n"/>
      <c r="C88" s="2" t="n"/>
      <c r="D88" s="4" t="n"/>
      <c r="E88" s="9" t="n"/>
      <c r="F88" s="4" t="n"/>
      <c r="G88" s="9" t="n"/>
      <c r="H88" s="10">
        <f>IF(OR(E88="",F88=""),"",IFERROR(E88*VLOOKUP(F88,'Units'!$A$2:$D$13,4,FALSE),""))</f>
        <v/>
      </c>
      <c r="I88" s="11" t="n"/>
      <c r="J88" s="10">
        <f>IF(OR(G88="",H88=""),"",IFERROR(G88/(H88*(1-I88)),""))</f>
        <v/>
      </c>
      <c r="K88" s="5">
        <f>IF(AND(A88="",B88=""),"",IF(OR(A88="",B88="",D88="",E88="",F88="",G88=""),"Missing item data",IF(IFERROR(VLOOKUP(F88,'Units'!$A$2:$D$13,3,FALSE),"")&lt;&gt;D88,"Unit mismatch",IF(J88="","Check cost","OK"))))</f>
        <v/>
      </c>
      <c r="L88" s="6" t="n"/>
    </row>
    <row r="89">
      <c r="A89" s="2" t="n"/>
      <c r="B89" s="2" t="n"/>
      <c r="C89" s="2" t="n"/>
      <c r="D89" s="4" t="n"/>
      <c r="E89" s="9" t="n"/>
      <c r="F89" s="4" t="n"/>
      <c r="G89" s="9" t="n"/>
      <c r="H89" s="10">
        <f>IF(OR(E89="",F89=""),"",IFERROR(E89*VLOOKUP(F89,'Units'!$A$2:$D$13,4,FALSE),""))</f>
        <v/>
      </c>
      <c r="I89" s="11" t="n"/>
      <c r="J89" s="10">
        <f>IF(OR(G89="",H89=""),"",IFERROR(G89/(H89*(1-I89)),""))</f>
        <v/>
      </c>
      <c r="K89" s="5">
        <f>IF(AND(A89="",B89=""),"",IF(OR(A89="",B89="",D89="",E89="",F89="",G89=""),"Missing item data",IF(IFERROR(VLOOKUP(F89,'Units'!$A$2:$D$13,3,FALSE),"")&lt;&gt;D89,"Unit mismatch",IF(J89="","Check cost","OK"))))</f>
        <v/>
      </c>
      <c r="L89" s="6" t="n"/>
    </row>
    <row r="90">
      <c r="A90" s="2" t="n"/>
      <c r="B90" s="2" t="n"/>
      <c r="C90" s="2" t="n"/>
      <c r="D90" s="4" t="n"/>
      <c r="E90" s="9" t="n"/>
      <c r="F90" s="4" t="n"/>
      <c r="G90" s="9" t="n"/>
      <c r="H90" s="10">
        <f>IF(OR(E90="",F90=""),"",IFERROR(E90*VLOOKUP(F90,'Units'!$A$2:$D$13,4,FALSE),""))</f>
        <v/>
      </c>
      <c r="I90" s="11" t="n"/>
      <c r="J90" s="10">
        <f>IF(OR(G90="",H90=""),"",IFERROR(G90/(H90*(1-I90)),""))</f>
        <v/>
      </c>
      <c r="K90" s="5">
        <f>IF(AND(A90="",B90=""),"",IF(OR(A90="",B90="",D90="",E90="",F90="",G90=""),"Missing item data",IF(IFERROR(VLOOKUP(F90,'Units'!$A$2:$D$13,3,FALSE),"")&lt;&gt;D90,"Unit mismatch",IF(J90="","Check cost","OK"))))</f>
        <v/>
      </c>
      <c r="L90" s="6" t="n"/>
    </row>
    <row r="91">
      <c r="A91" s="2" t="n"/>
      <c r="B91" s="2" t="n"/>
      <c r="C91" s="2" t="n"/>
      <c r="D91" s="4" t="n"/>
      <c r="E91" s="9" t="n"/>
      <c r="F91" s="4" t="n"/>
      <c r="G91" s="9" t="n"/>
      <c r="H91" s="10">
        <f>IF(OR(E91="",F91=""),"",IFERROR(E91*VLOOKUP(F91,'Units'!$A$2:$D$13,4,FALSE),""))</f>
        <v/>
      </c>
      <c r="I91" s="11" t="n"/>
      <c r="J91" s="10">
        <f>IF(OR(G91="",H91=""),"",IFERROR(G91/(H91*(1-I91)),""))</f>
        <v/>
      </c>
      <c r="K91" s="5">
        <f>IF(AND(A91="",B91=""),"",IF(OR(A91="",B91="",D91="",E91="",F91="",G91=""),"Missing item data",IF(IFERROR(VLOOKUP(F91,'Units'!$A$2:$D$13,3,FALSE),"")&lt;&gt;D91,"Unit mismatch",IF(J91="","Check cost","OK"))))</f>
        <v/>
      </c>
      <c r="L91" s="6" t="n"/>
    </row>
    <row r="92">
      <c r="A92" s="2" t="n"/>
      <c r="B92" s="2" t="n"/>
      <c r="C92" s="2" t="n"/>
      <c r="D92" s="4" t="n"/>
      <c r="E92" s="9" t="n"/>
      <c r="F92" s="4" t="n"/>
      <c r="G92" s="9" t="n"/>
      <c r="H92" s="10">
        <f>IF(OR(E92="",F92=""),"",IFERROR(E92*VLOOKUP(F92,'Units'!$A$2:$D$13,4,FALSE),""))</f>
        <v/>
      </c>
      <c r="I92" s="11" t="n"/>
      <c r="J92" s="10">
        <f>IF(OR(G92="",H92=""),"",IFERROR(G92/(H92*(1-I92)),""))</f>
        <v/>
      </c>
      <c r="K92" s="5">
        <f>IF(AND(A92="",B92=""),"",IF(OR(A92="",B92="",D92="",E92="",F92="",G92=""),"Missing item data",IF(IFERROR(VLOOKUP(F92,'Units'!$A$2:$D$13,3,FALSE),"")&lt;&gt;D92,"Unit mismatch",IF(J92="","Check cost","OK"))))</f>
        <v/>
      </c>
      <c r="L92" s="6" t="n"/>
    </row>
    <row r="93">
      <c r="A93" s="2" t="n"/>
      <c r="B93" s="2" t="n"/>
      <c r="C93" s="2" t="n"/>
      <c r="D93" s="4" t="n"/>
      <c r="E93" s="9" t="n"/>
      <c r="F93" s="4" t="n"/>
      <c r="G93" s="9" t="n"/>
      <c r="H93" s="10">
        <f>IF(OR(E93="",F93=""),"",IFERROR(E93*VLOOKUP(F93,'Units'!$A$2:$D$13,4,FALSE),""))</f>
        <v/>
      </c>
      <c r="I93" s="11" t="n"/>
      <c r="J93" s="10">
        <f>IF(OR(G93="",H93=""),"",IFERROR(G93/(H93*(1-I93)),""))</f>
        <v/>
      </c>
      <c r="K93" s="5">
        <f>IF(AND(A93="",B93=""),"",IF(OR(A93="",B93="",D93="",E93="",F93="",G93=""),"Missing item data",IF(IFERROR(VLOOKUP(F93,'Units'!$A$2:$D$13,3,FALSE),"")&lt;&gt;D93,"Unit mismatch",IF(J93="","Check cost","OK"))))</f>
        <v/>
      </c>
      <c r="L93" s="6" t="n"/>
    </row>
    <row r="94">
      <c r="A94" s="2" t="n"/>
      <c r="B94" s="2" t="n"/>
      <c r="C94" s="2" t="n"/>
      <c r="D94" s="4" t="n"/>
      <c r="E94" s="9" t="n"/>
      <c r="F94" s="4" t="n"/>
      <c r="G94" s="9" t="n"/>
      <c r="H94" s="10">
        <f>IF(OR(E94="",F94=""),"",IFERROR(E94*VLOOKUP(F94,'Units'!$A$2:$D$13,4,FALSE),""))</f>
        <v/>
      </c>
      <c r="I94" s="11" t="n"/>
      <c r="J94" s="10">
        <f>IF(OR(G94="",H94=""),"",IFERROR(G94/(H94*(1-I94)),""))</f>
        <v/>
      </c>
      <c r="K94" s="5">
        <f>IF(AND(A94="",B94=""),"",IF(OR(A94="",B94="",D94="",E94="",F94="",G94=""),"Missing item data",IF(IFERROR(VLOOKUP(F94,'Units'!$A$2:$D$13,3,FALSE),"")&lt;&gt;D94,"Unit mismatch",IF(J94="","Check cost","OK"))))</f>
        <v/>
      </c>
      <c r="L94" s="6" t="n"/>
    </row>
    <row r="95">
      <c r="A95" s="2" t="n"/>
      <c r="B95" s="2" t="n"/>
      <c r="C95" s="2" t="n"/>
      <c r="D95" s="4" t="n"/>
      <c r="E95" s="9" t="n"/>
      <c r="F95" s="4" t="n"/>
      <c r="G95" s="9" t="n"/>
      <c r="H95" s="10">
        <f>IF(OR(E95="",F95=""),"",IFERROR(E95*VLOOKUP(F95,'Units'!$A$2:$D$13,4,FALSE),""))</f>
        <v/>
      </c>
      <c r="I95" s="11" t="n"/>
      <c r="J95" s="10">
        <f>IF(OR(G95="",H95=""),"",IFERROR(G95/(H95*(1-I95)),""))</f>
        <v/>
      </c>
      <c r="K95" s="5">
        <f>IF(AND(A95="",B95=""),"",IF(OR(A95="",B95="",D95="",E95="",F95="",G95=""),"Missing item data",IF(IFERROR(VLOOKUP(F95,'Units'!$A$2:$D$13,3,FALSE),"")&lt;&gt;D95,"Unit mismatch",IF(J95="","Check cost","OK"))))</f>
        <v/>
      </c>
      <c r="L95" s="6" t="n"/>
    </row>
    <row r="96">
      <c r="A96" s="2" t="n"/>
      <c r="B96" s="2" t="n"/>
      <c r="C96" s="2" t="n"/>
      <c r="D96" s="4" t="n"/>
      <c r="E96" s="9" t="n"/>
      <c r="F96" s="4" t="n"/>
      <c r="G96" s="9" t="n"/>
      <c r="H96" s="10">
        <f>IF(OR(E96="",F96=""),"",IFERROR(E96*VLOOKUP(F96,'Units'!$A$2:$D$13,4,FALSE),""))</f>
        <v/>
      </c>
      <c r="I96" s="11" t="n"/>
      <c r="J96" s="10">
        <f>IF(OR(G96="",H96=""),"",IFERROR(G96/(H96*(1-I96)),""))</f>
        <v/>
      </c>
      <c r="K96" s="5">
        <f>IF(AND(A96="",B96=""),"",IF(OR(A96="",B96="",D96="",E96="",F96="",G96=""),"Missing item data",IF(IFERROR(VLOOKUP(F96,'Units'!$A$2:$D$13,3,FALSE),"")&lt;&gt;D96,"Unit mismatch",IF(J96="","Check cost","OK"))))</f>
        <v/>
      </c>
      <c r="L96" s="6" t="n"/>
    </row>
    <row r="97">
      <c r="A97" s="2" t="n"/>
      <c r="B97" s="2" t="n"/>
      <c r="C97" s="2" t="n"/>
      <c r="D97" s="4" t="n"/>
      <c r="E97" s="9" t="n"/>
      <c r="F97" s="4" t="n"/>
      <c r="G97" s="9" t="n"/>
      <c r="H97" s="10">
        <f>IF(OR(E97="",F97=""),"",IFERROR(E97*VLOOKUP(F97,'Units'!$A$2:$D$13,4,FALSE),""))</f>
        <v/>
      </c>
      <c r="I97" s="11" t="n"/>
      <c r="J97" s="10">
        <f>IF(OR(G97="",H97=""),"",IFERROR(G97/(H97*(1-I97)),""))</f>
        <v/>
      </c>
      <c r="K97" s="5">
        <f>IF(AND(A97="",B97=""),"",IF(OR(A97="",B97="",D97="",E97="",F97="",G97=""),"Missing item data",IF(IFERROR(VLOOKUP(F97,'Units'!$A$2:$D$13,3,FALSE),"")&lt;&gt;D97,"Unit mismatch",IF(J97="","Check cost","OK"))))</f>
        <v/>
      </c>
      <c r="L97" s="6" t="n"/>
    </row>
    <row r="98">
      <c r="A98" s="2" t="n"/>
      <c r="B98" s="2" t="n"/>
      <c r="C98" s="2" t="n"/>
      <c r="D98" s="4" t="n"/>
      <c r="E98" s="9" t="n"/>
      <c r="F98" s="4" t="n"/>
      <c r="G98" s="9" t="n"/>
      <c r="H98" s="10">
        <f>IF(OR(E98="",F98=""),"",IFERROR(E98*VLOOKUP(F98,'Units'!$A$2:$D$13,4,FALSE),""))</f>
        <v/>
      </c>
      <c r="I98" s="11" t="n"/>
      <c r="J98" s="10">
        <f>IF(OR(G98="",H98=""),"",IFERROR(G98/(H98*(1-I98)),""))</f>
        <v/>
      </c>
      <c r="K98" s="5">
        <f>IF(AND(A98="",B98=""),"",IF(OR(A98="",B98="",D98="",E98="",F98="",G98=""),"Missing item data",IF(IFERROR(VLOOKUP(F98,'Units'!$A$2:$D$13,3,FALSE),"")&lt;&gt;D98,"Unit mismatch",IF(J98="","Check cost","OK"))))</f>
        <v/>
      </c>
      <c r="L98" s="6" t="n"/>
    </row>
    <row r="99">
      <c r="A99" s="2" t="n"/>
      <c r="B99" s="2" t="n"/>
      <c r="C99" s="2" t="n"/>
      <c r="D99" s="4" t="n"/>
      <c r="E99" s="9" t="n"/>
      <c r="F99" s="4" t="n"/>
      <c r="G99" s="9" t="n"/>
      <c r="H99" s="10">
        <f>IF(OR(E99="",F99=""),"",IFERROR(E99*VLOOKUP(F99,'Units'!$A$2:$D$13,4,FALSE),""))</f>
        <v/>
      </c>
      <c r="I99" s="11" t="n"/>
      <c r="J99" s="10">
        <f>IF(OR(G99="",H99=""),"",IFERROR(G99/(H99*(1-I99)),""))</f>
        <v/>
      </c>
      <c r="K99" s="5">
        <f>IF(AND(A99="",B99=""),"",IF(OR(A99="",B99="",D99="",E99="",F99="",G99=""),"Missing item data",IF(IFERROR(VLOOKUP(F99,'Units'!$A$2:$D$13,3,FALSE),"")&lt;&gt;D99,"Unit mismatch",IF(J99="","Check cost","OK"))))</f>
        <v/>
      </c>
      <c r="L99" s="6" t="n"/>
    </row>
    <row r="100">
      <c r="A100" s="2" t="n"/>
      <c r="B100" s="2" t="n"/>
      <c r="C100" s="2" t="n"/>
      <c r="D100" s="4" t="n"/>
      <c r="E100" s="9" t="n"/>
      <c r="F100" s="4" t="n"/>
      <c r="G100" s="9" t="n"/>
      <c r="H100" s="10">
        <f>IF(OR(E100="",F100=""),"",IFERROR(E100*VLOOKUP(F100,'Units'!$A$2:$D$13,4,FALSE),""))</f>
        <v/>
      </c>
      <c r="I100" s="11" t="n"/>
      <c r="J100" s="10">
        <f>IF(OR(G100="",H100=""),"",IFERROR(G100/(H100*(1-I100)),""))</f>
        <v/>
      </c>
      <c r="K100" s="5">
        <f>IF(AND(A100="",B100=""),"",IF(OR(A100="",B100="",D100="",E100="",F100="",G100=""),"Missing item data",IF(IFERROR(VLOOKUP(F100,'Units'!$A$2:$D$13,3,FALSE),"")&lt;&gt;D100,"Unit mismatch",IF(J100="","Check cost","OK"))))</f>
        <v/>
      </c>
      <c r="L100" s="6" t="n"/>
    </row>
    <row r="101">
      <c r="A101" s="2" t="n"/>
      <c r="B101" s="2" t="n"/>
      <c r="C101" s="2" t="n"/>
      <c r="D101" s="4" t="n"/>
      <c r="E101" s="9" t="n"/>
      <c r="F101" s="4" t="n"/>
      <c r="G101" s="9" t="n"/>
      <c r="H101" s="10">
        <f>IF(OR(E101="",F101=""),"",IFERROR(E101*VLOOKUP(F101,'Units'!$A$2:$D$13,4,FALSE),""))</f>
        <v/>
      </c>
      <c r="I101" s="11" t="n"/>
      <c r="J101" s="10">
        <f>IF(OR(G101="",H101=""),"",IFERROR(G101/(H101*(1-I101)),""))</f>
        <v/>
      </c>
      <c r="K101" s="5">
        <f>IF(AND(A101="",B101=""),"",IF(OR(A101="",B101="",D101="",E101="",F101="",G101=""),"Missing item data",IF(IFERROR(VLOOKUP(F101,'Units'!$A$2:$D$13,3,FALSE),"")&lt;&gt;D101,"Unit mismatch",IF(J101="","Check cost","OK"))))</f>
        <v/>
      </c>
      <c r="L101" s="6" t="n"/>
    </row>
    <row r="102">
      <c r="A102" s="2" t="n"/>
      <c r="B102" s="2" t="n"/>
      <c r="C102" s="2" t="n"/>
      <c r="D102" s="4" t="n"/>
      <c r="E102" s="9" t="n"/>
      <c r="F102" s="4" t="n"/>
      <c r="G102" s="9" t="n"/>
      <c r="H102" s="10">
        <f>IF(OR(E102="",F102=""),"",IFERROR(E102*VLOOKUP(F102,'Units'!$A$2:$D$13,4,FALSE),""))</f>
        <v/>
      </c>
      <c r="I102" s="11" t="n"/>
      <c r="J102" s="10">
        <f>IF(OR(G102="",H102=""),"",IFERROR(G102/(H102*(1-I102)),""))</f>
        <v/>
      </c>
      <c r="K102" s="5">
        <f>IF(AND(A102="",B102=""),"",IF(OR(A102="",B102="",D102="",E102="",F102="",G102=""),"Missing item data",IF(IFERROR(VLOOKUP(F102,'Units'!$A$2:$D$13,3,FALSE),"")&lt;&gt;D102,"Unit mismatch",IF(J102="","Check cost","OK"))))</f>
        <v/>
      </c>
      <c r="L102" s="6" t="n"/>
    </row>
    <row r="103">
      <c r="A103" s="2" t="n"/>
      <c r="B103" s="2" t="n"/>
      <c r="C103" s="2" t="n"/>
      <c r="D103" s="4" t="n"/>
      <c r="E103" s="9" t="n"/>
      <c r="F103" s="4" t="n"/>
      <c r="G103" s="9" t="n"/>
      <c r="H103" s="10">
        <f>IF(OR(E103="",F103=""),"",IFERROR(E103*VLOOKUP(F103,'Units'!$A$2:$D$13,4,FALSE),""))</f>
        <v/>
      </c>
      <c r="I103" s="11" t="n"/>
      <c r="J103" s="10">
        <f>IF(OR(G103="",H103=""),"",IFERROR(G103/(H103*(1-I103)),""))</f>
        <v/>
      </c>
      <c r="K103" s="5">
        <f>IF(AND(A103="",B103=""),"",IF(OR(A103="",B103="",D103="",E103="",F103="",G103=""),"Missing item data",IF(IFERROR(VLOOKUP(F103,'Units'!$A$2:$D$13,3,FALSE),"")&lt;&gt;D103,"Unit mismatch",IF(J103="","Check cost","OK"))))</f>
        <v/>
      </c>
      <c r="L103" s="6" t="n"/>
    </row>
    <row r="104">
      <c r="A104" s="2" t="n"/>
      <c r="B104" s="2" t="n"/>
      <c r="C104" s="2" t="n"/>
      <c r="D104" s="4" t="n"/>
      <c r="E104" s="9" t="n"/>
      <c r="F104" s="4" t="n"/>
      <c r="G104" s="9" t="n"/>
      <c r="H104" s="10">
        <f>IF(OR(E104="",F104=""),"",IFERROR(E104*VLOOKUP(F104,'Units'!$A$2:$D$13,4,FALSE),""))</f>
        <v/>
      </c>
      <c r="I104" s="11" t="n"/>
      <c r="J104" s="10">
        <f>IF(OR(G104="",H104=""),"",IFERROR(G104/(H104*(1-I104)),""))</f>
        <v/>
      </c>
      <c r="K104" s="5">
        <f>IF(AND(A104="",B104=""),"",IF(OR(A104="",B104="",D104="",E104="",F104="",G104=""),"Missing item data",IF(IFERROR(VLOOKUP(F104,'Units'!$A$2:$D$13,3,FALSE),"")&lt;&gt;D104,"Unit mismatch",IF(J104="","Check cost","OK"))))</f>
        <v/>
      </c>
      <c r="L104" s="6" t="n"/>
    </row>
    <row r="105">
      <c r="A105" s="2" t="n"/>
      <c r="B105" s="2" t="n"/>
      <c r="C105" s="2" t="n"/>
      <c r="D105" s="4" t="n"/>
      <c r="E105" s="9" t="n"/>
      <c r="F105" s="4" t="n"/>
      <c r="G105" s="9" t="n"/>
      <c r="H105" s="10">
        <f>IF(OR(E105="",F105=""),"",IFERROR(E105*VLOOKUP(F105,'Units'!$A$2:$D$13,4,FALSE),""))</f>
        <v/>
      </c>
      <c r="I105" s="11" t="n"/>
      <c r="J105" s="10">
        <f>IF(OR(G105="",H105=""),"",IFERROR(G105/(H105*(1-I105)),""))</f>
        <v/>
      </c>
      <c r="K105" s="5">
        <f>IF(AND(A105="",B105=""),"",IF(OR(A105="",B105="",D105="",E105="",F105="",G105=""),"Missing item data",IF(IFERROR(VLOOKUP(F105,'Units'!$A$2:$D$13,3,FALSE),"")&lt;&gt;D105,"Unit mismatch",IF(J105="","Check cost","OK"))))</f>
        <v/>
      </c>
      <c r="L105" s="6" t="n"/>
    </row>
    <row r="106">
      <c r="A106" s="2" t="n"/>
      <c r="B106" s="2" t="n"/>
      <c r="C106" s="2" t="n"/>
      <c r="D106" s="4" t="n"/>
      <c r="E106" s="9" t="n"/>
      <c r="F106" s="4" t="n"/>
      <c r="G106" s="9" t="n"/>
      <c r="H106" s="10">
        <f>IF(OR(E106="",F106=""),"",IFERROR(E106*VLOOKUP(F106,'Units'!$A$2:$D$13,4,FALSE),""))</f>
        <v/>
      </c>
      <c r="I106" s="11" t="n"/>
      <c r="J106" s="10">
        <f>IF(OR(G106="",H106=""),"",IFERROR(G106/(H106*(1-I106)),""))</f>
        <v/>
      </c>
      <c r="K106" s="5">
        <f>IF(AND(A106="",B106=""),"",IF(OR(A106="",B106="",D106="",E106="",F106="",G106=""),"Missing item data",IF(IFERROR(VLOOKUP(F106,'Units'!$A$2:$D$13,3,FALSE),"")&lt;&gt;D106,"Unit mismatch",IF(J106="","Check cost","OK"))))</f>
        <v/>
      </c>
      <c r="L106" s="6" t="n"/>
    </row>
    <row r="107">
      <c r="A107" s="2" t="n"/>
      <c r="B107" s="2" t="n"/>
      <c r="C107" s="2" t="n"/>
      <c r="D107" s="4" t="n"/>
      <c r="E107" s="9" t="n"/>
      <c r="F107" s="4" t="n"/>
      <c r="G107" s="9" t="n"/>
      <c r="H107" s="10">
        <f>IF(OR(E107="",F107=""),"",IFERROR(E107*VLOOKUP(F107,'Units'!$A$2:$D$13,4,FALSE),""))</f>
        <v/>
      </c>
      <c r="I107" s="11" t="n"/>
      <c r="J107" s="10">
        <f>IF(OR(G107="",H107=""),"",IFERROR(G107/(H107*(1-I107)),""))</f>
        <v/>
      </c>
      <c r="K107" s="5">
        <f>IF(AND(A107="",B107=""),"",IF(OR(A107="",B107="",D107="",E107="",F107="",G107=""),"Missing item data",IF(IFERROR(VLOOKUP(F107,'Units'!$A$2:$D$13,3,FALSE),"")&lt;&gt;D107,"Unit mismatch",IF(J107="","Check cost","OK"))))</f>
        <v/>
      </c>
      <c r="L107" s="6" t="n"/>
    </row>
    <row r="108">
      <c r="A108" s="2" t="n"/>
      <c r="B108" s="2" t="n"/>
      <c r="C108" s="2" t="n"/>
      <c r="D108" s="4" t="n"/>
      <c r="E108" s="9" t="n"/>
      <c r="F108" s="4" t="n"/>
      <c r="G108" s="9" t="n"/>
      <c r="H108" s="10">
        <f>IF(OR(E108="",F108=""),"",IFERROR(E108*VLOOKUP(F108,'Units'!$A$2:$D$13,4,FALSE),""))</f>
        <v/>
      </c>
      <c r="I108" s="11" t="n"/>
      <c r="J108" s="10">
        <f>IF(OR(G108="",H108=""),"",IFERROR(G108/(H108*(1-I108)),""))</f>
        <v/>
      </c>
      <c r="K108" s="5">
        <f>IF(AND(A108="",B108=""),"",IF(OR(A108="",B108="",D108="",E108="",F108="",G108=""),"Missing item data",IF(IFERROR(VLOOKUP(F108,'Units'!$A$2:$D$13,3,FALSE),"")&lt;&gt;D108,"Unit mismatch",IF(J108="","Check cost","OK"))))</f>
        <v/>
      </c>
      <c r="L108" s="6" t="n"/>
    </row>
    <row r="109">
      <c r="A109" s="2" t="n"/>
      <c r="B109" s="2" t="n"/>
      <c r="C109" s="2" t="n"/>
      <c r="D109" s="4" t="n"/>
      <c r="E109" s="9" t="n"/>
      <c r="F109" s="4" t="n"/>
      <c r="G109" s="9" t="n"/>
      <c r="H109" s="10">
        <f>IF(OR(E109="",F109=""),"",IFERROR(E109*VLOOKUP(F109,'Units'!$A$2:$D$13,4,FALSE),""))</f>
        <v/>
      </c>
      <c r="I109" s="11" t="n"/>
      <c r="J109" s="10">
        <f>IF(OR(G109="",H109=""),"",IFERROR(G109/(H109*(1-I109)),""))</f>
        <v/>
      </c>
      <c r="K109" s="5">
        <f>IF(AND(A109="",B109=""),"",IF(OR(A109="",B109="",D109="",E109="",F109="",G109=""),"Missing item data",IF(IFERROR(VLOOKUP(F109,'Units'!$A$2:$D$13,3,FALSE),"")&lt;&gt;D109,"Unit mismatch",IF(J109="","Check cost","OK"))))</f>
        <v/>
      </c>
      <c r="L109" s="6" t="n"/>
    </row>
    <row r="110">
      <c r="A110" s="2" t="n"/>
      <c r="B110" s="2" t="n"/>
      <c r="C110" s="2" t="n"/>
      <c r="D110" s="4" t="n"/>
      <c r="E110" s="9" t="n"/>
      <c r="F110" s="4" t="n"/>
      <c r="G110" s="9" t="n"/>
      <c r="H110" s="10">
        <f>IF(OR(E110="",F110=""),"",IFERROR(E110*VLOOKUP(F110,'Units'!$A$2:$D$13,4,FALSE),""))</f>
        <v/>
      </c>
      <c r="I110" s="11" t="n"/>
      <c r="J110" s="10">
        <f>IF(OR(G110="",H110=""),"",IFERROR(G110/(H110*(1-I110)),""))</f>
        <v/>
      </c>
      <c r="K110" s="5">
        <f>IF(AND(A110="",B110=""),"",IF(OR(A110="",B110="",D110="",E110="",F110="",G110=""),"Missing item data",IF(IFERROR(VLOOKUP(F110,'Units'!$A$2:$D$13,3,FALSE),"")&lt;&gt;D110,"Unit mismatch",IF(J110="","Check cost","OK"))))</f>
        <v/>
      </c>
      <c r="L110" s="6" t="n"/>
    </row>
    <row r="111">
      <c r="A111" s="2" t="n"/>
      <c r="B111" s="2" t="n"/>
      <c r="C111" s="2" t="n"/>
      <c r="D111" s="4" t="n"/>
      <c r="E111" s="9" t="n"/>
      <c r="F111" s="4" t="n"/>
      <c r="G111" s="9" t="n"/>
      <c r="H111" s="10">
        <f>IF(OR(E111="",F111=""),"",IFERROR(E111*VLOOKUP(F111,'Units'!$A$2:$D$13,4,FALSE),""))</f>
        <v/>
      </c>
      <c r="I111" s="11" t="n"/>
      <c r="J111" s="10">
        <f>IF(OR(G111="",H111=""),"",IFERROR(G111/(H111*(1-I111)),""))</f>
        <v/>
      </c>
      <c r="K111" s="5">
        <f>IF(AND(A111="",B111=""),"",IF(OR(A111="",B111="",D111="",E111="",F111="",G111=""),"Missing item data",IF(IFERROR(VLOOKUP(F111,'Units'!$A$2:$D$13,3,FALSE),"")&lt;&gt;D111,"Unit mismatch",IF(J111="","Check cost","OK"))))</f>
        <v/>
      </c>
      <c r="L111" s="6" t="n"/>
    </row>
    <row r="112">
      <c r="A112" s="2" t="n"/>
      <c r="B112" s="2" t="n"/>
      <c r="C112" s="2" t="n"/>
      <c r="D112" s="4" t="n"/>
      <c r="E112" s="9" t="n"/>
      <c r="F112" s="4" t="n"/>
      <c r="G112" s="9" t="n"/>
      <c r="H112" s="10">
        <f>IF(OR(E112="",F112=""),"",IFERROR(E112*VLOOKUP(F112,'Units'!$A$2:$D$13,4,FALSE),""))</f>
        <v/>
      </c>
      <c r="I112" s="11" t="n"/>
      <c r="J112" s="10">
        <f>IF(OR(G112="",H112=""),"",IFERROR(G112/(H112*(1-I112)),""))</f>
        <v/>
      </c>
      <c r="K112" s="5">
        <f>IF(AND(A112="",B112=""),"",IF(OR(A112="",B112="",D112="",E112="",F112="",G112=""),"Missing item data",IF(IFERROR(VLOOKUP(F112,'Units'!$A$2:$D$13,3,FALSE),"")&lt;&gt;D112,"Unit mismatch",IF(J112="","Check cost","OK"))))</f>
        <v/>
      </c>
      <c r="L112" s="6" t="n"/>
    </row>
    <row r="113">
      <c r="A113" s="2" t="n"/>
      <c r="B113" s="2" t="n"/>
      <c r="C113" s="2" t="n"/>
      <c r="D113" s="4" t="n"/>
      <c r="E113" s="9" t="n"/>
      <c r="F113" s="4" t="n"/>
      <c r="G113" s="9" t="n"/>
      <c r="H113" s="10">
        <f>IF(OR(E113="",F113=""),"",IFERROR(E113*VLOOKUP(F113,'Units'!$A$2:$D$13,4,FALSE),""))</f>
        <v/>
      </c>
      <c r="I113" s="11" t="n"/>
      <c r="J113" s="10">
        <f>IF(OR(G113="",H113=""),"",IFERROR(G113/(H113*(1-I113)),""))</f>
        <v/>
      </c>
      <c r="K113" s="5">
        <f>IF(AND(A113="",B113=""),"",IF(OR(A113="",B113="",D113="",E113="",F113="",G113=""),"Missing item data",IF(IFERROR(VLOOKUP(F113,'Units'!$A$2:$D$13,3,FALSE),"")&lt;&gt;D113,"Unit mismatch",IF(J113="","Check cost","OK"))))</f>
        <v/>
      </c>
      <c r="L113" s="6" t="n"/>
    </row>
    <row r="114">
      <c r="A114" s="2" t="n"/>
      <c r="B114" s="2" t="n"/>
      <c r="C114" s="2" t="n"/>
      <c r="D114" s="4" t="n"/>
      <c r="E114" s="9" t="n"/>
      <c r="F114" s="4" t="n"/>
      <c r="G114" s="9" t="n"/>
      <c r="H114" s="10">
        <f>IF(OR(E114="",F114=""),"",IFERROR(E114*VLOOKUP(F114,'Units'!$A$2:$D$13,4,FALSE),""))</f>
        <v/>
      </c>
      <c r="I114" s="11" t="n"/>
      <c r="J114" s="10">
        <f>IF(OR(G114="",H114=""),"",IFERROR(G114/(H114*(1-I114)),""))</f>
        <v/>
      </c>
      <c r="K114" s="5">
        <f>IF(AND(A114="",B114=""),"",IF(OR(A114="",B114="",D114="",E114="",F114="",G114=""),"Missing item data",IF(IFERROR(VLOOKUP(F114,'Units'!$A$2:$D$13,3,FALSE),"")&lt;&gt;D114,"Unit mismatch",IF(J114="","Check cost","OK"))))</f>
        <v/>
      </c>
      <c r="L114" s="6" t="n"/>
    </row>
    <row r="115">
      <c r="A115" s="2" t="n"/>
      <c r="B115" s="2" t="n"/>
      <c r="C115" s="2" t="n"/>
      <c r="D115" s="4" t="n"/>
      <c r="E115" s="9" t="n"/>
      <c r="F115" s="4" t="n"/>
      <c r="G115" s="9" t="n"/>
      <c r="H115" s="10">
        <f>IF(OR(E115="",F115=""),"",IFERROR(E115*VLOOKUP(F115,'Units'!$A$2:$D$13,4,FALSE),""))</f>
        <v/>
      </c>
      <c r="I115" s="11" t="n"/>
      <c r="J115" s="10">
        <f>IF(OR(G115="",H115=""),"",IFERROR(G115/(H115*(1-I115)),""))</f>
        <v/>
      </c>
      <c r="K115" s="5">
        <f>IF(AND(A115="",B115=""),"",IF(OR(A115="",B115="",D115="",E115="",F115="",G115=""),"Missing item data",IF(IFERROR(VLOOKUP(F115,'Units'!$A$2:$D$13,3,FALSE),"")&lt;&gt;D115,"Unit mismatch",IF(J115="","Check cost","OK"))))</f>
        <v/>
      </c>
      <c r="L115" s="6" t="n"/>
    </row>
    <row r="116">
      <c r="A116" s="2" t="n"/>
      <c r="B116" s="2" t="n"/>
      <c r="C116" s="2" t="n"/>
      <c r="D116" s="4" t="n"/>
      <c r="E116" s="9" t="n"/>
      <c r="F116" s="4" t="n"/>
      <c r="G116" s="9" t="n"/>
      <c r="H116" s="10">
        <f>IF(OR(E116="",F116=""),"",IFERROR(E116*VLOOKUP(F116,'Units'!$A$2:$D$13,4,FALSE),""))</f>
        <v/>
      </c>
      <c r="I116" s="11" t="n"/>
      <c r="J116" s="10">
        <f>IF(OR(G116="",H116=""),"",IFERROR(G116/(H116*(1-I116)),""))</f>
        <v/>
      </c>
      <c r="K116" s="5">
        <f>IF(AND(A116="",B116=""),"",IF(OR(A116="",B116="",D116="",E116="",F116="",G116=""),"Missing item data",IF(IFERROR(VLOOKUP(F116,'Units'!$A$2:$D$13,3,FALSE),"")&lt;&gt;D116,"Unit mismatch",IF(J116="","Check cost","OK"))))</f>
        <v/>
      </c>
      <c r="L116" s="6" t="n"/>
    </row>
    <row r="117">
      <c r="A117" s="2" t="n"/>
      <c r="B117" s="2" t="n"/>
      <c r="C117" s="2" t="n"/>
      <c r="D117" s="4" t="n"/>
      <c r="E117" s="9" t="n"/>
      <c r="F117" s="4" t="n"/>
      <c r="G117" s="9" t="n"/>
      <c r="H117" s="10">
        <f>IF(OR(E117="",F117=""),"",IFERROR(E117*VLOOKUP(F117,'Units'!$A$2:$D$13,4,FALSE),""))</f>
        <v/>
      </c>
      <c r="I117" s="11" t="n"/>
      <c r="J117" s="10">
        <f>IF(OR(G117="",H117=""),"",IFERROR(G117/(H117*(1-I117)),""))</f>
        <v/>
      </c>
      <c r="K117" s="5">
        <f>IF(AND(A117="",B117=""),"",IF(OR(A117="",B117="",D117="",E117="",F117="",G117=""),"Missing item data",IF(IFERROR(VLOOKUP(F117,'Units'!$A$2:$D$13,3,FALSE),"")&lt;&gt;D117,"Unit mismatch",IF(J117="","Check cost","OK"))))</f>
        <v/>
      </c>
      <c r="L117" s="6" t="n"/>
    </row>
    <row r="118">
      <c r="A118" s="2" t="n"/>
      <c r="B118" s="2" t="n"/>
      <c r="C118" s="2" t="n"/>
      <c r="D118" s="4" t="n"/>
      <c r="E118" s="9" t="n"/>
      <c r="F118" s="4" t="n"/>
      <c r="G118" s="9" t="n"/>
      <c r="H118" s="10">
        <f>IF(OR(E118="",F118=""),"",IFERROR(E118*VLOOKUP(F118,'Units'!$A$2:$D$13,4,FALSE),""))</f>
        <v/>
      </c>
      <c r="I118" s="11" t="n"/>
      <c r="J118" s="10">
        <f>IF(OR(G118="",H118=""),"",IFERROR(G118/(H118*(1-I118)),""))</f>
        <v/>
      </c>
      <c r="K118" s="5">
        <f>IF(AND(A118="",B118=""),"",IF(OR(A118="",B118="",D118="",E118="",F118="",G118=""),"Missing item data",IF(IFERROR(VLOOKUP(F118,'Units'!$A$2:$D$13,3,FALSE),"")&lt;&gt;D118,"Unit mismatch",IF(J118="","Check cost","OK"))))</f>
        <v/>
      </c>
      <c r="L118" s="6" t="n"/>
    </row>
    <row r="119">
      <c r="A119" s="2" t="n"/>
      <c r="B119" s="2" t="n"/>
      <c r="C119" s="2" t="n"/>
      <c r="D119" s="4" t="n"/>
      <c r="E119" s="9" t="n"/>
      <c r="F119" s="4" t="n"/>
      <c r="G119" s="9" t="n"/>
      <c r="H119" s="10">
        <f>IF(OR(E119="",F119=""),"",IFERROR(E119*VLOOKUP(F119,'Units'!$A$2:$D$13,4,FALSE),""))</f>
        <v/>
      </c>
      <c r="I119" s="11" t="n"/>
      <c r="J119" s="10">
        <f>IF(OR(G119="",H119=""),"",IFERROR(G119/(H119*(1-I119)),""))</f>
        <v/>
      </c>
      <c r="K119" s="5">
        <f>IF(AND(A119="",B119=""),"",IF(OR(A119="",B119="",D119="",E119="",F119="",G119=""),"Missing item data",IF(IFERROR(VLOOKUP(F119,'Units'!$A$2:$D$13,3,FALSE),"")&lt;&gt;D119,"Unit mismatch",IF(J119="","Check cost","OK"))))</f>
        <v/>
      </c>
      <c r="L119" s="6" t="n"/>
    </row>
    <row r="120">
      <c r="A120" s="2" t="n"/>
      <c r="B120" s="2" t="n"/>
      <c r="C120" s="2" t="n"/>
      <c r="D120" s="4" t="n"/>
      <c r="E120" s="9" t="n"/>
      <c r="F120" s="4" t="n"/>
      <c r="G120" s="9" t="n"/>
      <c r="H120" s="10">
        <f>IF(OR(E120="",F120=""),"",IFERROR(E120*VLOOKUP(F120,'Units'!$A$2:$D$13,4,FALSE),""))</f>
        <v/>
      </c>
      <c r="I120" s="11" t="n"/>
      <c r="J120" s="10">
        <f>IF(OR(G120="",H120=""),"",IFERROR(G120/(H120*(1-I120)),""))</f>
        <v/>
      </c>
      <c r="K120" s="5">
        <f>IF(AND(A120="",B120=""),"",IF(OR(A120="",B120="",D120="",E120="",F120="",G120=""),"Missing item data",IF(IFERROR(VLOOKUP(F120,'Units'!$A$2:$D$13,3,FALSE),"")&lt;&gt;D120,"Unit mismatch",IF(J120="","Check cost","OK"))))</f>
        <v/>
      </c>
      <c r="L120" s="6" t="n"/>
    </row>
    <row r="121">
      <c r="A121" s="2" t="n"/>
      <c r="B121" s="2" t="n"/>
      <c r="C121" s="2" t="n"/>
      <c r="D121" s="4" t="n"/>
      <c r="E121" s="9" t="n"/>
      <c r="F121" s="4" t="n"/>
      <c r="G121" s="9" t="n"/>
      <c r="H121" s="10">
        <f>IF(OR(E121="",F121=""),"",IFERROR(E121*VLOOKUP(F121,'Units'!$A$2:$D$13,4,FALSE),""))</f>
        <v/>
      </c>
      <c r="I121" s="11" t="n"/>
      <c r="J121" s="10">
        <f>IF(OR(G121="",H121=""),"",IFERROR(G121/(H121*(1-I121)),""))</f>
        <v/>
      </c>
      <c r="K121" s="5">
        <f>IF(AND(A121="",B121=""),"",IF(OR(A121="",B121="",D121="",E121="",F121="",G121=""),"Missing item data",IF(IFERROR(VLOOKUP(F121,'Units'!$A$2:$D$13,3,FALSE),"")&lt;&gt;D121,"Unit mismatch",IF(J121="","Check cost","OK"))))</f>
        <v/>
      </c>
      <c r="L121" s="6" t="n"/>
    </row>
    <row r="122">
      <c r="A122" s="2" t="n"/>
      <c r="B122" s="2" t="n"/>
      <c r="C122" s="2" t="n"/>
      <c r="D122" s="4" t="n"/>
      <c r="E122" s="9" t="n"/>
      <c r="F122" s="4" t="n"/>
      <c r="G122" s="9" t="n"/>
      <c r="H122" s="10">
        <f>IF(OR(E122="",F122=""),"",IFERROR(E122*VLOOKUP(F122,'Units'!$A$2:$D$13,4,FALSE),""))</f>
        <v/>
      </c>
      <c r="I122" s="11" t="n"/>
      <c r="J122" s="10">
        <f>IF(OR(G122="",H122=""),"",IFERROR(G122/(H122*(1-I122)),""))</f>
        <v/>
      </c>
      <c r="K122" s="5">
        <f>IF(AND(A122="",B122=""),"",IF(OR(A122="",B122="",D122="",E122="",F122="",G122=""),"Missing item data",IF(IFERROR(VLOOKUP(F122,'Units'!$A$2:$D$13,3,FALSE),"")&lt;&gt;D122,"Unit mismatch",IF(J122="","Check cost","OK"))))</f>
        <v/>
      </c>
      <c r="L122" s="6" t="n"/>
    </row>
    <row r="123">
      <c r="A123" s="2" t="n"/>
      <c r="B123" s="2" t="n"/>
      <c r="C123" s="2" t="n"/>
      <c r="D123" s="4" t="n"/>
      <c r="E123" s="9" t="n"/>
      <c r="F123" s="4" t="n"/>
      <c r="G123" s="9" t="n"/>
      <c r="H123" s="10">
        <f>IF(OR(E123="",F123=""),"",IFERROR(E123*VLOOKUP(F123,'Units'!$A$2:$D$13,4,FALSE),""))</f>
        <v/>
      </c>
      <c r="I123" s="11" t="n"/>
      <c r="J123" s="10">
        <f>IF(OR(G123="",H123=""),"",IFERROR(G123/(H123*(1-I123)),""))</f>
        <v/>
      </c>
      <c r="K123" s="5">
        <f>IF(AND(A123="",B123=""),"",IF(OR(A123="",B123="",D123="",E123="",F123="",G123=""),"Missing item data",IF(IFERROR(VLOOKUP(F123,'Units'!$A$2:$D$13,3,FALSE),"")&lt;&gt;D123,"Unit mismatch",IF(J123="","Check cost","OK"))))</f>
        <v/>
      </c>
      <c r="L123" s="6" t="n"/>
    </row>
    <row r="124">
      <c r="A124" s="2" t="n"/>
      <c r="B124" s="2" t="n"/>
      <c r="C124" s="2" t="n"/>
      <c r="D124" s="4" t="n"/>
      <c r="E124" s="9" t="n"/>
      <c r="F124" s="4" t="n"/>
      <c r="G124" s="9" t="n"/>
      <c r="H124" s="10">
        <f>IF(OR(E124="",F124=""),"",IFERROR(E124*VLOOKUP(F124,'Units'!$A$2:$D$13,4,FALSE),""))</f>
        <v/>
      </c>
      <c r="I124" s="11" t="n"/>
      <c r="J124" s="10">
        <f>IF(OR(G124="",H124=""),"",IFERROR(G124/(H124*(1-I124)),""))</f>
        <v/>
      </c>
      <c r="K124" s="5">
        <f>IF(AND(A124="",B124=""),"",IF(OR(A124="",B124="",D124="",E124="",F124="",G124=""),"Missing item data",IF(IFERROR(VLOOKUP(F124,'Units'!$A$2:$D$13,3,FALSE),"")&lt;&gt;D124,"Unit mismatch",IF(J124="","Check cost","OK"))))</f>
        <v/>
      </c>
      <c r="L124" s="6" t="n"/>
    </row>
    <row r="125">
      <c r="A125" s="2" t="n"/>
      <c r="B125" s="2" t="n"/>
      <c r="C125" s="2" t="n"/>
      <c r="D125" s="4" t="n"/>
      <c r="E125" s="9" t="n"/>
      <c r="F125" s="4" t="n"/>
      <c r="G125" s="9" t="n"/>
      <c r="H125" s="10">
        <f>IF(OR(E125="",F125=""),"",IFERROR(E125*VLOOKUP(F125,'Units'!$A$2:$D$13,4,FALSE),""))</f>
        <v/>
      </c>
      <c r="I125" s="11" t="n"/>
      <c r="J125" s="10">
        <f>IF(OR(G125="",H125=""),"",IFERROR(G125/(H125*(1-I125)),""))</f>
        <v/>
      </c>
      <c r="K125" s="5">
        <f>IF(AND(A125="",B125=""),"",IF(OR(A125="",B125="",D125="",E125="",F125="",G125=""),"Missing item data",IF(IFERROR(VLOOKUP(F125,'Units'!$A$2:$D$13,3,FALSE),"")&lt;&gt;D125,"Unit mismatch",IF(J125="","Check cost","OK"))))</f>
        <v/>
      </c>
      <c r="L125" s="6" t="n"/>
    </row>
    <row r="126">
      <c r="A126" s="2" t="n"/>
      <c r="B126" s="2" t="n"/>
      <c r="C126" s="2" t="n"/>
      <c r="D126" s="4" t="n"/>
      <c r="E126" s="9" t="n"/>
      <c r="F126" s="4" t="n"/>
      <c r="G126" s="9" t="n"/>
      <c r="H126" s="10">
        <f>IF(OR(E126="",F126=""),"",IFERROR(E126*VLOOKUP(F126,'Units'!$A$2:$D$13,4,FALSE),""))</f>
        <v/>
      </c>
      <c r="I126" s="11" t="n"/>
      <c r="J126" s="10">
        <f>IF(OR(G126="",H126=""),"",IFERROR(G126/(H126*(1-I126)),""))</f>
        <v/>
      </c>
      <c r="K126" s="5">
        <f>IF(AND(A126="",B126=""),"",IF(OR(A126="",B126="",D126="",E126="",F126="",G126=""),"Missing item data",IF(IFERROR(VLOOKUP(F126,'Units'!$A$2:$D$13,3,FALSE),"")&lt;&gt;D126,"Unit mismatch",IF(J126="","Check cost","OK"))))</f>
        <v/>
      </c>
      <c r="L126" s="6" t="n"/>
    </row>
    <row r="127">
      <c r="A127" s="2" t="n"/>
      <c r="B127" s="2" t="n"/>
      <c r="C127" s="2" t="n"/>
      <c r="D127" s="4" t="n"/>
      <c r="E127" s="9" t="n"/>
      <c r="F127" s="4" t="n"/>
      <c r="G127" s="9" t="n"/>
      <c r="H127" s="10">
        <f>IF(OR(E127="",F127=""),"",IFERROR(E127*VLOOKUP(F127,'Units'!$A$2:$D$13,4,FALSE),""))</f>
        <v/>
      </c>
      <c r="I127" s="11" t="n"/>
      <c r="J127" s="10">
        <f>IF(OR(G127="",H127=""),"",IFERROR(G127/(H127*(1-I127)),""))</f>
        <v/>
      </c>
      <c r="K127" s="5">
        <f>IF(AND(A127="",B127=""),"",IF(OR(A127="",B127="",D127="",E127="",F127="",G127=""),"Missing item data",IF(IFERROR(VLOOKUP(F127,'Units'!$A$2:$D$13,3,FALSE),"")&lt;&gt;D127,"Unit mismatch",IF(J127="","Check cost","OK"))))</f>
        <v/>
      </c>
      <c r="L127" s="6" t="n"/>
    </row>
    <row r="128">
      <c r="A128" s="2" t="n"/>
      <c r="B128" s="2" t="n"/>
      <c r="C128" s="2" t="n"/>
      <c r="D128" s="4" t="n"/>
      <c r="E128" s="9" t="n"/>
      <c r="F128" s="4" t="n"/>
      <c r="G128" s="9" t="n"/>
      <c r="H128" s="10">
        <f>IF(OR(E128="",F128=""),"",IFERROR(E128*VLOOKUP(F128,'Units'!$A$2:$D$13,4,FALSE),""))</f>
        <v/>
      </c>
      <c r="I128" s="11" t="n"/>
      <c r="J128" s="10">
        <f>IF(OR(G128="",H128=""),"",IFERROR(G128/(H128*(1-I128)),""))</f>
        <v/>
      </c>
      <c r="K128" s="5">
        <f>IF(AND(A128="",B128=""),"",IF(OR(A128="",B128="",D128="",E128="",F128="",G128=""),"Missing item data",IF(IFERROR(VLOOKUP(F128,'Units'!$A$2:$D$13,3,FALSE),"")&lt;&gt;D128,"Unit mismatch",IF(J128="","Check cost","OK"))))</f>
        <v/>
      </c>
      <c r="L128" s="6" t="n"/>
    </row>
    <row r="129">
      <c r="A129" s="2" t="n"/>
      <c r="B129" s="2" t="n"/>
      <c r="C129" s="2" t="n"/>
      <c r="D129" s="4" t="n"/>
      <c r="E129" s="9" t="n"/>
      <c r="F129" s="4" t="n"/>
      <c r="G129" s="9" t="n"/>
      <c r="H129" s="10">
        <f>IF(OR(E129="",F129=""),"",IFERROR(E129*VLOOKUP(F129,'Units'!$A$2:$D$13,4,FALSE),""))</f>
        <v/>
      </c>
      <c r="I129" s="11" t="n"/>
      <c r="J129" s="10">
        <f>IF(OR(G129="",H129=""),"",IFERROR(G129/(H129*(1-I129)),""))</f>
        <v/>
      </c>
      <c r="K129" s="5">
        <f>IF(AND(A129="",B129=""),"",IF(OR(A129="",B129="",D129="",E129="",F129="",G129=""),"Missing item data",IF(IFERROR(VLOOKUP(F129,'Units'!$A$2:$D$13,3,FALSE),"")&lt;&gt;D129,"Unit mismatch",IF(J129="","Check cost","OK"))))</f>
        <v/>
      </c>
      <c r="L129" s="6" t="n"/>
    </row>
    <row r="130">
      <c r="A130" s="2" t="n"/>
      <c r="B130" s="2" t="n"/>
      <c r="C130" s="2" t="n"/>
      <c r="D130" s="4" t="n"/>
      <c r="E130" s="9" t="n"/>
      <c r="F130" s="4" t="n"/>
      <c r="G130" s="9" t="n"/>
      <c r="H130" s="10">
        <f>IF(OR(E130="",F130=""),"",IFERROR(E130*VLOOKUP(F130,'Units'!$A$2:$D$13,4,FALSE),""))</f>
        <v/>
      </c>
      <c r="I130" s="11" t="n"/>
      <c r="J130" s="10">
        <f>IF(OR(G130="",H130=""),"",IFERROR(G130/(H130*(1-I130)),""))</f>
        <v/>
      </c>
      <c r="K130" s="5">
        <f>IF(AND(A130="",B130=""),"",IF(OR(A130="",B130="",D130="",E130="",F130="",G130=""),"Missing item data",IF(IFERROR(VLOOKUP(F130,'Units'!$A$2:$D$13,3,FALSE),"")&lt;&gt;D130,"Unit mismatch",IF(J130="","Check cost","OK"))))</f>
        <v/>
      </c>
      <c r="L130" s="6" t="n"/>
    </row>
    <row r="131">
      <c r="A131" s="2" t="n"/>
      <c r="B131" s="2" t="n"/>
      <c r="C131" s="2" t="n"/>
      <c r="D131" s="4" t="n"/>
      <c r="E131" s="9" t="n"/>
      <c r="F131" s="4" t="n"/>
      <c r="G131" s="9" t="n"/>
      <c r="H131" s="10">
        <f>IF(OR(E131="",F131=""),"",IFERROR(E131*VLOOKUP(F131,'Units'!$A$2:$D$13,4,FALSE),""))</f>
        <v/>
      </c>
      <c r="I131" s="11" t="n"/>
      <c r="J131" s="10">
        <f>IF(OR(G131="",H131=""),"",IFERROR(G131/(H131*(1-I131)),""))</f>
        <v/>
      </c>
      <c r="K131" s="5">
        <f>IF(AND(A131="",B131=""),"",IF(OR(A131="",B131="",D131="",E131="",F131="",G131=""),"Missing item data",IF(IFERROR(VLOOKUP(F131,'Units'!$A$2:$D$13,3,FALSE),"")&lt;&gt;D131,"Unit mismatch",IF(J131="","Check cost","OK"))))</f>
        <v/>
      </c>
      <c r="L131" s="6" t="n"/>
    </row>
    <row r="132">
      <c r="A132" s="2" t="n"/>
      <c r="B132" s="2" t="n"/>
      <c r="C132" s="2" t="n"/>
      <c r="D132" s="4" t="n"/>
      <c r="E132" s="9" t="n"/>
      <c r="F132" s="4" t="n"/>
      <c r="G132" s="9" t="n"/>
      <c r="H132" s="10">
        <f>IF(OR(E132="",F132=""),"",IFERROR(E132*VLOOKUP(F132,'Units'!$A$2:$D$13,4,FALSE),""))</f>
        <v/>
      </c>
      <c r="I132" s="11" t="n"/>
      <c r="J132" s="10">
        <f>IF(OR(G132="",H132=""),"",IFERROR(G132/(H132*(1-I132)),""))</f>
        <v/>
      </c>
      <c r="K132" s="5">
        <f>IF(AND(A132="",B132=""),"",IF(OR(A132="",B132="",D132="",E132="",F132="",G132=""),"Missing item data",IF(IFERROR(VLOOKUP(F132,'Units'!$A$2:$D$13,3,FALSE),"")&lt;&gt;D132,"Unit mismatch",IF(J132="","Check cost","OK"))))</f>
        <v/>
      </c>
      <c r="L132" s="6" t="n"/>
    </row>
    <row r="133">
      <c r="A133" s="2" t="n"/>
      <c r="B133" s="2" t="n"/>
      <c r="C133" s="2" t="n"/>
      <c r="D133" s="4" t="n"/>
      <c r="E133" s="9" t="n"/>
      <c r="F133" s="4" t="n"/>
      <c r="G133" s="9" t="n"/>
      <c r="H133" s="10">
        <f>IF(OR(E133="",F133=""),"",IFERROR(E133*VLOOKUP(F133,'Units'!$A$2:$D$13,4,FALSE),""))</f>
        <v/>
      </c>
      <c r="I133" s="11" t="n"/>
      <c r="J133" s="10">
        <f>IF(OR(G133="",H133=""),"",IFERROR(G133/(H133*(1-I133)),""))</f>
        <v/>
      </c>
      <c r="K133" s="5">
        <f>IF(AND(A133="",B133=""),"",IF(OR(A133="",B133="",D133="",E133="",F133="",G133=""),"Missing item data",IF(IFERROR(VLOOKUP(F133,'Units'!$A$2:$D$13,3,FALSE),"")&lt;&gt;D133,"Unit mismatch",IF(J133="","Check cost","OK"))))</f>
        <v/>
      </c>
      <c r="L133" s="6" t="n"/>
    </row>
    <row r="134">
      <c r="A134" s="2" t="n"/>
      <c r="B134" s="2" t="n"/>
      <c r="C134" s="2" t="n"/>
      <c r="D134" s="4" t="n"/>
      <c r="E134" s="9" t="n"/>
      <c r="F134" s="4" t="n"/>
      <c r="G134" s="9" t="n"/>
      <c r="H134" s="10">
        <f>IF(OR(E134="",F134=""),"",IFERROR(E134*VLOOKUP(F134,'Units'!$A$2:$D$13,4,FALSE),""))</f>
        <v/>
      </c>
      <c r="I134" s="11" t="n"/>
      <c r="J134" s="10">
        <f>IF(OR(G134="",H134=""),"",IFERROR(G134/(H134*(1-I134)),""))</f>
        <v/>
      </c>
      <c r="K134" s="5">
        <f>IF(AND(A134="",B134=""),"",IF(OR(A134="",B134="",D134="",E134="",F134="",G134=""),"Missing item data",IF(IFERROR(VLOOKUP(F134,'Units'!$A$2:$D$13,3,FALSE),"")&lt;&gt;D134,"Unit mismatch",IF(J134="","Check cost","OK"))))</f>
        <v/>
      </c>
      <c r="L134" s="6" t="n"/>
    </row>
    <row r="135">
      <c r="A135" s="2" t="n"/>
      <c r="B135" s="2" t="n"/>
      <c r="C135" s="2" t="n"/>
      <c r="D135" s="4" t="n"/>
      <c r="E135" s="9" t="n"/>
      <c r="F135" s="4" t="n"/>
      <c r="G135" s="9" t="n"/>
      <c r="H135" s="10">
        <f>IF(OR(E135="",F135=""),"",IFERROR(E135*VLOOKUP(F135,'Units'!$A$2:$D$13,4,FALSE),""))</f>
        <v/>
      </c>
      <c r="I135" s="11" t="n"/>
      <c r="J135" s="10">
        <f>IF(OR(G135="",H135=""),"",IFERROR(G135/(H135*(1-I135)),""))</f>
        <v/>
      </c>
      <c r="K135" s="5">
        <f>IF(AND(A135="",B135=""),"",IF(OR(A135="",B135="",D135="",E135="",F135="",G135=""),"Missing item data",IF(IFERROR(VLOOKUP(F135,'Units'!$A$2:$D$13,3,FALSE),"")&lt;&gt;D135,"Unit mismatch",IF(J135="","Check cost","OK"))))</f>
        <v/>
      </c>
      <c r="L135" s="6" t="n"/>
    </row>
    <row r="136">
      <c r="A136" s="2" t="n"/>
      <c r="B136" s="2" t="n"/>
      <c r="C136" s="2" t="n"/>
      <c r="D136" s="4" t="n"/>
      <c r="E136" s="9" t="n"/>
      <c r="F136" s="4" t="n"/>
      <c r="G136" s="9" t="n"/>
      <c r="H136" s="10">
        <f>IF(OR(E136="",F136=""),"",IFERROR(E136*VLOOKUP(F136,'Units'!$A$2:$D$13,4,FALSE),""))</f>
        <v/>
      </c>
      <c r="I136" s="11" t="n"/>
      <c r="J136" s="10">
        <f>IF(OR(G136="",H136=""),"",IFERROR(G136/(H136*(1-I136)),""))</f>
        <v/>
      </c>
      <c r="K136" s="5">
        <f>IF(AND(A136="",B136=""),"",IF(OR(A136="",B136="",D136="",E136="",F136="",G136=""),"Missing item data",IF(IFERROR(VLOOKUP(F136,'Units'!$A$2:$D$13,3,FALSE),"")&lt;&gt;D136,"Unit mismatch",IF(J136="","Check cost","OK"))))</f>
        <v/>
      </c>
      <c r="L136" s="6" t="n"/>
    </row>
    <row r="137">
      <c r="A137" s="2" t="n"/>
      <c r="B137" s="2" t="n"/>
      <c r="C137" s="2" t="n"/>
      <c r="D137" s="4" t="n"/>
      <c r="E137" s="9" t="n"/>
      <c r="F137" s="4" t="n"/>
      <c r="G137" s="9" t="n"/>
      <c r="H137" s="10">
        <f>IF(OR(E137="",F137=""),"",IFERROR(E137*VLOOKUP(F137,'Units'!$A$2:$D$13,4,FALSE),""))</f>
        <v/>
      </c>
      <c r="I137" s="11" t="n"/>
      <c r="J137" s="10">
        <f>IF(OR(G137="",H137=""),"",IFERROR(G137/(H137*(1-I137)),""))</f>
        <v/>
      </c>
      <c r="K137" s="5">
        <f>IF(AND(A137="",B137=""),"",IF(OR(A137="",B137="",D137="",E137="",F137="",G137=""),"Missing item data",IF(IFERROR(VLOOKUP(F137,'Units'!$A$2:$D$13,3,FALSE),"")&lt;&gt;D137,"Unit mismatch",IF(J137="","Check cost","OK"))))</f>
        <v/>
      </c>
      <c r="L137" s="6" t="n"/>
    </row>
    <row r="138">
      <c r="A138" s="2" t="n"/>
      <c r="B138" s="2" t="n"/>
      <c r="C138" s="2" t="n"/>
      <c r="D138" s="4" t="n"/>
      <c r="E138" s="9" t="n"/>
      <c r="F138" s="4" t="n"/>
      <c r="G138" s="9" t="n"/>
      <c r="H138" s="10">
        <f>IF(OR(E138="",F138=""),"",IFERROR(E138*VLOOKUP(F138,'Units'!$A$2:$D$13,4,FALSE),""))</f>
        <v/>
      </c>
      <c r="I138" s="11" t="n"/>
      <c r="J138" s="10">
        <f>IF(OR(G138="",H138=""),"",IFERROR(G138/(H138*(1-I138)),""))</f>
        <v/>
      </c>
      <c r="K138" s="5">
        <f>IF(AND(A138="",B138=""),"",IF(OR(A138="",B138="",D138="",E138="",F138="",G138=""),"Missing item data",IF(IFERROR(VLOOKUP(F138,'Units'!$A$2:$D$13,3,FALSE),"")&lt;&gt;D138,"Unit mismatch",IF(J138="","Check cost","OK"))))</f>
        <v/>
      </c>
      <c r="L138" s="6" t="n"/>
    </row>
    <row r="139">
      <c r="A139" s="2" t="n"/>
      <c r="B139" s="2" t="n"/>
      <c r="C139" s="2" t="n"/>
      <c r="D139" s="4" t="n"/>
      <c r="E139" s="9" t="n"/>
      <c r="F139" s="4" t="n"/>
      <c r="G139" s="9" t="n"/>
      <c r="H139" s="10">
        <f>IF(OR(E139="",F139=""),"",IFERROR(E139*VLOOKUP(F139,'Units'!$A$2:$D$13,4,FALSE),""))</f>
        <v/>
      </c>
      <c r="I139" s="11" t="n"/>
      <c r="J139" s="10">
        <f>IF(OR(G139="",H139=""),"",IFERROR(G139/(H139*(1-I139)),""))</f>
        <v/>
      </c>
      <c r="K139" s="5">
        <f>IF(AND(A139="",B139=""),"",IF(OR(A139="",B139="",D139="",E139="",F139="",G139=""),"Missing item data",IF(IFERROR(VLOOKUP(F139,'Units'!$A$2:$D$13,3,FALSE),"")&lt;&gt;D139,"Unit mismatch",IF(J139="","Check cost","OK"))))</f>
        <v/>
      </c>
      <c r="L139" s="6" t="n"/>
    </row>
    <row r="140">
      <c r="A140" s="2" t="n"/>
      <c r="B140" s="2" t="n"/>
      <c r="C140" s="2" t="n"/>
      <c r="D140" s="4" t="n"/>
      <c r="E140" s="9" t="n"/>
      <c r="F140" s="4" t="n"/>
      <c r="G140" s="9" t="n"/>
      <c r="H140" s="10">
        <f>IF(OR(E140="",F140=""),"",IFERROR(E140*VLOOKUP(F140,'Units'!$A$2:$D$13,4,FALSE),""))</f>
        <v/>
      </c>
      <c r="I140" s="11" t="n"/>
      <c r="J140" s="10">
        <f>IF(OR(G140="",H140=""),"",IFERROR(G140/(H140*(1-I140)),""))</f>
        <v/>
      </c>
      <c r="K140" s="5">
        <f>IF(AND(A140="",B140=""),"",IF(OR(A140="",B140="",D140="",E140="",F140="",G140=""),"Missing item data",IF(IFERROR(VLOOKUP(F140,'Units'!$A$2:$D$13,3,FALSE),"")&lt;&gt;D140,"Unit mismatch",IF(J140="","Check cost","OK"))))</f>
        <v/>
      </c>
      <c r="L140" s="6" t="n"/>
    </row>
    <row r="141">
      <c r="A141" s="2" t="n"/>
      <c r="B141" s="2" t="n"/>
      <c r="C141" s="2" t="n"/>
      <c r="D141" s="4" t="n"/>
      <c r="E141" s="9" t="n"/>
      <c r="F141" s="4" t="n"/>
      <c r="G141" s="9" t="n"/>
      <c r="H141" s="10">
        <f>IF(OR(E141="",F141=""),"",IFERROR(E141*VLOOKUP(F141,'Units'!$A$2:$D$13,4,FALSE),""))</f>
        <v/>
      </c>
      <c r="I141" s="11" t="n"/>
      <c r="J141" s="10">
        <f>IF(OR(G141="",H141=""),"",IFERROR(G141/(H141*(1-I141)),""))</f>
        <v/>
      </c>
      <c r="K141" s="5">
        <f>IF(AND(A141="",B141=""),"",IF(OR(A141="",B141="",D141="",E141="",F141="",G141=""),"Missing item data",IF(IFERROR(VLOOKUP(F141,'Units'!$A$2:$D$13,3,FALSE),"")&lt;&gt;D141,"Unit mismatch",IF(J141="","Check cost","OK"))))</f>
        <v/>
      </c>
      <c r="L141" s="6" t="n"/>
    </row>
    <row r="142">
      <c r="A142" s="2" t="n"/>
      <c r="B142" s="2" t="n"/>
      <c r="C142" s="2" t="n"/>
      <c r="D142" s="4" t="n"/>
      <c r="E142" s="9" t="n"/>
      <c r="F142" s="4" t="n"/>
      <c r="G142" s="9" t="n"/>
      <c r="H142" s="10">
        <f>IF(OR(E142="",F142=""),"",IFERROR(E142*VLOOKUP(F142,'Units'!$A$2:$D$13,4,FALSE),""))</f>
        <v/>
      </c>
      <c r="I142" s="11" t="n"/>
      <c r="J142" s="10">
        <f>IF(OR(G142="",H142=""),"",IFERROR(G142/(H142*(1-I142)),""))</f>
        <v/>
      </c>
      <c r="K142" s="5">
        <f>IF(AND(A142="",B142=""),"",IF(OR(A142="",B142="",D142="",E142="",F142="",G142=""),"Missing item data",IF(IFERROR(VLOOKUP(F142,'Units'!$A$2:$D$13,3,FALSE),"")&lt;&gt;D142,"Unit mismatch",IF(J142="","Check cost","OK"))))</f>
        <v/>
      </c>
      <c r="L142" s="6" t="n"/>
    </row>
    <row r="143">
      <c r="A143" s="2" t="n"/>
      <c r="B143" s="2" t="n"/>
      <c r="C143" s="2" t="n"/>
      <c r="D143" s="4" t="n"/>
      <c r="E143" s="9" t="n"/>
      <c r="F143" s="4" t="n"/>
      <c r="G143" s="9" t="n"/>
      <c r="H143" s="10">
        <f>IF(OR(E143="",F143=""),"",IFERROR(E143*VLOOKUP(F143,'Units'!$A$2:$D$13,4,FALSE),""))</f>
        <v/>
      </c>
      <c r="I143" s="11" t="n"/>
      <c r="J143" s="10">
        <f>IF(OR(G143="",H143=""),"",IFERROR(G143/(H143*(1-I143)),""))</f>
        <v/>
      </c>
      <c r="K143" s="5">
        <f>IF(AND(A143="",B143=""),"",IF(OR(A143="",B143="",D143="",E143="",F143="",G143=""),"Missing item data",IF(IFERROR(VLOOKUP(F143,'Units'!$A$2:$D$13,3,FALSE),"")&lt;&gt;D143,"Unit mismatch",IF(J143="","Check cost","OK"))))</f>
        <v/>
      </c>
      <c r="L143" s="6" t="n"/>
    </row>
    <row r="144">
      <c r="A144" s="2" t="n"/>
      <c r="B144" s="2" t="n"/>
      <c r="C144" s="2" t="n"/>
      <c r="D144" s="4" t="n"/>
      <c r="E144" s="9" t="n"/>
      <c r="F144" s="4" t="n"/>
      <c r="G144" s="9" t="n"/>
      <c r="H144" s="10">
        <f>IF(OR(E144="",F144=""),"",IFERROR(E144*VLOOKUP(F144,'Units'!$A$2:$D$13,4,FALSE),""))</f>
        <v/>
      </c>
      <c r="I144" s="11" t="n"/>
      <c r="J144" s="10">
        <f>IF(OR(G144="",H144=""),"",IFERROR(G144/(H144*(1-I144)),""))</f>
        <v/>
      </c>
      <c r="K144" s="5">
        <f>IF(AND(A144="",B144=""),"",IF(OR(A144="",B144="",D144="",E144="",F144="",G144=""),"Missing item data",IF(IFERROR(VLOOKUP(F144,'Units'!$A$2:$D$13,3,FALSE),"")&lt;&gt;D144,"Unit mismatch",IF(J144="","Check cost","OK"))))</f>
        <v/>
      </c>
      <c r="L144" s="6" t="n"/>
    </row>
    <row r="145">
      <c r="A145" s="2" t="n"/>
      <c r="B145" s="2" t="n"/>
      <c r="C145" s="2" t="n"/>
      <c r="D145" s="4" t="n"/>
      <c r="E145" s="9" t="n"/>
      <c r="F145" s="4" t="n"/>
      <c r="G145" s="9" t="n"/>
      <c r="H145" s="10">
        <f>IF(OR(E145="",F145=""),"",IFERROR(E145*VLOOKUP(F145,'Units'!$A$2:$D$13,4,FALSE),""))</f>
        <v/>
      </c>
      <c r="I145" s="11" t="n"/>
      <c r="J145" s="10">
        <f>IF(OR(G145="",H145=""),"",IFERROR(G145/(H145*(1-I145)),""))</f>
        <v/>
      </c>
      <c r="K145" s="5">
        <f>IF(AND(A145="",B145=""),"",IF(OR(A145="",B145="",D145="",E145="",F145="",G145=""),"Missing item data",IF(IFERROR(VLOOKUP(F145,'Units'!$A$2:$D$13,3,FALSE),"")&lt;&gt;D145,"Unit mismatch",IF(J145="","Check cost","OK"))))</f>
        <v/>
      </c>
      <c r="L145" s="6" t="n"/>
    </row>
    <row r="146">
      <c r="A146" s="2" t="n"/>
      <c r="B146" s="2" t="n"/>
      <c r="C146" s="2" t="n"/>
      <c r="D146" s="4" t="n"/>
      <c r="E146" s="9" t="n"/>
      <c r="F146" s="4" t="n"/>
      <c r="G146" s="9" t="n"/>
      <c r="H146" s="10">
        <f>IF(OR(E146="",F146=""),"",IFERROR(E146*VLOOKUP(F146,'Units'!$A$2:$D$13,4,FALSE),""))</f>
        <v/>
      </c>
      <c r="I146" s="11" t="n"/>
      <c r="J146" s="10">
        <f>IF(OR(G146="",H146=""),"",IFERROR(G146/(H146*(1-I146)),""))</f>
        <v/>
      </c>
      <c r="K146" s="5">
        <f>IF(AND(A146="",B146=""),"",IF(OR(A146="",B146="",D146="",E146="",F146="",G146=""),"Missing item data",IF(IFERROR(VLOOKUP(F146,'Units'!$A$2:$D$13,3,FALSE),"")&lt;&gt;D146,"Unit mismatch",IF(J146="","Check cost","OK"))))</f>
        <v/>
      </c>
      <c r="L146" s="6" t="n"/>
    </row>
    <row r="147">
      <c r="A147" s="2" t="n"/>
      <c r="B147" s="2" t="n"/>
      <c r="C147" s="2" t="n"/>
      <c r="D147" s="4" t="n"/>
      <c r="E147" s="9" t="n"/>
      <c r="F147" s="4" t="n"/>
      <c r="G147" s="9" t="n"/>
      <c r="H147" s="10">
        <f>IF(OR(E147="",F147=""),"",IFERROR(E147*VLOOKUP(F147,'Units'!$A$2:$D$13,4,FALSE),""))</f>
        <v/>
      </c>
      <c r="I147" s="11" t="n"/>
      <c r="J147" s="10">
        <f>IF(OR(G147="",H147=""),"",IFERROR(G147/(H147*(1-I147)),""))</f>
        <v/>
      </c>
      <c r="K147" s="5">
        <f>IF(AND(A147="",B147=""),"",IF(OR(A147="",B147="",D147="",E147="",F147="",G147=""),"Missing item data",IF(IFERROR(VLOOKUP(F147,'Units'!$A$2:$D$13,3,FALSE),"")&lt;&gt;D147,"Unit mismatch",IF(J147="","Check cost","OK"))))</f>
        <v/>
      </c>
      <c r="L147" s="6" t="n"/>
    </row>
    <row r="148">
      <c r="A148" s="2" t="n"/>
      <c r="B148" s="2" t="n"/>
      <c r="C148" s="2" t="n"/>
      <c r="D148" s="4" t="n"/>
      <c r="E148" s="9" t="n"/>
      <c r="F148" s="4" t="n"/>
      <c r="G148" s="9" t="n"/>
      <c r="H148" s="10">
        <f>IF(OR(E148="",F148=""),"",IFERROR(E148*VLOOKUP(F148,'Units'!$A$2:$D$13,4,FALSE),""))</f>
        <v/>
      </c>
      <c r="I148" s="11" t="n"/>
      <c r="J148" s="10">
        <f>IF(OR(G148="",H148=""),"",IFERROR(G148/(H148*(1-I148)),""))</f>
        <v/>
      </c>
      <c r="K148" s="5">
        <f>IF(AND(A148="",B148=""),"",IF(OR(A148="",B148="",D148="",E148="",F148="",G148=""),"Missing item data",IF(IFERROR(VLOOKUP(F148,'Units'!$A$2:$D$13,3,FALSE),"")&lt;&gt;D148,"Unit mismatch",IF(J148="","Check cost","OK"))))</f>
        <v/>
      </c>
      <c r="L148" s="6" t="n"/>
    </row>
    <row r="149">
      <c r="A149" s="2" t="n"/>
      <c r="B149" s="2" t="n"/>
      <c r="C149" s="2" t="n"/>
      <c r="D149" s="4" t="n"/>
      <c r="E149" s="9" t="n"/>
      <c r="F149" s="4" t="n"/>
      <c r="G149" s="9" t="n"/>
      <c r="H149" s="10">
        <f>IF(OR(E149="",F149=""),"",IFERROR(E149*VLOOKUP(F149,'Units'!$A$2:$D$13,4,FALSE),""))</f>
        <v/>
      </c>
      <c r="I149" s="11" t="n"/>
      <c r="J149" s="10">
        <f>IF(OR(G149="",H149=""),"",IFERROR(G149/(H149*(1-I149)),""))</f>
        <v/>
      </c>
      <c r="K149" s="5">
        <f>IF(AND(A149="",B149=""),"",IF(OR(A149="",B149="",D149="",E149="",F149="",G149=""),"Missing item data",IF(IFERROR(VLOOKUP(F149,'Units'!$A$2:$D$13,3,FALSE),"")&lt;&gt;D149,"Unit mismatch",IF(J149="","Check cost","OK"))))</f>
        <v/>
      </c>
      <c r="L149" s="6" t="n"/>
    </row>
    <row r="150">
      <c r="A150" s="2" t="n"/>
      <c r="B150" s="2" t="n"/>
      <c r="C150" s="2" t="n"/>
      <c r="D150" s="4" t="n"/>
      <c r="E150" s="9" t="n"/>
      <c r="F150" s="4" t="n"/>
      <c r="G150" s="9" t="n"/>
      <c r="H150" s="10">
        <f>IF(OR(E150="",F150=""),"",IFERROR(E150*VLOOKUP(F150,'Units'!$A$2:$D$13,4,FALSE),""))</f>
        <v/>
      </c>
      <c r="I150" s="11" t="n"/>
      <c r="J150" s="10">
        <f>IF(OR(G150="",H150=""),"",IFERROR(G150/(H150*(1-I150)),""))</f>
        <v/>
      </c>
      <c r="K150" s="5">
        <f>IF(AND(A150="",B150=""),"",IF(OR(A150="",B150="",D150="",E150="",F150="",G150=""),"Missing item data",IF(IFERROR(VLOOKUP(F150,'Units'!$A$2:$D$13,3,FALSE),"")&lt;&gt;D150,"Unit mismatch",IF(J150="","Check cost","OK"))))</f>
        <v/>
      </c>
      <c r="L150" s="6" t="n"/>
    </row>
    <row r="151">
      <c r="A151" s="2" t="n"/>
      <c r="B151" s="2" t="n"/>
      <c r="C151" s="2" t="n"/>
      <c r="D151" s="4" t="n"/>
      <c r="E151" s="9" t="n"/>
      <c r="F151" s="4" t="n"/>
      <c r="G151" s="9" t="n"/>
      <c r="H151" s="10">
        <f>IF(OR(E151="",F151=""),"",IFERROR(E151*VLOOKUP(F151,'Units'!$A$2:$D$13,4,FALSE),""))</f>
        <v/>
      </c>
      <c r="I151" s="11" t="n"/>
      <c r="J151" s="10">
        <f>IF(OR(G151="",H151=""),"",IFERROR(G151/(H151*(1-I151)),""))</f>
        <v/>
      </c>
      <c r="K151" s="5">
        <f>IF(AND(A151="",B151=""),"",IF(OR(A151="",B151="",D151="",E151="",F151="",G151=""),"Missing item data",IF(IFERROR(VLOOKUP(F151,'Units'!$A$2:$D$13,3,FALSE),"")&lt;&gt;D151,"Unit mismatch",IF(J151="","Check cost","OK"))))</f>
        <v/>
      </c>
      <c r="L151" s="6" t="n"/>
    </row>
    <row r="152">
      <c r="A152" s="2" t="n"/>
      <c r="B152" s="2" t="n"/>
      <c r="C152" s="2" t="n"/>
      <c r="D152" s="4" t="n"/>
      <c r="E152" s="9" t="n"/>
      <c r="F152" s="4" t="n"/>
      <c r="G152" s="9" t="n"/>
      <c r="H152" s="10">
        <f>IF(OR(E152="",F152=""),"",IFERROR(E152*VLOOKUP(F152,'Units'!$A$2:$D$13,4,FALSE),""))</f>
        <v/>
      </c>
      <c r="I152" s="11" t="n"/>
      <c r="J152" s="10">
        <f>IF(OR(G152="",H152=""),"",IFERROR(G152/(H152*(1-I152)),""))</f>
        <v/>
      </c>
      <c r="K152" s="5">
        <f>IF(AND(A152="",B152=""),"",IF(OR(A152="",B152="",D152="",E152="",F152="",G152=""),"Missing item data",IF(IFERROR(VLOOKUP(F152,'Units'!$A$2:$D$13,3,FALSE),"")&lt;&gt;D152,"Unit mismatch",IF(J152="","Check cost","OK"))))</f>
        <v/>
      </c>
      <c r="L152" s="6" t="n"/>
    </row>
    <row r="153">
      <c r="A153" s="2" t="n"/>
      <c r="B153" s="2" t="n"/>
      <c r="C153" s="2" t="n"/>
      <c r="D153" s="4" t="n"/>
      <c r="E153" s="9" t="n"/>
      <c r="F153" s="4" t="n"/>
      <c r="G153" s="9" t="n"/>
      <c r="H153" s="10">
        <f>IF(OR(E153="",F153=""),"",IFERROR(E153*VLOOKUP(F153,'Units'!$A$2:$D$13,4,FALSE),""))</f>
        <v/>
      </c>
      <c r="I153" s="11" t="n"/>
      <c r="J153" s="10">
        <f>IF(OR(G153="",H153=""),"",IFERROR(G153/(H153*(1-I153)),""))</f>
        <v/>
      </c>
      <c r="K153" s="5">
        <f>IF(AND(A153="",B153=""),"",IF(OR(A153="",B153="",D153="",E153="",F153="",G153=""),"Missing item data",IF(IFERROR(VLOOKUP(F153,'Units'!$A$2:$D$13,3,FALSE),"")&lt;&gt;D153,"Unit mismatch",IF(J153="","Check cost","OK"))))</f>
        <v/>
      </c>
      <c r="L153" s="6" t="n"/>
    </row>
    <row r="154">
      <c r="A154" s="2" t="n"/>
      <c r="B154" s="2" t="n"/>
      <c r="C154" s="2" t="n"/>
      <c r="D154" s="4" t="n"/>
      <c r="E154" s="9" t="n"/>
      <c r="F154" s="4" t="n"/>
      <c r="G154" s="9" t="n"/>
      <c r="H154" s="10">
        <f>IF(OR(E154="",F154=""),"",IFERROR(E154*VLOOKUP(F154,'Units'!$A$2:$D$13,4,FALSE),""))</f>
        <v/>
      </c>
      <c r="I154" s="11" t="n"/>
      <c r="J154" s="10">
        <f>IF(OR(G154="",H154=""),"",IFERROR(G154/(H154*(1-I154)),""))</f>
        <v/>
      </c>
      <c r="K154" s="5">
        <f>IF(AND(A154="",B154=""),"",IF(OR(A154="",B154="",D154="",E154="",F154="",G154=""),"Missing item data",IF(IFERROR(VLOOKUP(F154,'Units'!$A$2:$D$13,3,FALSE),"")&lt;&gt;D154,"Unit mismatch",IF(J154="","Check cost","OK"))))</f>
        <v/>
      </c>
      <c r="L154" s="6" t="n"/>
    </row>
    <row r="155">
      <c r="A155" s="2" t="n"/>
      <c r="B155" s="2" t="n"/>
      <c r="C155" s="2" t="n"/>
      <c r="D155" s="4" t="n"/>
      <c r="E155" s="9" t="n"/>
      <c r="F155" s="4" t="n"/>
      <c r="G155" s="9" t="n"/>
      <c r="H155" s="10">
        <f>IF(OR(E155="",F155=""),"",IFERROR(E155*VLOOKUP(F155,'Units'!$A$2:$D$13,4,FALSE),""))</f>
        <v/>
      </c>
      <c r="I155" s="11" t="n"/>
      <c r="J155" s="10">
        <f>IF(OR(G155="",H155=""),"",IFERROR(G155/(H155*(1-I155)),""))</f>
        <v/>
      </c>
      <c r="K155" s="5">
        <f>IF(AND(A155="",B155=""),"",IF(OR(A155="",B155="",D155="",E155="",F155="",G155=""),"Missing item data",IF(IFERROR(VLOOKUP(F155,'Units'!$A$2:$D$13,3,FALSE),"")&lt;&gt;D155,"Unit mismatch",IF(J155="","Check cost","OK"))))</f>
        <v/>
      </c>
      <c r="L155" s="6" t="n"/>
    </row>
    <row r="156">
      <c r="A156" s="2" t="n"/>
      <c r="B156" s="2" t="n"/>
      <c r="C156" s="2" t="n"/>
      <c r="D156" s="4" t="n"/>
      <c r="E156" s="9" t="n"/>
      <c r="F156" s="4" t="n"/>
      <c r="G156" s="9" t="n"/>
      <c r="H156" s="10">
        <f>IF(OR(E156="",F156=""),"",IFERROR(E156*VLOOKUP(F156,'Units'!$A$2:$D$13,4,FALSE),""))</f>
        <v/>
      </c>
      <c r="I156" s="11" t="n"/>
      <c r="J156" s="10">
        <f>IF(OR(G156="",H156=""),"",IFERROR(G156/(H156*(1-I156)),""))</f>
        <v/>
      </c>
      <c r="K156" s="5">
        <f>IF(AND(A156="",B156=""),"",IF(OR(A156="",B156="",D156="",E156="",F156="",G156=""),"Missing item data",IF(IFERROR(VLOOKUP(F156,'Units'!$A$2:$D$13,3,FALSE),"")&lt;&gt;D156,"Unit mismatch",IF(J156="","Check cost","OK"))))</f>
        <v/>
      </c>
      <c r="L156" s="6" t="n"/>
    </row>
    <row r="157">
      <c r="A157" s="2" t="n"/>
      <c r="B157" s="2" t="n"/>
      <c r="C157" s="2" t="n"/>
      <c r="D157" s="4" t="n"/>
      <c r="E157" s="9" t="n"/>
      <c r="F157" s="4" t="n"/>
      <c r="G157" s="9" t="n"/>
      <c r="H157" s="10">
        <f>IF(OR(E157="",F157=""),"",IFERROR(E157*VLOOKUP(F157,'Units'!$A$2:$D$13,4,FALSE),""))</f>
        <v/>
      </c>
      <c r="I157" s="11" t="n"/>
      <c r="J157" s="10">
        <f>IF(OR(G157="",H157=""),"",IFERROR(G157/(H157*(1-I157)),""))</f>
        <v/>
      </c>
      <c r="K157" s="5">
        <f>IF(AND(A157="",B157=""),"",IF(OR(A157="",B157="",D157="",E157="",F157="",G157=""),"Missing item data",IF(IFERROR(VLOOKUP(F157,'Units'!$A$2:$D$13,3,FALSE),"")&lt;&gt;D157,"Unit mismatch",IF(J157="","Check cost","OK"))))</f>
        <v/>
      </c>
      <c r="L157" s="6" t="n"/>
    </row>
    <row r="158">
      <c r="A158" s="2" t="n"/>
      <c r="B158" s="2" t="n"/>
      <c r="C158" s="2" t="n"/>
      <c r="D158" s="4" t="n"/>
      <c r="E158" s="9" t="n"/>
      <c r="F158" s="4" t="n"/>
      <c r="G158" s="9" t="n"/>
      <c r="H158" s="10">
        <f>IF(OR(E158="",F158=""),"",IFERROR(E158*VLOOKUP(F158,'Units'!$A$2:$D$13,4,FALSE),""))</f>
        <v/>
      </c>
      <c r="I158" s="11" t="n"/>
      <c r="J158" s="10">
        <f>IF(OR(G158="",H158=""),"",IFERROR(G158/(H158*(1-I158)),""))</f>
        <v/>
      </c>
      <c r="K158" s="5">
        <f>IF(AND(A158="",B158=""),"",IF(OR(A158="",B158="",D158="",E158="",F158="",G158=""),"Missing item data",IF(IFERROR(VLOOKUP(F158,'Units'!$A$2:$D$13,3,FALSE),"")&lt;&gt;D158,"Unit mismatch",IF(J158="","Check cost","OK"))))</f>
        <v/>
      </c>
      <c r="L158" s="6" t="n"/>
    </row>
    <row r="159">
      <c r="A159" s="2" t="n"/>
      <c r="B159" s="2" t="n"/>
      <c r="C159" s="2" t="n"/>
      <c r="D159" s="4" t="n"/>
      <c r="E159" s="9" t="n"/>
      <c r="F159" s="4" t="n"/>
      <c r="G159" s="9" t="n"/>
      <c r="H159" s="10">
        <f>IF(OR(E159="",F159=""),"",IFERROR(E159*VLOOKUP(F159,'Units'!$A$2:$D$13,4,FALSE),""))</f>
        <v/>
      </c>
      <c r="I159" s="11" t="n"/>
      <c r="J159" s="10">
        <f>IF(OR(G159="",H159=""),"",IFERROR(G159/(H159*(1-I159)),""))</f>
        <v/>
      </c>
      <c r="K159" s="5">
        <f>IF(AND(A159="",B159=""),"",IF(OR(A159="",B159="",D159="",E159="",F159="",G159=""),"Missing item data",IF(IFERROR(VLOOKUP(F159,'Units'!$A$2:$D$13,3,FALSE),"")&lt;&gt;D159,"Unit mismatch",IF(J159="","Check cost","OK"))))</f>
        <v/>
      </c>
      <c r="L159" s="6" t="n"/>
    </row>
    <row r="160">
      <c r="A160" s="2" t="n"/>
      <c r="B160" s="2" t="n"/>
      <c r="C160" s="2" t="n"/>
      <c r="D160" s="4" t="n"/>
      <c r="E160" s="9" t="n"/>
      <c r="F160" s="4" t="n"/>
      <c r="G160" s="9" t="n"/>
      <c r="H160" s="10">
        <f>IF(OR(E160="",F160=""),"",IFERROR(E160*VLOOKUP(F160,'Units'!$A$2:$D$13,4,FALSE),""))</f>
        <v/>
      </c>
      <c r="I160" s="11" t="n"/>
      <c r="J160" s="10">
        <f>IF(OR(G160="",H160=""),"",IFERROR(G160/(H160*(1-I160)),""))</f>
        <v/>
      </c>
      <c r="K160" s="5">
        <f>IF(AND(A160="",B160=""),"",IF(OR(A160="",B160="",D160="",E160="",F160="",G160=""),"Missing item data",IF(IFERROR(VLOOKUP(F160,'Units'!$A$2:$D$13,3,FALSE),"")&lt;&gt;D160,"Unit mismatch",IF(J160="","Check cost","OK"))))</f>
        <v/>
      </c>
      <c r="L160" s="6" t="n"/>
    </row>
    <row r="161">
      <c r="A161" s="2" t="n"/>
      <c r="B161" s="2" t="n"/>
      <c r="C161" s="2" t="n"/>
      <c r="D161" s="4" t="n"/>
      <c r="E161" s="9" t="n"/>
      <c r="F161" s="4" t="n"/>
      <c r="G161" s="9" t="n"/>
      <c r="H161" s="10">
        <f>IF(OR(E161="",F161=""),"",IFERROR(E161*VLOOKUP(F161,'Units'!$A$2:$D$13,4,FALSE),""))</f>
        <v/>
      </c>
      <c r="I161" s="11" t="n"/>
      <c r="J161" s="10">
        <f>IF(OR(G161="",H161=""),"",IFERROR(G161/(H161*(1-I161)),""))</f>
        <v/>
      </c>
      <c r="K161" s="5">
        <f>IF(AND(A161="",B161=""),"",IF(OR(A161="",B161="",D161="",E161="",F161="",G161=""),"Missing item data",IF(IFERROR(VLOOKUP(F161,'Units'!$A$2:$D$13,3,FALSE),"")&lt;&gt;D161,"Unit mismatch",IF(J161="","Check cost","OK"))))</f>
        <v/>
      </c>
      <c r="L161" s="6" t="n"/>
    </row>
    <row r="162">
      <c r="A162" s="2" t="n"/>
      <c r="B162" s="2" t="n"/>
      <c r="C162" s="2" t="n"/>
      <c r="D162" s="4" t="n"/>
      <c r="E162" s="9" t="n"/>
      <c r="F162" s="4" t="n"/>
      <c r="G162" s="9" t="n"/>
      <c r="H162" s="10">
        <f>IF(OR(E162="",F162=""),"",IFERROR(E162*VLOOKUP(F162,'Units'!$A$2:$D$13,4,FALSE),""))</f>
        <v/>
      </c>
      <c r="I162" s="11" t="n"/>
      <c r="J162" s="10">
        <f>IF(OR(G162="",H162=""),"",IFERROR(G162/(H162*(1-I162)),""))</f>
        <v/>
      </c>
      <c r="K162" s="5">
        <f>IF(AND(A162="",B162=""),"",IF(OR(A162="",B162="",D162="",E162="",F162="",G162=""),"Missing item data",IF(IFERROR(VLOOKUP(F162,'Units'!$A$2:$D$13,3,FALSE),"")&lt;&gt;D162,"Unit mismatch",IF(J162="","Check cost","OK"))))</f>
        <v/>
      </c>
      <c r="L162" s="6" t="n"/>
    </row>
    <row r="163">
      <c r="A163" s="2" t="n"/>
      <c r="B163" s="2" t="n"/>
      <c r="C163" s="2" t="n"/>
      <c r="D163" s="4" t="n"/>
      <c r="E163" s="9" t="n"/>
      <c r="F163" s="4" t="n"/>
      <c r="G163" s="9" t="n"/>
      <c r="H163" s="10">
        <f>IF(OR(E163="",F163=""),"",IFERROR(E163*VLOOKUP(F163,'Units'!$A$2:$D$13,4,FALSE),""))</f>
        <v/>
      </c>
      <c r="I163" s="11" t="n"/>
      <c r="J163" s="10">
        <f>IF(OR(G163="",H163=""),"",IFERROR(G163/(H163*(1-I163)),""))</f>
        <v/>
      </c>
      <c r="K163" s="5">
        <f>IF(AND(A163="",B163=""),"",IF(OR(A163="",B163="",D163="",E163="",F163="",G163=""),"Missing item data",IF(IFERROR(VLOOKUP(F163,'Units'!$A$2:$D$13,3,FALSE),"")&lt;&gt;D163,"Unit mismatch",IF(J163="","Check cost","OK"))))</f>
        <v/>
      </c>
      <c r="L163" s="6" t="n"/>
    </row>
    <row r="164">
      <c r="A164" s="2" t="n"/>
      <c r="B164" s="2" t="n"/>
      <c r="C164" s="2" t="n"/>
      <c r="D164" s="4" t="n"/>
      <c r="E164" s="9" t="n"/>
      <c r="F164" s="4" t="n"/>
      <c r="G164" s="9" t="n"/>
      <c r="H164" s="10">
        <f>IF(OR(E164="",F164=""),"",IFERROR(E164*VLOOKUP(F164,'Units'!$A$2:$D$13,4,FALSE),""))</f>
        <v/>
      </c>
      <c r="I164" s="11" t="n"/>
      <c r="J164" s="10">
        <f>IF(OR(G164="",H164=""),"",IFERROR(G164/(H164*(1-I164)),""))</f>
        <v/>
      </c>
      <c r="K164" s="5">
        <f>IF(AND(A164="",B164=""),"",IF(OR(A164="",B164="",D164="",E164="",F164="",G164=""),"Missing item data",IF(IFERROR(VLOOKUP(F164,'Units'!$A$2:$D$13,3,FALSE),"")&lt;&gt;D164,"Unit mismatch",IF(J164="","Check cost","OK"))))</f>
        <v/>
      </c>
      <c r="L164" s="6" t="n"/>
    </row>
    <row r="165">
      <c r="A165" s="2" t="n"/>
      <c r="B165" s="2" t="n"/>
      <c r="C165" s="2" t="n"/>
      <c r="D165" s="4" t="n"/>
      <c r="E165" s="9" t="n"/>
      <c r="F165" s="4" t="n"/>
      <c r="G165" s="9" t="n"/>
      <c r="H165" s="10">
        <f>IF(OR(E165="",F165=""),"",IFERROR(E165*VLOOKUP(F165,'Units'!$A$2:$D$13,4,FALSE),""))</f>
        <v/>
      </c>
      <c r="I165" s="11" t="n"/>
      <c r="J165" s="10">
        <f>IF(OR(G165="",H165=""),"",IFERROR(G165/(H165*(1-I165)),""))</f>
        <v/>
      </c>
      <c r="K165" s="5">
        <f>IF(AND(A165="",B165=""),"",IF(OR(A165="",B165="",D165="",E165="",F165="",G165=""),"Missing item data",IF(IFERROR(VLOOKUP(F165,'Units'!$A$2:$D$13,3,FALSE),"")&lt;&gt;D165,"Unit mismatch",IF(J165="","Check cost","OK"))))</f>
        <v/>
      </c>
      <c r="L165" s="6" t="n"/>
    </row>
    <row r="166">
      <c r="A166" s="2" t="n"/>
      <c r="B166" s="2" t="n"/>
      <c r="C166" s="2" t="n"/>
      <c r="D166" s="4" t="n"/>
      <c r="E166" s="9" t="n"/>
      <c r="F166" s="4" t="n"/>
      <c r="G166" s="9" t="n"/>
      <c r="H166" s="10">
        <f>IF(OR(E166="",F166=""),"",IFERROR(E166*VLOOKUP(F166,'Units'!$A$2:$D$13,4,FALSE),""))</f>
        <v/>
      </c>
      <c r="I166" s="11" t="n"/>
      <c r="J166" s="10">
        <f>IF(OR(G166="",H166=""),"",IFERROR(G166/(H166*(1-I166)),""))</f>
        <v/>
      </c>
      <c r="K166" s="5">
        <f>IF(AND(A166="",B166=""),"",IF(OR(A166="",B166="",D166="",E166="",F166="",G166=""),"Missing item data",IF(IFERROR(VLOOKUP(F166,'Units'!$A$2:$D$13,3,FALSE),"")&lt;&gt;D166,"Unit mismatch",IF(J166="","Check cost","OK"))))</f>
        <v/>
      </c>
      <c r="L166" s="6" t="n"/>
    </row>
    <row r="167">
      <c r="A167" s="2" t="n"/>
      <c r="B167" s="2" t="n"/>
      <c r="C167" s="2" t="n"/>
      <c r="D167" s="4" t="n"/>
      <c r="E167" s="9" t="n"/>
      <c r="F167" s="4" t="n"/>
      <c r="G167" s="9" t="n"/>
      <c r="H167" s="10">
        <f>IF(OR(E167="",F167=""),"",IFERROR(E167*VLOOKUP(F167,'Units'!$A$2:$D$13,4,FALSE),""))</f>
        <v/>
      </c>
      <c r="I167" s="11" t="n"/>
      <c r="J167" s="10">
        <f>IF(OR(G167="",H167=""),"",IFERROR(G167/(H167*(1-I167)),""))</f>
        <v/>
      </c>
      <c r="K167" s="5">
        <f>IF(AND(A167="",B167=""),"",IF(OR(A167="",B167="",D167="",E167="",F167="",G167=""),"Missing item data",IF(IFERROR(VLOOKUP(F167,'Units'!$A$2:$D$13,3,FALSE),"")&lt;&gt;D167,"Unit mismatch",IF(J167="","Check cost","OK"))))</f>
        <v/>
      </c>
      <c r="L167" s="6" t="n"/>
    </row>
    <row r="168">
      <c r="A168" s="2" t="n"/>
      <c r="B168" s="2" t="n"/>
      <c r="C168" s="2" t="n"/>
      <c r="D168" s="4" t="n"/>
      <c r="E168" s="9" t="n"/>
      <c r="F168" s="4" t="n"/>
      <c r="G168" s="9" t="n"/>
      <c r="H168" s="10">
        <f>IF(OR(E168="",F168=""),"",IFERROR(E168*VLOOKUP(F168,'Units'!$A$2:$D$13,4,FALSE),""))</f>
        <v/>
      </c>
      <c r="I168" s="11" t="n"/>
      <c r="J168" s="10">
        <f>IF(OR(G168="",H168=""),"",IFERROR(G168/(H168*(1-I168)),""))</f>
        <v/>
      </c>
      <c r="K168" s="5">
        <f>IF(AND(A168="",B168=""),"",IF(OR(A168="",B168="",D168="",E168="",F168="",G168=""),"Missing item data",IF(IFERROR(VLOOKUP(F168,'Units'!$A$2:$D$13,3,FALSE),"")&lt;&gt;D168,"Unit mismatch",IF(J168="","Check cost","OK"))))</f>
        <v/>
      </c>
      <c r="L168" s="6" t="n"/>
    </row>
    <row r="169">
      <c r="A169" s="2" t="n"/>
      <c r="B169" s="2" t="n"/>
      <c r="C169" s="2" t="n"/>
      <c r="D169" s="4" t="n"/>
      <c r="E169" s="9" t="n"/>
      <c r="F169" s="4" t="n"/>
      <c r="G169" s="9" t="n"/>
      <c r="H169" s="10">
        <f>IF(OR(E169="",F169=""),"",IFERROR(E169*VLOOKUP(F169,'Units'!$A$2:$D$13,4,FALSE),""))</f>
        <v/>
      </c>
      <c r="I169" s="11" t="n"/>
      <c r="J169" s="10">
        <f>IF(OR(G169="",H169=""),"",IFERROR(G169/(H169*(1-I169)),""))</f>
        <v/>
      </c>
      <c r="K169" s="5">
        <f>IF(AND(A169="",B169=""),"",IF(OR(A169="",B169="",D169="",E169="",F169="",G169=""),"Missing item data",IF(IFERROR(VLOOKUP(F169,'Units'!$A$2:$D$13,3,FALSE),"")&lt;&gt;D169,"Unit mismatch",IF(J169="","Check cost","OK"))))</f>
        <v/>
      </c>
      <c r="L169" s="6" t="n"/>
    </row>
    <row r="170">
      <c r="A170" s="2" t="n"/>
      <c r="B170" s="2" t="n"/>
      <c r="C170" s="2" t="n"/>
      <c r="D170" s="4" t="n"/>
      <c r="E170" s="9" t="n"/>
      <c r="F170" s="4" t="n"/>
      <c r="G170" s="9" t="n"/>
      <c r="H170" s="10">
        <f>IF(OR(E170="",F170=""),"",IFERROR(E170*VLOOKUP(F170,'Units'!$A$2:$D$13,4,FALSE),""))</f>
        <v/>
      </c>
      <c r="I170" s="11" t="n"/>
      <c r="J170" s="10">
        <f>IF(OR(G170="",H170=""),"",IFERROR(G170/(H170*(1-I170)),""))</f>
        <v/>
      </c>
      <c r="K170" s="5">
        <f>IF(AND(A170="",B170=""),"",IF(OR(A170="",B170="",D170="",E170="",F170="",G170=""),"Missing item data",IF(IFERROR(VLOOKUP(F170,'Units'!$A$2:$D$13,3,FALSE),"")&lt;&gt;D170,"Unit mismatch",IF(J170="","Check cost","OK"))))</f>
        <v/>
      </c>
      <c r="L170" s="6" t="n"/>
    </row>
    <row r="171">
      <c r="A171" s="2" t="n"/>
      <c r="B171" s="2" t="n"/>
      <c r="C171" s="2" t="n"/>
      <c r="D171" s="4" t="n"/>
      <c r="E171" s="9" t="n"/>
      <c r="F171" s="4" t="n"/>
      <c r="G171" s="9" t="n"/>
      <c r="H171" s="10">
        <f>IF(OR(E171="",F171=""),"",IFERROR(E171*VLOOKUP(F171,'Units'!$A$2:$D$13,4,FALSE),""))</f>
        <v/>
      </c>
      <c r="I171" s="11" t="n"/>
      <c r="J171" s="10">
        <f>IF(OR(G171="",H171=""),"",IFERROR(G171/(H171*(1-I171)),""))</f>
        <v/>
      </c>
      <c r="K171" s="5">
        <f>IF(AND(A171="",B171=""),"",IF(OR(A171="",B171="",D171="",E171="",F171="",G171=""),"Missing item data",IF(IFERROR(VLOOKUP(F171,'Units'!$A$2:$D$13,3,FALSE),"")&lt;&gt;D171,"Unit mismatch",IF(J171="","Check cost","OK"))))</f>
        <v/>
      </c>
      <c r="L171" s="6" t="n"/>
    </row>
    <row r="172">
      <c r="A172" s="2" t="n"/>
      <c r="B172" s="2" t="n"/>
      <c r="C172" s="2" t="n"/>
      <c r="D172" s="4" t="n"/>
      <c r="E172" s="9" t="n"/>
      <c r="F172" s="4" t="n"/>
      <c r="G172" s="9" t="n"/>
      <c r="H172" s="10">
        <f>IF(OR(E172="",F172=""),"",IFERROR(E172*VLOOKUP(F172,'Units'!$A$2:$D$13,4,FALSE),""))</f>
        <v/>
      </c>
      <c r="I172" s="11" t="n"/>
      <c r="J172" s="10">
        <f>IF(OR(G172="",H172=""),"",IFERROR(G172/(H172*(1-I172)),""))</f>
        <v/>
      </c>
      <c r="K172" s="5">
        <f>IF(AND(A172="",B172=""),"",IF(OR(A172="",B172="",D172="",E172="",F172="",G172=""),"Missing item data",IF(IFERROR(VLOOKUP(F172,'Units'!$A$2:$D$13,3,FALSE),"")&lt;&gt;D172,"Unit mismatch",IF(J172="","Check cost","OK"))))</f>
        <v/>
      </c>
      <c r="L172" s="6" t="n"/>
    </row>
    <row r="173">
      <c r="A173" s="2" t="n"/>
      <c r="B173" s="2" t="n"/>
      <c r="C173" s="2" t="n"/>
      <c r="D173" s="4" t="n"/>
      <c r="E173" s="9" t="n"/>
      <c r="F173" s="4" t="n"/>
      <c r="G173" s="9" t="n"/>
      <c r="H173" s="10">
        <f>IF(OR(E173="",F173=""),"",IFERROR(E173*VLOOKUP(F173,'Units'!$A$2:$D$13,4,FALSE),""))</f>
        <v/>
      </c>
      <c r="I173" s="11" t="n"/>
      <c r="J173" s="10">
        <f>IF(OR(G173="",H173=""),"",IFERROR(G173/(H173*(1-I173)),""))</f>
        <v/>
      </c>
      <c r="K173" s="5">
        <f>IF(AND(A173="",B173=""),"",IF(OR(A173="",B173="",D173="",E173="",F173="",G173=""),"Missing item data",IF(IFERROR(VLOOKUP(F173,'Units'!$A$2:$D$13,3,FALSE),"")&lt;&gt;D173,"Unit mismatch",IF(J173="","Check cost","OK"))))</f>
        <v/>
      </c>
      <c r="L173" s="6" t="n"/>
    </row>
    <row r="174">
      <c r="A174" s="2" t="n"/>
      <c r="B174" s="2" t="n"/>
      <c r="C174" s="2" t="n"/>
      <c r="D174" s="4" t="n"/>
      <c r="E174" s="9" t="n"/>
      <c r="F174" s="4" t="n"/>
      <c r="G174" s="9" t="n"/>
      <c r="H174" s="10">
        <f>IF(OR(E174="",F174=""),"",IFERROR(E174*VLOOKUP(F174,'Units'!$A$2:$D$13,4,FALSE),""))</f>
        <v/>
      </c>
      <c r="I174" s="11" t="n"/>
      <c r="J174" s="10">
        <f>IF(OR(G174="",H174=""),"",IFERROR(G174/(H174*(1-I174)),""))</f>
        <v/>
      </c>
      <c r="K174" s="5">
        <f>IF(AND(A174="",B174=""),"",IF(OR(A174="",B174="",D174="",E174="",F174="",G174=""),"Missing item data",IF(IFERROR(VLOOKUP(F174,'Units'!$A$2:$D$13,3,FALSE),"")&lt;&gt;D174,"Unit mismatch",IF(J174="","Check cost","OK"))))</f>
        <v/>
      </c>
      <c r="L174" s="6" t="n"/>
    </row>
    <row r="175">
      <c r="A175" s="2" t="n"/>
      <c r="B175" s="2" t="n"/>
      <c r="C175" s="2" t="n"/>
      <c r="D175" s="4" t="n"/>
      <c r="E175" s="9" t="n"/>
      <c r="F175" s="4" t="n"/>
      <c r="G175" s="9" t="n"/>
      <c r="H175" s="10">
        <f>IF(OR(E175="",F175=""),"",IFERROR(E175*VLOOKUP(F175,'Units'!$A$2:$D$13,4,FALSE),""))</f>
        <v/>
      </c>
      <c r="I175" s="11" t="n"/>
      <c r="J175" s="10">
        <f>IF(OR(G175="",H175=""),"",IFERROR(G175/(H175*(1-I175)),""))</f>
        <v/>
      </c>
      <c r="K175" s="5">
        <f>IF(AND(A175="",B175=""),"",IF(OR(A175="",B175="",D175="",E175="",F175="",G175=""),"Missing item data",IF(IFERROR(VLOOKUP(F175,'Units'!$A$2:$D$13,3,FALSE),"")&lt;&gt;D175,"Unit mismatch",IF(J175="","Check cost","OK"))))</f>
        <v/>
      </c>
      <c r="L175" s="6" t="n"/>
    </row>
    <row r="176">
      <c r="A176" s="2" t="n"/>
      <c r="B176" s="2" t="n"/>
      <c r="C176" s="2" t="n"/>
      <c r="D176" s="4" t="n"/>
      <c r="E176" s="9" t="n"/>
      <c r="F176" s="4" t="n"/>
      <c r="G176" s="9" t="n"/>
      <c r="H176" s="10">
        <f>IF(OR(E176="",F176=""),"",IFERROR(E176*VLOOKUP(F176,'Units'!$A$2:$D$13,4,FALSE),""))</f>
        <v/>
      </c>
      <c r="I176" s="11" t="n"/>
      <c r="J176" s="10">
        <f>IF(OR(G176="",H176=""),"",IFERROR(G176/(H176*(1-I176)),""))</f>
        <v/>
      </c>
      <c r="K176" s="5">
        <f>IF(AND(A176="",B176=""),"",IF(OR(A176="",B176="",D176="",E176="",F176="",G176=""),"Missing item data",IF(IFERROR(VLOOKUP(F176,'Units'!$A$2:$D$13,3,FALSE),"")&lt;&gt;D176,"Unit mismatch",IF(J176="","Check cost","OK"))))</f>
        <v/>
      </c>
      <c r="L176" s="6" t="n"/>
    </row>
    <row r="177">
      <c r="A177" s="2" t="n"/>
      <c r="B177" s="2" t="n"/>
      <c r="C177" s="2" t="n"/>
      <c r="D177" s="4" t="n"/>
      <c r="E177" s="9" t="n"/>
      <c r="F177" s="4" t="n"/>
      <c r="G177" s="9" t="n"/>
      <c r="H177" s="10">
        <f>IF(OR(E177="",F177=""),"",IFERROR(E177*VLOOKUP(F177,'Units'!$A$2:$D$13,4,FALSE),""))</f>
        <v/>
      </c>
      <c r="I177" s="11" t="n"/>
      <c r="J177" s="10">
        <f>IF(OR(G177="",H177=""),"",IFERROR(G177/(H177*(1-I177)),""))</f>
        <v/>
      </c>
      <c r="K177" s="5">
        <f>IF(AND(A177="",B177=""),"",IF(OR(A177="",B177="",D177="",E177="",F177="",G177=""),"Missing item data",IF(IFERROR(VLOOKUP(F177,'Units'!$A$2:$D$13,3,FALSE),"")&lt;&gt;D177,"Unit mismatch",IF(J177="","Check cost","OK"))))</f>
        <v/>
      </c>
      <c r="L177" s="6" t="n"/>
    </row>
    <row r="178">
      <c r="A178" s="2" t="n"/>
      <c r="B178" s="2" t="n"/>
      <c r="C178" s="2" t="n"/>
      <c r="D178" s="4" t="n"/>
      <c r="E178" s="9" t="n"/>
      <c r="F178" s="4" t="n"/>
      <c r="G178" s="9" t="n"/>
      <c r="H178" s="10">
        <f>IF(OR(E178="",F178=""),"",IFERROR(E178*VLOOKUP(F178,'Units'!$A$2:$D$13,4,FALSE),""))</f>
        <v/>
      </c>
      <c r="I178" s="11" t="n"/>
      <c r="J178" s="10">
        <f>IF(OR(G178="",H178=""),"",IFERROR(G178/(H178*(1-I178)),""))</f>
        <v/>
      </c>
      <c r="K178" s="5">
        <f>IF(AND(A178="",B178=""),"",IF(OR(A178="",B178="",D178="",E178="",F178="",G178=""),"Missing item data",IF(IFERROR(VLOOKUP(F178,'Units'!$A$2:$D$13,3,FALSE),"")&lt;&gt;D178,"Unit mismatch",IF(J178="","Check cost","OK"))))</f>
        <v/>
      </c>
      <c r="L178" s="6" t="n"/>
    </row>
    <row r="179">
      <c r="A179" s="2" t="n"/>
      <c r="B179" s="2" t="n"/>
      <c r="C179" s="2" t="n"/>
      <c r="D179" s="4" t="n"/>
      <c r="E179" s="9" t="n"/>
      <c r="F179" s="4" t="n"/>
      <c r="G179" s="9" t="n"/>
      <c r="H179" s="10">
        <f>IF(OR(E179="",F179=""),"",IFERROR(E179*VLOOKUP(F179,'Units'!$A$2:$D$13,4,FALSE),""))</f>
        <v/>
      </c>
      <c r="I179" s="11" t="n"/>
      <c r="J179" s="10">
        <f>IF(OR(G179="",H179=""),"",IFERROR(G179/(H179*(1-I179)),""))</f>
        <v/>
      </c>
      <c r="K179" s="5">
        <f>IF(AND(A179="",B179=""),"",IF(OR(A179="",B179="",D179="",E179="",F179="",G179=""),"Missing item data",IF(IFERROR(VLOOKUP(F179,'Units'!$A$2:$D$13,3,FALSE),"")&lt;&gt;D179,"Unit mismatch",IF(J179="","Check cost","OK"))))</f>
        <v/>
      </c>
      <c r="L179" s="6" t="n"/>
    </row>
    <row r="180">
      <c r="A180" s="2" t="n"/>
      <c r="B180" s="2" t="n"/>
      <c r="C180" s="2" t="n"/>
      <c r="D180" s="4" t="n"/>
      <c r="E180" s="9" t="n"/>
      <c r="F180" s="4" t="n"/>
      <c r="G180" s="9" t="n"/>
      <c r="H180" s="10">
        <f>IF(OR(E180="",F180=""),"",IFERROR(E180*VLOOKUP(F180,'Units'!$A$2:$D$13,4,FALSE),""))</f>
        <v/>
      </c>
      <c r="I180" s="11" t="n"/>
      <c r="J180" s="10">
        <f>IF(OR(G180="",H180=""),"",IFERROR(G180/(H180*(1-I180)),""))</f>
        <v/>
      </c>
      <c r="K180" s="5">
        <f>IF(AND(A180="",B180=""),"",IF(OR(A180="",B180="",D180="",E180="",F180="",G180=""),"Missing item data",IF(IFERROR(VLOOKUP(F180,'Units'!$A$2:$D$13,3,FALSE),"")&lt;&gt;D180,"Unit mismatch",IF(J180="","Check cost","OK"))))</f>
        <v/>
      </c>
      <c r="L180" s="6" t="n"/>
    </row>
    <row r="181">
      <c r="A181" s="2" t="n"/>
      <c r="B181" s="2" t="n"/>
      <c r="C181" s="2" t="n"/>
      <c r="D181" s="4" t="n"/>
      <c r="E181" s="9" t="n"/>
      <c r="F181" s="4" t="n"/>
      <c r="G181" s="9" t="n"/>
      <c r="H181" s="10">
        <f>IF(OR(E181="",F181=""),"",IFERROR(E181*VLOOKUP(F181,'Units'!$A$2:$D$13,4,FALSE),""))</f>
        <v/>
      </c>
      <c r="I181" s="11" t="n"/>
      <c r="J181" s="10">
        <f>IF(OR(G181="",H181=""),"",IFERROR(G181/(H181*(1-I181)),""))</f>
        <v/>
      </c>
      <c r="K181" s="5">
        <f>IF(AND(A181="",B181=""),"",IF(OR(A181="",B181="",D181="",E181="",F181="",G181=""),"Missing item data",IF(IFERROR(VLOOKUP(F181,'Units'!$A$2:$D$13,3,FALSE),"")&lt;&gt;D181,"Unit mismatch",IF(J181="","Check cost","OK"))))</f>
        <v/>
      </c>
      <c r="L181" s="6" t="n"/>
    </row>
    <row r="182">
      <c r="A182" s="2" t="n"/>
      <c r="B182" s="2" t="n"/>
      <c r="C182" s="2" t="n"/>
      <c r="D182" s="4" t="n"/>
      <c r="E182" s="9" t="n"/>
      <c r="F182" s="4" t="n"/>
      <c r="G182" s="9" t="n"/>
      <c r="H182" s="10">
        <f>IF(OR(E182="",F182=""),"",IFERROR(E182*VLOOKUP(F182,'Units'!$A$2:$D$13,4,FALSE),""))</f>
        <v/>
      </c>
      <c r="I182" s="11" t="n"/>
      <c r="J182" s="10">
        <f>IF(OR(G182="",H182=""),"",IFERROR(G182/(H182*(1-I182)),""))</f>
        <v/>
      </c>
      <c r="K182" s="5">
        <f>IF(AND(A182="",B182=""),"",IF(OR(A182="",B182="",D182="",E182="",F182="",G182=""),"Missing item data",IF(IFERROR(VLOOKUP(F182,'Units'!$A$2:$D$13,3,FALSE),"")&lt;&gt;D182,"Unit mismatch",IF(J182="","Check cost","OK"))))</f>
        <v/>
      </c>
      <c r="L182" s="6" t="n"/>
    </row>
    <row r="183">
      <c r="A183" s="2" t="n"/>
      <c r="B183" s="2" t="n"/>
      <c r="C183" s="2" t="n"/>
      <c r="D183" s="4" t="n"/>
      <c r="E183" s="9" t="n"/>
      <c r="F183" s="4" t="n"/>
      <c r="G183" s="9" t="n"/>
      <c r="H183" s="10">
        <f>IF(OR(E183="",F183=""),"",IFERROR(E183*VLOOKUP(F183,'Units'!$A$2:$D$13,4,FALSE),""))</f>
        <v/>
      </c>
      <c r="I183" s="11" t="n"/>
      <c r="J183" s="10">
        <f>IF(OR(G183="",H183=""),"",IFERROR(G183/(H183*(1-I183)),""))</f>
        <v/>
      </c>
      <c r="K183" s="5">
        <f>IF(AND(A183="",B183=""),"",IF(OR(A183="",B183="",D183="",E183="",F183="",G183=""),"Missing item data",IF(IFERROR(VLOOKUP(F183,'Units'!$A$2:$D$13,3,FALSE),"")&lt;&gt;D183,"Unit mismatch",IF(J183="","Check cost","OK"))))</f>
        <v/>
      </c>
      <c r="L183" s="6" t="n"/>
    </row>
    <row r="184">
      <c r="A184" s="2" t="n"/>
      <c r="B184" s="2" t="n"/>
      <c r="C184" s="2" t="n"/>
      <c r="D184" s="4" t="n"/>
      <c r="E184" s="9" t="n"/>
      <c r="F184" s="4" t="n"/>
      <c r="G184" s="9" t="n"/>
      <c r="H184" s="10">
        <f>IF(OR(E184="",F184=""),"",IFERROR(E184*VLOOKUP(F184,'Units'!$A$2:$D$13,4,FALSE),""))</f>
        <v/>
      </c>
      <c r="I184" s="11" t="n"/>
      <c r="J184" s="10">
        <f>IF(OR(G184="",H184=""),"",IFERROR(G184/(H184*(1-I184)),""))</f>
        <v/>
      </c>
      <c r="K184" s="5">
        <f>IF(AND(A184="",B184=""),"",IF(OR(A184="",B184="",D184="",E184="",F184="",G184=""),"Missing item data",IF(IFERROR(VLOOKUP(F184,'Units'!$A$2:$D$13,3,FALSE),"")&lt;&gt;D184,"Unit mismatch",IF(J184="","Check cost","OK"))))</f>
        <v/>
      </c>
      <c r="L184" s="6" t="n"/>
    </row>
    <row r="185">
      <c r="A185" s="2" t="n"/>
      <c r="B185" s="2" t="n"/>
      <c r="C185" s="2" t="n"/>
      <c r="D185" s="4" t="n"/>
      <c r="E185" s="9" t="n"/>
      <c r="F185" s="4" t="n"/>
      <c r="G185" s="9" t="n"/>
      <c r="H185" s="10">
        <f>IF(OR(E185="",F185=""),"",IFERROR(E185*VLOOKUP(F185,'Units'!$A$2:$D$13,4,FALSE),""))</f>
        <v/>
      </c>
      <c r="I185" s="11" t="n"/>
      <c r="J185" s="10">
        <f>IF(OR(G185="",H185=""),"",IFERROR(G185/(H185*(1-I185)),""))</f>
        <v/>
      </c>
      <c r="K185" s="5">
        <f>IF(AND(A185="",B185=""),"",IF(OR(A185="",B185="",D185="",E185="",F185="",G185=""),"Missing item data",IF(IFERROR(VLOOKUP(F185,'Units'!$A$2:$D$13,3,FALSE),"")&lt;&gt;D185,"Unit mismatch",IF(J185="","Check cost","OK"))))</f>
        <v/>
      </c>
      <c r="L185" s="6" t="n"/>
    </row>
    <row r="186">
      <c r="A186" s="2" t="n"/>
      <c r="B186" s="2" t="n"/>
      <c r="C186" s="2" t="n"/>
      <c r="D186" s="4" t="n"/>
      <c r="E186" s="9" t="n"/>
      <c r="F186" s="4" t="n"/>
      <c r="G186" s="9" t="n"/>
      <c r="H186" s="10">
        <f>IF(OR(E186="",F186=""),"",IFERROR(E186*VLOOKUP(F186,'Units'!$A$2:$D$13,4,FALSE),""))</f>
        <v/>
      </c>
      <c r="I186" s="11" t="n"/>
      <c r="J186" s="10">
        <f>IF(OR(G186="",H186=""),"",IFERROR(G186/(H186*(1-I186)),""))</f>
        <v/>
      </c>
      <c r="K186" s="5">
        <f>IF(AND(A186="",B186=""),"",IF(OR(A186="",B186="",D186="",E186="",F186="",G186=""),"Missing item data",IF(IFERROR(VLOOKUP(F186,'Units'!$A$2:$D$13,3,FALSE),"")&lt;&gt;D186,"Unit mismatch",IF(J186="","Check cost","OK"))))</f>
        <v/>
      </c>
      <c r="L186" s="6" t="n"/>
    </row>
    <row r="187">
      <c r="A187" s="2" t="n"/>
      <c r="B187" s="2" t="n"/>
      <c r="C187" s="2" t="n"/>
      <c r="D187" s="4" t="n"/>
      <c r="E187" s="9" t="n"/>
      <c r="F187" s="4" t="n"/>
      <c r="G187" s="9" t="n"/>
      <c r="H187" s="10">
        <f>IF(OR(E187="",F187=""),"",IFERROR(E187*VLOOKUP(F187,'Units'!$A$2:$D$13,4,FALSE),""))</f>
        <v/>
      </c>
      <c r="I187" s="11" t="n"/>
      <c r="J187" s="10">
        <f>IF(OR(G187="",H187=""),"",IFERROR(G187/(H187*(1-I187)),""))</f>
        <v/>
      </c>
      <c r="K187" s="5">
        <f>IF(AND(A187="",B187=""),"",IF(OR(A187="",B187="",D187="",E187="",F187="",G187=""),"Missing item data",IF(IFERROR(VLOOKUP(F187,'Units'!$A$2:$D$13,3,FALSE),"")&lt;&gt;D187,"Unit mismatch",IF(J187="","Check cost","OK"))))</f>
        <v/>
      </c>
      <c r="L187" s="6" t="n"/>
    </row>
    <row r="188">
      <c r="A188" s="2" t="n"/>
      <c r="B188" s="2" t="n"/>
      <c r="C188" s="2" t="n"/>
      <c r="D188" s="4" t="n"/>
      <c r="E188" s="9" t="n"/>
      <c r="F188" s="4" t="n"/>
      <c r="G188" s="9" t="n"/>
      <c r="H188" s="10">
        <f>IF(OR(E188="",F188=""),"",IFERROR(E188*VLOOKUP(F188,'Units'!$A$2:$D$13,4,FALSE),""))</f>
        <v/>
      </c>
      <c r="I188" s="11" t="n"/>
      <c r="J188" s="10">
        <f>IF(OR(G188="",H188=""),"",IFERROR(G188/(H188*(1-I188)),""))</f>
        <v/>
      </c>
      <c r="K188" s="5">
        <f>IF(AND(A188="",B188=""),"",IF(OR(A188="",B188="",D188="",E188="",F188="",G188=""),"Missing item data",IF(IFERROR(VLOOKUP(F188,'Units'!$A$2:$D$13,3,FALSE),"")&lt;&gt;D188,"Unit mismatch",IF(J188="","Check cost","OK"))))</f>
        <v/>
      </c>
      <c r="L188" s="6" t="n"/>
    </row>
    <row r="189">
      <c r="A189" s="2" t="n"/>
      <c r="B189" s="2" t="n"/>
      <c r="C189" s="2" t="n"/>
      <c r="D189" s="4" t="n"/>
      <c r="E189" s="9" t="n"/>
      <c r="F189" s="4" t="n"/>
      <c r="G189" s="9" t="n"/>
      <c r="H189" s="10">
        <f>IF(OR(E189="",F189=""),"",IFERROR(E189*VLOOKUP(F189,'Units'!$A$2:$D$13,4,FALSE),""))</f>
        <v/>
      </c>
      <c r="I189" s="11" t="n"/>
      <c r="J189" s="10">
        <f>IF(OR(G189="",H189=""),"",IFERROR(G189/(H189*(1-I189)),""))</f>
        <v/>
      </c>
      <c r="K189" s="5">
        <f>IF(AND(A189="",B189=""),"",IF(OR(A189="",B189="",D189="",E189="",F189="",G189=""),"Missing item data",IF(IFERROR(VLOOKUP(F189,'Units'!$A$2:$D$13,3,FALSE),"")&lt;&gt;D189,"Unit mismatch",IF(J189="","Check cost","OK"))))</f>
        <v/>
      </c>
      <c r="L189" s="6" t="n"/>
    </row>
    <row r="190">
      <c r="A190" s="2" t="n"/>
      <c r="B190" s="2" t="n"/>
      <c r="C190" s="2" t="n"/>
      <c r="D190" s="4" t="n"/>
      <c r="E190" s="9" t="n"/>
      <c r="F190" s="4" t="n"/>
      <c r="G190" s="9" t="n"/>
      <c r="H190" s="10">
        <f>IF(OR(E190="",F190=""),"",IFERROR(E190*VLOOKUP(F190,'Units'!$A$2:$D$13,4,FALSE),""))</f>
        <v/>
      </c>
      <c r="I190" s="11" t="n"/>
      <c r="J190" s="10">
        <f>IF(OR(G190="",H190=""),"",IFERROR(G190/(H190*(1-I190)),""))</f>
        <v/>
      </c>
      <c r="K190" s="5">
        <f>IF(AND(A190="",B190=""),"",IF(OR(A190="",B190="",D190="",E190="",F190="",G190=""),"Missing item data",IF(IFERROR(VLOOKUP(F190,'Units'!$A$2:$D$13,3,FALSE),"")&lt;&gt;D190,"Unit mismatch",IF(J190="","Check cost","OK"))))</f>
        <v/>
      </c>
      <c r="L190" s="6" t="n"/>
    </row>
    <row r="191">
      <c r="A191" s="2" t="n"/>
      <c r="B191" s="2" t="n"/>
      <c r="C191" s="2" t="n"/>
      <c r="D191" s="4" t="n"/>
      <c r="E191" s="9" t="n"/>
      <c r="F191" s="4" t="n"/>
      <c r="G191" s="9" t="n"/>
      <c r="H191" s="10">
        <f>IF(OR(E191="",F191=""),"",IFERROR(E191*VLOOKUP(F191,'Units'!$A$2:$D$13,4,FALSE),""))</f>
        <v/>
      </c>
      <c r="I191" s="11" t="n"/>
      <c r="J191" s="10">
        <f>IF(OR(G191="",H191=""),"",IFERROR(G191/(H191*(1-I191)),""))</f>
        <v/>
      </c>
      <c r="K191" s="5">
        <f>IF(AND(A191="",B191=""),"",IF(OR(A191="",B191="",D191="",E191="",F191="",G191=""),"Missing item data",IF(IFERROR(VLOOKUP(F191,'Units'!$A$2:$D$13,3,FALSE),"")&lt;&gt;D191,"Unit mismatch",IF(J191="","Check cost","OK"))))</f>
        <v/>
      </c>
      <c r="L191" s="6" t="n"/>
    </row>
    <row r="192">
      <c r="A192" s="2" t="n"/>
      <c r="B192" s="2" t="n"/>
      <c r="C192" s="2" t="n"/>
      <c r="D192" s="4" t="n"/>
      <c r="E192" s="9" t="n"/>
      <c r="F192" s="4" t="n"/>
      <c r="G192" s="9" t="n"/>
      <c r="H192" s="10">
        <f>IF(OR(E192="",F192=""),"",IFERROR(E192*VLOOKUP(F192,'Units'!$A$2:$D$13,4,FALSE),""))</f>
        <v/>
      </c>
      <c r="I192" s="11" t="n"/>
      <c r="J192" s="10">
        <f>IF(OR(G192="",H192=""),"",IFERROR(G192/(H192*(1-I192)),""))</f>
        <v/>
      </c>
      <c r="K192" s="5">
        <f>IF(AND(A192="",B192=""),"",IF(OR(A192="",B192="",D192="",E192="",F192="",G192=""),"Missing item data",IF(IFERROR(VLOOKUP(F192,'Units'!$A$2:$D$13,3,FALSE),"")&lt;&gt;D192,"Unit mismatch",IF(J192="","Check cost","OK"))))</f>
        <v/>
      </c>
      <c r="L192" s="6" t="n"/>
    </row>
    <row r="193">
      <c r="A193" s="2" t="n"/>
      <c r="B193" s="2" t="n"/>
      <c r="C193" s="2" t="n"/>
      <c r="D193" s="4" t="n"/>
      <c r="E193" s="9" t="n"/>
      <c r="F193" s="4" t="n"/>
      <c r="G193" s="9" t="n"/>
      <c r="H193" s="10">
        <f>IF(OR(E193="",F193=""),"",IFERROR(E193*VLOOKUP(F193,'Units'!$A$2:$D$13,4,FALSE),""))</f>
        <v/>
      </c>
      <c r="I193" s="11" t="n"/>
      <c r="J193" s="10">
        <f>IF(OR(G193="",H193=""),"",IFERROR(G193/(H193*(1-I193)),""))</f>
        <v/>
      </c>
      <c r="K193" s="5">
        <f>IF(AND(A193="",B193=""),"",IF(OR(A193="",B193="",D193="",E193="",F193="",G193=""),"Missing item data",IF(IFERROR(VLOOKUP(F193,'Units'!$A$2:$D$13,3,FALSE),"")&lt;&gt;D193,"Unit mismatch",IF(J193="","Check cost","OK"))))</f>
        <v/>
      </c>
      <c r="L193" s="6" t="n"/>
    </row>
    <row r="194">
      <c r="A194" s="2" t="n"/>
      <c r="B194" s="2" t="n"/>
      <c r="C194" s="2" t="n"/>
      <c r="D194" s="4" t="n"/>
      <c r="E194" s="9" t="n"/>
      <c r="F194" s="4" t="n"/>
      <c r="G194" s="9" t="n"/>
      <c r="H194" s="10">
        <f>IF(OR(E194="",F194=""),"",IFERROR(E194*VLOOKUP(F194,'Units'!$A$2:$D$13,4,FALSE),""))</f>
        <v/>
      </c>
      <c r="I194" s="11" t="n"/>
      <c r="J194" s="10">
        <f>IF(OR(G194="",H194=""),"",IFERROR(G194/(H194*(1-I194)),""))</f>
        <v/>
      </c>
      <c r="K194" s="5">
        <f>IF(AND(A194="",B194=""),"",IF(OR(A194="",B194="",D194="",E194="",F194="",G194=""),"Missing item data",IF(IFERROR(VLOOKUP(F194,'Units'!$A$2:$D$13,3,FALSE),"")&lt;&gt;D194,"Unit mismatch",IF(J194="","Check cost","OK"))))</f>
        <v/>
      </c>
      <c r="L194" s="6" t="n"/>
    </row>
    <row r="195">
      <c r="A195" s="2" t="n"/>
      <c r="B195" s="2" t="n"/>
      <c r="C195" s="2" t="n"/>
      <c r="D195" s="4" t="n"/>
      <c r="E195" s="9" t="n"/>
      <c r="F195" s="4" t="n"/>
      <c r="G195" s="9" t="n"/>
      <c r="H195" s="10">
        <f>IF(OR(E195="",F195=""),"",IFERROR(E195*VLOOKUP(F195,'Units'!$A$2:$D$13,4,FALSE),""))</f>
        <v/>
      </c>
      <c r="I195" s="11" t="n"/>
      <c r="J195" s="10">
        <f>IF(OR(G195="",H195=""),"",IFERROR(G195/(H195*(1-I195)),""))</f>
        <v/>
      </c>
      <c r="K195" s="5">
        <f>IF(AND(A195="",B195=""),"",IF(OR(A195="",B195="",D195="",E195="",F195="",G195=""),"Missing item data",IF(IFERROR(VLOOKUP(F195,'Units'!$A$2:$D$13,3,FALSE),"")&lt;&gt;D195,"Unit mismatch",IF(J195="","Check cost","OK"))))</f>
        <v/>
      </c>
      <c r="L195" s="6" t="n"/>
    </row>
    <row r="196">
      <c r="A196" s="2" t="n"/>
      <c r="B196" s="2" t="n"/>
      <c r="C196" s="2" t="n"/>
      <c r="D196" s="4" t="n"/>
      <c r="E196" s="9" t="n"/>
      <c r="F196" s="4" t="n"/>
      <c r="G196" s="9" t="n"/>
      <c r="H196" s="10">
        <f>IF(OR(E196="",F196=""),"",IFERROR(E196*VLOOKUP(F196,'Units'!$A$2:$D$13,4,FALSE),""))</f>
        <v/>
      </c>
      <c r="I196" s="11" t="n"/>
      <c r="J196" s="10">
        <f>IF(OR(G196="",H196=""),"",IFERROR(G196/(H196*(1-I196)),""))</f>
        <v/>
      </c>
      <c r="K196" s="5">
        <f>IF(AND(A196="",B196=""),"",IF(OR(A196="",B196="",D196="",E196="",F196="",G196=""),"Missing item data",IF(IFERROR(VLOOKUP(F196,'Units'!$A$2:$D$13,3,FALSE),"")&lt;&gt;D196,"Unit mismatch",IF(J196="","Check cost","OK"))))</f>
        <v/>
      </c>
      <c r="L196" s="6" t="n"/>
    </row>
    <row r="197">
      <c r="A197" s="2" t="n"/>
      <c r="B197" s="2" t="n"/>
      <c r="C197" s="2" t="n"/>
      <c r="D197" s="4" t="n"/>
      <c r="E197" s="9" t="n"/>
      <c r="F197" s="4" t="n"/>
      <c r="G197" s="9" t="n"/>
      <c r="H197" s="10">
        <f>IF(OR(E197="",F197=""),"",IFERROR(E197*VLOOKUP(F197,'Units'!$A$2:$D$13,4,FALSE),""))</f>
        <v/>
      </c>
      <c r="I197" s="11" t="n"/>
      <c r="J197" s="10">
        <f>IF(OR(G197="",H197=""),"",IFERROR(G197/(H197*(1-I197)),""))</f>
        <v/>
      </c>
      <c r="K197" s="5">
        <f>IF(AND(A197="",B197=""),"",IF(OR(A197="",B197="",D197="",E197="",F197="",G197=""),"Missing item data",IF(IFERROR(VLOOKUP(F197,'Units'!$A$2:$D$13,3,FALSE),"")&lt;&gt;D197,"Unit mismatch",IF(J197="","Check cost","OK"))))</f>
        <v/>
      </c>
      <c r="L197" s="6" t="n"/>
    </row>
    <row r="198">
      <c r="A198" s="2" t="n"/>
      <c r="B198" s="2" t="n"/>
      <c r="C198" s="2" t="n"/>
      <c r="D198" s="4" t="n"/>
      <c r="E198" s="9" t="n"/>
      <c r="F198" s="4" t="n"/>
      <c r="G198" s="9" t="n"/>
      <c r="H198" s="10">
        <f>IF(OR(E198="",F198=""),"",IFERROR(E198*VLOOKUP(F198,'Units'!$A$2:$D$13,4,FALSE),""))</f>
        <v/>
      </c>
      <c r="I198" s="11" t="n"/>
      <c r="J198" s="10">
        <f>IF(OR(G198="",H198=""),"",IFERROR(G198/(H198*(1-I198)),""))</f>
        <v/>
      </c>
      <c r="K198" s="5">
        <f>IF(AND(A198="",B198=""),"",IF(OR(A198="",B198="",D198="",E198="",F198="",G198=""),"Missing item data",IF(IFERROR(VLOOKUP(F198,'Units'!$A$2:$D$13,3,FALSE),"")&lt;&gt;D198,"Unit mismatch",IF(J198="","Check cost","OK"))))</f>
        <v/>
      </c>
      <c r="L198" s="6" t="n"/>
    </row>
    <row r="199">
      <c r="A199" s="2" t="n"/>
      <c r="B199" s="2" t="n"/>
      <c r="C199" s="2" t="n"/>
      <c r="D199" s="4" t="n"/>
      <c r="E199" s="9" t="n"/>
      <c r="F199" s="4" t="n"/>
      <c r="G199" s="9" t="n"/>
      <c r="H199" s="10">
        <f>IF(OR(E199="",F199=""),"",IFERROR(E199*VLOOKUP(F199,'Units'!$A$2:$D$13,4,FALSE),""))</f>
        <v/>
      </c>
      <c r="I199" s="11" t="n"/>
      <c r="J199" s="10">
        <f>IF(OR(G199="",H199=""),"",IFERROR(G199/(H199*(1-I199)),""))</f>
        <v/>
      </c>
      <c r="K199" s="5">
        <f>IF(AND(A199="",B199=""),"",IF(OR(A199="",B199="",D199="",E199="",F199="",G199=""),"Missing item data",IF(IFERROR(VLOOKUP(F199,'Units'!$A$2:$D$13,3,FALSE),"")&lt;&gt;D199,"Unit mismatch",IF(J199="","Check cost","OK"))))</f>
        <v/>
      </c>
      <c r="L199" s="6" t="n"/>
    </row>
    <row r="200">
      <c r="A200" s="2" t="n"/>
      <c r="B200" s="2" t="n"/>
      <c r="C200" s="2" t="n"/>
      <c r="D200" s="4" t="n"/>
      <c r="E200" s="9" t="n"/>
      <c r="F200" s="4" t="n"/>
      <c r="G200" s="9" t="n"/>
      <c r="H200" s="10">
        <f>IF(OR(E200="",F200=""),"",IFERROR(E200*VLOOKUP(F200,'Units'!$A$2:$D$13,4,FALSE),""))</f>
        <v/>
      </c>
      <c r="I200" s="11" t="n"/>
      <c r="J200" s="10">
        <f>IF(OR(G200="",H200=""),"",IFERROR(G200/(H200*(1-I200)),""))</f>
        <v/>
      </c>
      <c r="K200" s="5">
        <f>IF(AND(A200="",B200=""),"",IF(OR(A200="",B200="",D200="",E200="",F200="",G200=""),"Missing item data",IF(IFERROR(VLOOKUP(F200,'Units'!$A$2:$D$13,3,FALSE),"")&lt;&gt;D200,"Unit mismatch",IF(J200="","Check cost","OK"))))</f>
        <v/>
      </c>
      <c r="L200" s="6" t="n"/>
    </row>
    <row r="201">
      <c r="A201" s="2" t="n"/>
      <c r="B201" s="2" t="n"/>
      <c r="C201" s="2" t="n"/>
      <c r="D201" s="4" t="n"/>
      <c r="E201" s="9" t="n"/>
      <c r="F201" s="4" t="n"/>
      <c r="G201" s="9" t="n"/>
      <c r="H201" s="10">
        <f>IF(OR(E201="",F201=""),"",IFERROR(E201*VLOOKUP(F201,'Units'!$A$2:$D$13,4,FALSE),""))</f>
        <v/>
      </c>
      <c r="I201" s="11" t="n"/>
      <c r="J201" s="10">
        <f>IF(OR(G201="",H201=""),"",IFERROR(G201/(H201*(1-I201)),""))</f>
        <v/>
      </c>
      <c r="K201" s="5">
        <f>IF(AND(A201="",B201=""),"",IF(OR(A201="",B201="",D201="",E201="",F201="",G201=""),"Missing item data",IF(IFERROR(VLOOKUP(F201,'Units'!$A$2:$D$13,3,FALSE),"")&lt;&gt;D201,"Unit mismatch",IF(J201="","Check cost","OK"))))</f>
        <v/>
      </c>
      <c r="L201" s="6" t="n"/>
    </row>
  </sheetData>
  <dataValidations count="2">
    <dataValidation sqref="D2:D201" showDropDown="0" showInputMessage="0" showErrorMessage="0" allowBlank="1" errorTitle="Invalid value" error="Choose a value from the list or add the value to the related master sheet." type="list">
      <formula1>=UnitList</formula1>
    </dataValidation>
    <dataValidation sqref="F2:F201" showDropDown="0" showInputMessage="0" showErrorMessage="0" allowBlank="1" errorTitle="Invalid value" error="Choose a value from the list or add the value to the related master sheet." type="list">
      <formula1>=UnitList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6" customWidth="1" min="4" max="4"/>
    <col width="12" customWidth="1" min="5" max="5"/>
    <col width="44" customWidth="1" min="6" max="6"/>
  </cols>
  <sheetData>
    <row r="1">
      <c r="A1" s="7" t="inlineStr">
        <is>
          <t>Product ID</t>
        </is>
      </c>
      <c r="B1" s="7" t="inlineStr">
        <is>
          <t>Product Name</t>
        </is>
      </c>
      <c r="C1" s="7" t="inlineStr">
        <is>
          <t>Category</t>
        </is>
      </c>
      <c r="D1" s="7" t="inlineStr">
        <is>
          <t>Selling Price</t>
        </is>
      </c>
      <c r="E1" s="7" t="inlineStr">
        <is>
          <t>Active?</t>
        </is>
      </c>
      <c r="F1" s="7" t="inlineStr">
        <is>
          <t>Notes</t>
        </is>
      </c>
    </row>
    <row r="2">
      <c r="A2" s="4" t="n"/>
      <c r="B2" s="4" t="n"/>
      <c r="C2" s="4" t="n"/>
      <c r="D2" s="12" t="n"/>
      <c r="E2" s="4" t="n"/>
      <c r="F2" s="4" t="n"/>
    </row>
    <row r="3">
      <c r="A3" s="4" t="n"/>
      <c r="B3" s="4" t="n"/>
      <c r="C3" s="4" t="n"/>
      <c r="D3" s="12" t="n"/>
      <c r="E3" s="4" t="n"/>
      <c r="F3" s="4" t="n"/>
    </row>
    <row r="4">
      <c r="A4" s="4" t="n"/>
      <c r="B4" s="4" t="n"/>
      <c r="C4" s="4" t="n"/>
      <c r="D4" s="12" t="n"/>
      <c r="E4" s="4" t="n"/>
      <c r="F4" s="4" t="n"/>
    </row>
    <row r="5">
      <c r="A5" s="4" t="n"/>
      <c r="B5" s="4" t="n"/>
      <c r="C5" s="4" t="n"/>
      <c r="D5" s="12" t="n"/>
      <c r="E5" s="4" t="n"/>
      <c r="F5" s="4" t="n"/>
    </row>
    <row r="6">
      <c r="A6" s="4" t="n"/>
      <c r="B6" s="4" t="n"/>
      <c r="C6" s="4" t="n"/>
      <c r="D6" s="12" t="n"/>
      <c r="E6" s="4" t="n"/>
      <c r="F6" s="4" t="n"/>
    </row>
    <row r="7">
      <c r="A7" s="4" t="n"/>
      <c r="B7" s="4" t="n"/>
      <c r="C7" s="4" t="n"/>
      <c r="D7" s="12" t="n"/>
      <c r="E7" s="4" t="n"/>
      <c r="F7" s="4" t="n"/>
    </row>
    <row r="8">
      <c r="A8" s="4" t="n"/>
      <c r="B8" s="4" t="n"/>
      <c r="C8" s="4" t="n"/>
      <c r="D8" s="12" t="n"/>
      <c r="E8" s="4" t="n"/>
      <c r="F8" s="4" t="n"/>
    </row>
    <row r="9">
      <c r="A9" s="4" t="n"/>
      <c r="B9" s="4" t="n"/>
      <c r="C9" s="4" t="n"/>
      <c r="D9" s="12" t="n"/>
      <c r="E9" s="4" t="n"/>
      <c r="F9" s="4" t="n"/>
    </row>
    <row r="10">
      <c r="A10" s="4" t="n"/>
      <c r="B10" s="4" t="n"/>
      <c r="C10" s="4" t="n"/>
      <c r="D10" s="12" t="n"/>
      <c r="E10" s="4" t="n"/>
      <c r="F10" s="4" t="n"/>
    </row>
    <row r="11">
      <c r="A11" s="4" t="n"/>
      <c r="B11" s="4" t="n"/>
      <c r="C11" s="4" t="n"/>
      <c r="D11" s="12" t="n"/>
      <c r="E11" s="4" t="n"/>
      <c r="F11" s="4" t="n"/>
    </row>
    <row r="12">
      <c r="A12" s="4" t="n"/>
      <c r="B12" s="4" t="n"/>
      <c r="C12" s="4" t="n"/>
      <c r="D12" s="12" t="n"/>
      <c r="E12" s="4" t="n"/>
      <c r="F12" s="4" t="n"/>
    </row>
    <row r="13">
      <c r="A13" s="4" t="n"/>
      <c r="B13" s="4" t="n"/>
      <c r="C13" s="4" t="n"/>
      <c r="D13" s="12" t="n"/>
      <c r="E13" s="4" t="n"/>
      <c r="F13" s="4" t="n"/>
    </row>
    <row r="14">
      <c r="A14" s="4" t="n"/>
      <c r="B14" s="4" t="n"/>
      <c r="C14" s="4" t="n"/>
      <c r="D14" s="12" t="n"/>
      <c r="E14" s="4" t="n"/>
      <c r="F14" s="4" t="n"/>
    </row>
    <row r="15">
      <c r="A15" s="4" t="n"/>
      <c r="B15" s="4" t="n"/>
      <c r="C15" s="4" t="n"/>
      <c r="D15" s="12" t="n"/>
      <c r="E15" s="4" t="n"/>
      <c r="F15" s="4" t="n"/>
    </row>
    <row r="16">
      <c r="A16" s="4" t="n"/>
      <c r="B16" s="4" t="n"/>
      <c r="C16" s="4" t="n"/>
      <c r="D16" s="12" t="n"/>
      <c r="E16" s="4" t="n"/>
      <c r="F16" s="4" t="n"/>
    </row>
    <row r="17">
      <c r="A17" s="4" t="n"/>
      <c r="B17" s="4" t="n"/>
      <c r="C17" s="4" t="n"/>
      <c r="D17" s="12" t="n"/>
      <c r="E17" s="4" t="n"/>
      <c r="F17" s="4" t="n"/>
    </row>
    <row r="18">
      <c r="A18" s="4" t="n"/>
      <c r="B18" s="4" t="n"/>
      <c r="C18" s="4" t="n"/>
      <c r="D18" s="12" t="n"/>
      <c r="E18" s="4" t="n"/>
      <c r="F18" s="4" t="n"/>
    </row>
    <row r="19">
      <c r="A19" s="4" t="n"/>
      <c r="B19" s="4" t="n"/>
      <c r="C19" s="4" t="n"/>
      <c r="D19" s="12" t="n"/>
      <c r="E19" s="4" t="n"/>
      <c r="F19" s="4" t="n"/>
    </row>
    <row r="20">
      <c r="A20" s="4" t="n"/>
      <c r="B20" s="4" t="n"/>
      <c r="C20" s="4" t="n"/>
      <c r="D20" s="12" t="n"/>
      <c r="E20" s="4" t="n"/>
      <c r="F20" s="4" t="n"/>
    </row>
    <row r="21">
      <c r="A21" s="4" t="n"/>
      <c r="B21" s="4" t="n"/>
      <c r="C21" s="4" t="n"/>
      <c r="D21" s="12" t="n"/>
      <c r="E21" s="4" t="n"/>
      <c r="F21" s="4" t="n"/>
    </row>
    <row r="22">
      <c r="A22" s="4" t="n"/>
      <c r="B22" s="4" t="n"/>
      <c r="C22" s="4" t="n"/>
      <c r="D22" s="12" t="n"/>
      <c r="E22" s="4" t="n"/>
      <c r="F22" s="4" t="n"/>
    </row>
    <row r="23">
      <c r="A23" s="4" t="n"/>
      <c r="B23" s="4" t="n"/>
      <c r="C23" s="4" t="n"/>
      <c r="D23" s="12" t="n"/>
      <c r="E23" s="4" t="n"/>
      <c r="F23" s="4" t="n"/>
    </row>
    <row r="24">
      <c r="A24" s="4" t="n"/>
      <c r="B24" s="4" t="n"/>
      <c r="C24" s="4" t="n"/>
      <c r="D24" s="12" t="n"/>
      <c r="E24" s="4" t="n"/>
      <c r="F24" s="4" t="n"/>
    </row>
    <row r="25">
      <c r="A25" s="4" t="n"/>
      <c r="B25" s="4" t="n"/>
      <c r="C25" s="4" t="n"/>
      <c r="D25" s="12" t="n"/>
      <c r="E25" s="4" t="n"/>
      <c r="F25" s="4" t="n"/>
    </row>
    <row r="26">
      <c r="A26" s="4" t="n"/>
      <c r="B26" s="4" t="n"/>
      <c r="C26" s="4" t="n"/>
      <c r="D26" s="12" t="n"/>
      <c r="E26" s="4" t="n"/>
      <c r="F26" s="4" t="n"/>
    </row>
    <row r="27">
      <c r="A27" s="4" t="n"/>
      <c r="B27" s="4" t="n"/>
      <c r="C27" s="4" t="n"/>
      <c r="D27" s="12" t="n"/>
      <c r="E27" s="4" t="n"/>
      <c r="F27" s="4" t="n"/>
    </row>
    <row r="28">
      <c r="A28" s="4" t="n"/>
      <c r="B28" s="4" t="n"/>
      <c r="C28" s="4" t="n"/>
      <c r="D28" s="12" t="n"/>
      <c r="E28" s="4" t="n"/>
      <c r="F28" s="4" t="n"/>
    </row>
    <row r="29">
      <c r="A29" s="4" t="n"/>
      <c r="B29" s="4" t="n"/>
      <c r="C29" s="4" t="n"/>
      <c r="D29" s="12" t="n"/>
      <c r="E29" s="4" t="n"/>
      <c r="F29" s="4" t="n"/>
    </row>
    <row r="30">
      <c r="A30" s="4" t="n"/>
      <c r="B30" s="4" t="n"/>
      <c r="C30" s="4" t="n"/>
      <c r="D30" s="12" t="n"/>
      <c r="E30" s="4" t="n"/>
      <c r="F30" s="4" t="n"/>
    </row>
    <row r="31">
      <c r="A31" s="4" t="n"/>
      <c r="B31" s="4" t="n"/>
      <c r="C31" s="4" t="n"/>
      <c r="D31" s="12" t="n"/>
      <c r="E31" s="4" t="n"/>
      <c r="F31" s="4" t="n"/>
    </row>
    <row r="32">
      <c r="A32" s="4" t="n"/>
      <c r="B32" s="4" t="n"/>
      <c r="C32" s="4" t="n"/>
      <c r="D32" s="12" t="n"/>
      <c r="E32" s="4" t="n"/>
      <c r="F32" s="4" t="n"/>
    </row>
    <row r="33">
      <c r="A33" s="4" t="n"/>
      <c r="B33" s="4" t="n"/>
      <c r="C33" s="4" t="n"/>
      <c r="D33" s="12" t="n"/>
      <c r="E33" s="4" t="n"/>
      <c r="F33" s="4" t="n"/>
    </row>
    <row r="34">
      <c r="A34" s="4" t="n"/>
      <c r="B34" s="4" t="n"/>
      <c r="C34" s="4" t="n"/>
      <c r="D34" s="12" t="n"/>
      <c r="E34" s="4" t="n"/>
      <c r="F34" s="4" t="n"/>
    </row>
    <row r="35">
      <c r="A35" s="4" t="n"/>
      <c r="B35" s="4" t="n"/>
      <c r="C35" s="4" t="n"/>
      <c r="D35" s="12" t="n"/>
      <c r="E35" s="4" t="n"/>
      <c r="F35" s="4" t="n"/>
    </row>
    <row r="36">
      <c r="A36" s="4" t="n"/>
      <c r="B36" s="4" t="n"/>
      <c r="C36" s="4" t="n"/>
      <c r="D36" s="12" t="n"/>
      <c r="E36" s="4" t="n"/>
      <c r="F36" s="4" t="n"/>
    </row>
    <row r="37">
      <c r="A37" s="4" t="n"/>
      <c r="B37" s="4" t="n"/>
      <c r="C37" s="4" t="n"/>
      <c r="D37" s="12" t="n"/>
      <c r="E37" s="4" t="n"/>
      <c r="F37" s="4" t="n"/>
    </row>
    <row r="38">
      <c r="A38" s="4" t="n"/>
      <c r="B38" s="4" t="n"/>
      <c r="C38" s="4" t="n"/>
      <c r="D38" s="12" t="n"/>
      <c r="E38" s="4" t="n"/>
      <c r="F38" s="4" t="n"/>
    </row>
    <row r="39">
      <c r="A39" s="4" t="n"/>
      <c r="B39" s="4" t="n"/>
      <c r="C39" s="4" t="n"/>
      <c r="D39" s="12" t="n"/>
      <c r="E39" s="4" t="n"/>
      <c r="F39" s="4" t="n"/>
    </row>
    <row r="40">
      <c r="A40" s="4" t="n"/>
      <c r="B40" s="4" t="n"/>
      <c r="C40" s="4" t="n"/>
      <c r="D40" s="12" t="n"/>
      <c r="E40" s="4" t="n"/>
      <c r="F40" s="4" t="n"/>
    </row>
    <row r="41">
      <c r="A41" s="4" t="n"/>
      <c r="B41" s="4" t="n"/>
      <c r="C41" s="4" t="n"/>
      <c r="D41" s="12" t="n"/>
      <c r="E41" s="4" t="n"/>
      <c r="F41" s="4" t="n"/>
    </row>
    <row r="42">
      <c r="A42" s="4" t="n"/>
      <c r="B42" s="4" t="n"/>
      <c r="C42" s="4" t="n"/>
      <c r="D42" s="12" t="n"/>
      <c r="E42" s="4" t="n"/>
      <c r="F42" s="4" t="n"/>
    </row>
    <row r="43">
      <c r="A43" s="4" t="n"/>
      <c r="B43" s="4" t="n"/>
      <c r="C43" s="4" t="n"/>
      <c r="D43" s="12" t="n"/>
      <c r="E43" s="4" t="n"/>
      <c r="F43" s="4" t="n"/>
    </row>
    <row r="44">
      <c r="A44" s="4" t="n"/>
      <c r="B44" s="4" t="n"/>
      <c r="C44" s="4" t="n"/>
      <c r="D44" s="12" t="n"/>
      <c r="E44" s="4" t="n"/>
      <c r="F44" s="4" t="n"/>
    </row>
    <row r="45">
      <c r="A45" s="4" t="n"/>
      <c r="B45" s="4" t="n"/>
      <c r="C45" s="4" t="n"/>
      <c r="D45" s="12" t="n"/>
      <c r="E45" s="4" t="n"/>
      <c r="F45" s="4" t="n"/>
    </row>
    <row r="46">
      <c r="A46" s="4" t="n"/>
      <c r="B46" s="4" t="n"/>
      <c r="C46" s="4" t="n"/>
      <c r="D46" s="12" t="n"/>
      <c r="E46" s="4" t="n"/>
      <c r="F46" s="4" t="n"/>
    </row>
    <row r="47">
      <c r="A47" s="4" t="n"/>
      <c r="B47" s="4" t="n"/>
      <c r="C47" s="4" t="n"/>
      <c r="D47" s="12" t="n"/>
      <c r="E47" s="4" t="n"/>
      <c r="F47" s="4" t="n"/>
    </row>
    <row r="48">
      <c r="A48" s="4" t="n"/>
      <c r="B48" s="4" t="n"/>
      <c r="C48" s="4" t="n"/>
      <c r="D48" s="12" t="n"/>
      <c r="E48" s="4" t="n"/>
      <c r="F48" s="4" t="n"/>
    </row>
    <row r="49">
      <c r="A49" s="4" t="n"/>
      <c r="B49" s="4" t="n"/>
      <c r="C49" s="4" t="n"/>
      <c r="D49" s="12" t="n"/>
      <c r="E49" s="4" t="n"/>
      <c r="F49" s="4" t="n"/>
    </row>
    <row r="50">
      <c r="A50" s="4" t="n"/>
      <c r="B50" s="4" t="n"/>
      <c r="C50" s="4" t="n"/>
      <c r="D50" s="12" t="n"/>
      <c r="E50" s="4" t="n"/>
      <c r="F50" s="4" t="n"/>
    </row>
    <row r="51">
      <c r="A51" s="4" t="n"/>
      <c r="B51" s="4" t="n"/>
      <c r="C51" s="4" t="n"/>
      <c r="D51" s="12" t="n"/>
      <c r="E51" s="4" t="n"/>
      <c r="F51" s="4" t="n"/>
    </row>
    <row r="52">
      <c r="A52" s="4" t="n"/>
      <c r="B52" s="4" t="n"/>
      <c r="C52" s="4" t="n"/>
      <c r="D52" s="12" t="n"/>
      <c r="E52" s="4" t="n"/>
      <c r="F52" s="4" t="n"/>
    </row>
    <row r="53">
      <c r="A53" s="4" t="n"/>
      <c r="B53" s="4" t="n"/>
      <c r="C53" s="4" t="n"/>
      <c r="D53" s="12" t="n"/>
      <c r="E53" s="4" t="n"/>
      <c r="F53" s="4" t="n"/>
    </row>
    <row r="54">
      <c r="A54" s="4" t="n"/>
      <c r="B54" s="4" t="n"/>
      <c r="C54" s="4" t="n"/>
      <c r="D54" s="12" t="n"/>
      <c r="E54" s="4" t="n"/>
      <c r="F54" s="4" t="n"/>
    </row>
    <row r="55">
      <c r="A55" s="4" t="n"/>
      <c r="B55" s="4" t="n"/>
      <c r="C55" s="4" t="n"/>
      <c r="D55" s="12" t="n"/>
      <c r="E55" s="4" t="n"/>
      <c r="F55" s="4" t="n"/>
    </row>
    <row r="56">
      <c r="A56" s="4" t="n"/>
      <c r="B56" s="4" t="n"/>
      <c r="C56" s="4" t="n"/>
      <c r="D56" s="12" t="n"/>
      <c r="E56" s="4" t="n"/>
      <c r="F56" s="4" t="n"/>
    </row>
    <row r="57">
      <c r="A57" s="4" t="n"/>
      <c r="B57" s="4" t="n"/>
      <c r="C57" s="4" t="n"/>
      <c r="D57" s="12" t="n"/>
      <c r="E57" s="4" t="n"/>
      <c r="F57" s="4" t="n"/>
    </row>
    <row r="58">
      <c r="A58" s="4" t="n"/>
      <c r="B58" s="4" t="n"/>
      <c r="C58" s="4" t="n"/>
      <c r="D58" s="12" t="n"/>
      <c r="E58" s="4" t="n"/>
      <c r="F58" s="4" t="n"/>
    </row>
    <row r="59">
      <c r="A59" s="4" t="n"/>
      <c r="B59" s="4" t="n"/>
      <c r="C59" s="4" t="n"/>
      <c r="D59" s="12" t="n"/>
      <c r="E59" s="4" t="n"/>
      <c r="F59" s="4" t="n"/>
    </row>
    <row r="60">
      <c r="A60" s="4" t="n"/>
      <c r="B60" s="4" t="n"/>
      <c r="C60" s="4" t="n"/>
      <c r="D60" s="12" t="n"/>
      <c r="E60" s="4" t="n"/>
      <c r="F60" s="4" t="n"/>
    </row>
    <row r="61">
      <c r="A61" s="4" t="n"/>
      <c r="B61" s="4" t="n"/>
      <c r="C61" s="4" t="n"/>
      <c r="D61" s="12" t="n"/>
      <c r="E61" s="4" t="n"/>
      <c r="F61" s="4" t="n"/>
    </row>
    <row r="62">
      <c r="A62" s="4" t="n"/>
      <c r="B62" s="4" t="n"/>
      <c r="C62" s="4" t="n"/>
      <c r="D62" s="12" t="n"/>
      <c r="E62" s="4" t="n"/>
      <c r="F62" s="4" t="n"/>
    </row>
    <row r="63">
      <c r="A63" s="4" t="n"/>
      <c r="B63" s="4" t="n"/>
      <c r="C63" s="4" t="n"/>
      <c r="D63" s="12" t="n"/>
      <c r="E63" s="4" t="n"/>
      <c r="F63" s="4" t="n"/>
    </row>
    <row r="64">
      <c r="A64" s="4" t="n"/>
      <c r="B64" s="4" t="n"/>
      <c r="C64" s="4" t="n"/>
      <c r="D64" s="12" t="n"/>
      <c r="E64" s="4" t="n"/>
      <c r="F64" s="4" t="n"/>
    </row>
    <row r="65">
      <c r="A65" s="4" t="n"/>
      <c r="B65" s="4" t="n"/>
      <c r="C65" s="4" t="n"/>
      <c r="D65" s="12" t="n"/>
      <c r="E65" s="4" t="n"/>
      <c r="F65" s="4" t="n"/>
    </row>
    <row r="66">
      <c r="A66" s="4" t="n"/>
      <c r="B66" s="4" t="n"/>
      <c r="C66" s="4" t="n"/>
      <c r="D66" s="12" t="n"/>
      <c r="E66" s="4" t="n"/>
      <c r="F66" s="4" t="n"/>
    </row>
    <row r="67">
      <c r="A67" s="4" t="n"/>
      <c r="B67" s="4" t="n"/>
      <c r="C67" s="4" t="n"/>
      <c r="D67" s="12" t="n"/>
      <c r="E67" s="4" t="n"/>
      <c r="F67" s="4" t="n"/>
    </row>
    <row r="68">
      <c r="A68" s="4" t="n"/>
      <c r="B68" s="4" t="n"/>
      <c r="C68" s="4" t="n"/>
      <c r="D68" s="12" t="n"/>
      <c r="E68" s="4" t="n"/>
      <c r="F68" s="4" t="n"/>
    </row>
    <row r="69">
      <c r="A69" s="4" t="n"/>
      <c r="B69" s="4" t="n"/>
      <c r="C69" s="4" t="n"/>
      <c r="D69" s="12" t="n"/>
      <c r="E69" s="4" t="n"/>
      <c r="F69" s="4" t="n"/>
    </row>
    <row r="70">
      <c r="A70" s="4" t="n"/>
      <c r="B70" s="4" t="n"/>
      <c r="C70" s="4" t="n"/>
      <c r="D70" s="12" t="n"/>
      <c r="E70" s="4" t="n"/>
      <c r="F70" s="4" t="n"/>
    </row>
    <row r="71">
      <c r="A71" s="4" t="n"/>
      <c r="B71" s="4" t="n"/>
      <c r="C71" s="4" t="n"/>
      <c r="D71" s="12" t="n"/>
      <c r="E71" s="4" t="n"/>
      <c r="F71" s="4" t="n"/>
    </row>
    <row r="72">
      <c r="A72" s="4" t="n"/>
      <c r="B72" s="4" t="n"/>
      <c r="C72" s="4" t="n"/>
      <c r="D72" s="12" t="n"/>
      <c r="E72" s="4" t="n"/>
      <c r="F72" s="4" t="n"/>
    </row>
    <row r="73">
      <c r="A73" s="4" t="n"/>
      <c r="B73" s="4" t="n"/>
      <c r="C73" s="4" t="n"/>
      <c r="D73" s="12" t="n"/>
      <c r="E73" s="4" t="n"/>
      <c r="F73" s="4" t="n"/>
    </row>
    <row r="74">
      <c r="A74" s="4" t="n"/>
      <c r="B74" s="4" t="n"/>
      <c r="C74" s="4" t="n"/>
      <c r="D74" s="12" t="n"/>
      <c r="E74" s="4" t="n"/>
      <c r="F74" s="4" t="n"/>
    </row>
    <row r="75">
      <c r="A75" s="4" t="n"/>
      <c r="B75" s="4" t="n"/>
      <c r="C75" s="4" t="n"/>
      <c r="D75" s="12" t="n"/>
      <c r="E75" s="4" t="n"/>
      <c r="F75" s="4" t="n"/>
    </row>
    <row r="76">
      <c r="A76" s="4" t="n"/>
      <c r="B76" s="4" t="n"/>
      <c r="C76" s="4" t="n"/>
      <c r="D76" s="12" t="n"/>
      <c r="E76" s="4" t="n"/>
      <c r="F76" s="4" t="n"/>
    </row>
    <row r="77">
      <c r="A77" s="4" t="n"/>
      <c r="B77" s="4" t="n"/>
      <c r="C77" s="4" t="n"/>
      <c r="D77" s="12" t="n"/>
      <c r="E77" s="4" t="n"/>
      <c r="F77" s="4" t="n"/>
    </row>
    <row r="78">
      <c r="A78" s="4" t="n"/>
      <c r="B78" s="4" t="n"/>
      <c r="C78" s="4" t="n"/>
      <c r="D78" s="12" t="n"/>
      <c r="E78" s="4" t="n"/>
      <c r="F78" s="4" t="n"/>
    </row>
    <row r="79">
      <c r="A79" s="4" t="n"/>
      <c r="B79" s="4" t="n"/>
      <c r="C79" s="4" t="n"/>
      <c r="D79" s="12" t="n"/>
      <c r="E79" s="4" t="n"/>
      <c r="F79" s="4" t="n"/>
    </row>
    <row r="80">
      <c r="A80" s="4" t="n"/>
      <c r="B80" s="4" t="n"/>
      <c r="C80" s="4" t="n"/>
      <c r="D80" s="12" t="n"/>
      <c r="E80" s="4" t="n"/>
      <c r="F80" s="4" t="n"/>
    </row>
    <row r="81">
      <c r="A81" s="4" t="n"/>
      <c r="B81" s="4" t="n"/>
      <c r="C81" s="4" t="n"/>
      <c r="D81" s="12" t="n"/>
      <c r="E81" s="4" t="n"/>
      <c r="F81" s="4" t="n"/>
    </row>
    <row r="82">
      <c r="A82" s="4" t="n"/>
      <c r="B82" s="4" t="n"/>
      <c r="C82" s="4" t="n"/>
      <c r="D82" s="12" t="n"/>
      <c r="E82" s="4" t="n"/>
      <c r="F82" s="4" t="n"/>
    </row>
    <row r="83">
      <c r="A83" s="4" t="n"/>
      <c r="B83" s="4" t="n"/>
      <c r="C83" s="4" t="n"/>
      <c r="D83" s="12" t="n"/>
      <c r="E83" s="4" t="n"/>
      <c r="F83" s="4" t="n"/>
    </row>
    <row r="84">
      <c r="A84" s="4" t="n"/>
      <c r="B84" s="4" t="n"/>
      <c r="C84" s="4" t="n"/>
      <c r="D84" s="12" t="n"/>
      <c r="E84" s="4" t="n"/>
      <c r="F84" s="4" t="n"/>
    </row>
    <row r="85">
      <c r="A85" s="4" t="n"/>
      <c r="B85" s="4" t="n"/>
      <c r="C85" s="4" t="n"/>
      <c r="D85" s="12" t="n"/>
      <c r="E85" s="4" t="n"/>
      <c r="F85" s="4" t="n"/>
    </row>
    <row r="86">
      <c r="A86" s="4" t="n"/>
      <c r="B86" s="4" t="n"/>
      <c r="C86" s="4" t="n"/>
      <c r="D86" s="12" t="n"/>
      <c r="E86" s="4" t="n"/>
      <c r="F86" s="4" t="n"/>
    </row>
    <row r="87">
      <c r="A87" s="4" t="n"/>
      <c r="B87" s="4" t="n"/>
      <c r="C87" s="4" t="n"/>
      <c r="D87" s="12" t="n"/>
      <c r="E87" s="4" t="n"/>
      <c r="F87" s="4" t="n"/>
    </row>
    <row r="88">
      <c r="A88" s="4" t="n"/>
      <c r="B88" s="4" t="n"/>
      <c r="C88" s="4" t="n"/>
      <c r="D88" s="12" t="n"/>
      <c r="E88" s="4" t="n"/>
      <c r="F88" s="4" t="n"/>
    </row>
    <row r="89">
      <c r="A89" s="4" t="n"/>
      <c r="B89" s="4" t="n"/>
      <c r="C89" s="4" t="n"/>
      <c r="D89" s="12" t="n"/>
      <c r="E89" s="4" t="n"/>
      <c r="F89" s="4" t="n"/>
    </row>
    <row r="90">
      <c r="A90" s="4" t="n"/>
      <c r="B90" s="4" t="n"/>
      <c r="C90" s="4" t="n"/>
      <c r="D90" s="12" t="n"/>
      <c r="E90" s="4" t="n"/>
      <c r="F90" s="4" t="n"/>
    </row>
    <row r="91">
      <c r="A91" s="4" t="n"/>
      <c r="B91" s="4" t="n"/>
      <c r="C91" s="4" t="n"/>
      <c r="D91" s="12" t="n"/>
      <c r="E91" s="4" t="n"/>
      <c r="F91" s="4" t="n"/>
    </row>
    <row r="92">
      <c r="A92" s="4" t="n"/>
      <c r="B92" s="4" t="n"/>
      <c r="C92" s="4" t="n"/>
      <c r="D92" s="12" t="n"/>
      <c r="E92" s="4" t="n"/>
      <c r="F92" s="4" t="n"/>
    </row>
    <row r="93">
      <c r="A93" s="4" t="n"/>
      <c r="B93" s="4" t="n"/>
      <c r="C93" s="4" t="n"/>
      <c r="D93" s="12" t="n"/>
      <c r="E93" s="4" t="n"/>
      <c r="F93" s="4" t="n"/>
    </row>
    <row r="94">
      <c r="A94" s="4" t="n"/>
      <c r="B94" s="4" t="n"/>
      <c r="C94" s="4" t="n"/>
      <c r="D94" s="12" t="n"/>
      <c r="E94" s="4" t="n"/>
      <c r="F94" s="4" t="n"/>
    </row>
    <row r="95">
      <c r="A95" s="4" t="n"/>
      <c r="B95" s="4" t="n"/>
      <c r="C95" s="4" t="n"/>
      <c r="D95" s="12" t="n"/>
      <c r="E95" s="4" t="n"/>
      <c r="F95" s="4" t="n"/>
    </row>
    <row r="96">
      <c r="A96" s="4" t="n"/>
      <c r="B96" s="4" t="n"/>
      <c r="C96" s="4" t="n"/>
      <c r="D96" s="12" t="n"/>
      <c r="E96" s="4" t="n"/>
      <c r="F96" s="4" t="n"/>
    </row>
    <row r="97">
      <c r="A97" s="4" t="n"/>
      <c r="B97" s="4" t="n"/>
      <c r="C97" s="4" t="n"/>
      <c r="D97" s="12" t="n"/>
      <c r="E97" s="4" t="n"/>
      <c r="F97" s="4" t="n"/>
    </row>
    <row r="98">
      <c r="A98" s="4" t="n"/>
      <c r="B98" s="4" t="n"/>
      <c r="C98" s="4" t="n"/>
      <c r="D98" s="12" t="n"/>
      <c r="E98" s="4" t="n"/>
      <c r="F98" s="4" t="n"/>
    </row>
    <row r="99">
      <c r="A99" s="4" t="n"/>
      <c r="B99" s="4" t="n"/>
      <c r="C99" s="4" t="n"/>
      <c r="D99" s="12" t="n"/>
      <c r="E99" s="4" t="n"/>
      <c r="F99" s="4" t="n"/>
    </row>
    <row r="100">
      <c r="A100" s="4" t="n"/>
      <c r="B100" s="4" t="n"/>
      <c r="C100" s="4" t="n"/>
      <c r="D100" s="12" t="n"/>
      <c r="E100" s="4" t="n"/>
      <c r="F100" s="4" t="n"/>
    </row>
    <row r="101">
      <c r="A101" s="4" t="n"/>
      <c r="B101" s="4" t="n"/>
      <c r="C101" s="4" t="n"/>
      <c r="D101" s="12" t="n"/>
      <c r="E101" s="4" t="n"/>
      <c r="F101" s="4" t="n"/>
    </row>
    <row r="102">
      <c r="A102" s="4" t="n"/>
      <c r="B102" s="4" t="n"/>
      <c r="C102" s="4" t="n"/>
      <c r="D102" s="12" t="n"/>
      <c r="E102" s="4" t="n"/>
      <c r="F102" s="4" t="n"/>
    </row>
    <row r="103">
      <c r="A103" s="4" t="n"/>
      <c r="B103" s="4" t="n"/>
      <c r="C103" s="4" t="n"/>
      <c r="D103" s="12" t="n"/>
      <c r="E103" s="4" t="n"/>
      <c r="F103" s="4" t="n"/>
    </row>
    <row r="104">
      <c r="A104" s="4" t="n"/>
      <c r="B104" s="4" t="n"/>
      <c r="C104" s="4" t="n"/>
      <c r="D104" s="12" t="n"/>
      <c r="E104" s="4" t="n"/>
      <c r="F104" s="4" t="n"/>
    </row>
    <row r="105">
      <c r="A105" s="4" t="n"/>
      <c r="B105" s="4" t="n"/>
      <c r="C105" s="4" t="n"/>
      <c r="D105" s="12" t="n"/>
      <c r="E105" s="4" t="n"/>
      <c r="F105" s="4" t="n"/>
    </row>
    <row r="106">
      <c r="A106" s="4" t="n"/>
      <c r="B106" s="4" t="n"/>
      <c r="C106" s="4" t="n"/>
      <c r="D106" s="12" t="n"/>
      <c r="E106" s="4" t="n"/>
      <c r="F106" s="4" t="n"/>
    </row>
    <row r="107">
      <c r="A107" s="4" t="n"/>
      <c r="B107" s="4" t="n"/>
      <c r="C107" s="4" t="n"/>
      <c r="D107" s="12" t="n"/>
      <c r="E107" s="4" t="n"/>
      <c r="F107" s="4" t="n"/>
    </row>
    <row r="108">
      <c r="A108" s="4" t="n"/>
      <c r="B108" s="4" t="n"/>
      <c r="C108" s="4" t="n"/>
      <c r="D108" s="12" t="n"/>
      <c r="E108" s="4" t="n"/>
      <c r="F108" s="4" t="n"/>
    </row>
    <row r="109">
      <c r="A109" s="4" t="n"/>
      <c r="B109" s="4" t="n"/>
      <c r="C109" s="4" t="n"/>
      <c r="D109" s="12" t="n"/>
      <c r="E109" s="4" t="n"/>
      <c r="F109" s="4" t="n"/>
    </row>
    <row r="110">
      <c r="A110" s="4" t="n"/>
      <c r="B110" s="4" t="n"/>
      <c r="C110" s="4" t="n"/>
      <c r="D110" s="12" t="n"/>
      <c r="E110" s="4" t="n"/>
      <c r="F110" s="4" t="n"/>
    </row>
    <row r="111">
      <c r="A111" s="4" t="n"/>
      <c r="B111" s="4" t="n"/>
      <c r="C111" s="4" t="n"/>
      <c r="D111" s="12" t="n"/>
      <c r="E111" s="4" t="n"/>
      <c r="F111" s="4" t="n"/>
    </row>
    <row r="112">
      <c r="A112" s="4" t="n"/>
      <c r="B112" s="4" t="n"/>
      <c r="C112" s="4" t="n"/>
      <c r="D112" s="12" t="n"/>
      <c r="E112" s="4" t="n"/>
      <c r="F112" s="4" t="n"/>
    </row>
    <row r="113">
      <c r="A113" s="4" t="n"/>
      <c r="B113" s="4" t="n"/>
      <c r="C113" s="4" t="n"/>
      <c r="D113" s="12" t="n"/>
      <c r="E113" s="4" t="n"/>
      <c r="F113" s="4" t="n"/>
    </row>
    <row r="114">
      <c r="A114" s="4" t="n"/>
      <c r="B114" s="4" t="n"/>
      <c r="C114" s="4" t="n"/>
      <c r="D114" s="12" t="n"/>
      <c r="E114" s="4" t="n"/>
      <c r="F114" s="4" t="n"/>
    </row>
    <row r="115">
      <c r="A115" s="4" t="n"/>
      <c r="B115" s="4" t="n"/>
      <c r="C115" s="4" t="n"/>
      <c r="D115" s="12" t="n"/>
      <c r="E115" s="4" t="n"/>
      <c r="F115" s="4" t="n"/>
    </row>
    <row r="116">
      <c r="A116" s="4" t="n"/>
      <c r="B116" s="4" t="n"/>
      <c r="C116" s="4" t="n"/>
      <c r="D116" s="12" t="n"/>
      <c r="E116" s="4" t="n"/>
      <c r="F116" s="4" t="n"/>
    </row>
    <row r="117">
      <c r="A117" s="4" t="n"/>
      <c r="B117" s="4" t="n"/>
      <c r="C117" s="4" t="n"/>
      <c r="D117" s="12" t="n"/>
      <c r="E117" s="4" t="n"/>
      <c r="F117" s="4" t="n"/>
    </row>
    <row r="118">
      <c r="A118" s="4" t="n"/>
      <c r="B118" s="4" t="n"/>
      <c r="C118" s="4" t="n"/>
      <c r="D118" s="12" t="n"/>
      <c r="E118" s="4" t="n"/>
      <c r="F118" s="4" t="n"/>
    </row>
    <row r="119">
      <c r="A119" s="4" t="n"/>
      <c r="B119" s="4" t="n"/>
      <c r="C119" s="4" t="n"/>
      <c r="D119" s="12" t="n"/>
      <c r="E119" s="4" t="n"/>
      <c r="F119" s="4" t="n"/>
    </row>
    <row r="120">
      <c r="A120" s="4" t="n"/>
      <c r="B120" s="4" t="n"/>
      <c r="C120" s="4" t="n"/>
      <c r="D120" s="12" t="n"/>
      <c r="E120" s="4" t="n"/>
      <c r="F120" s="4" t="n"/>
    </row>
    <row r="121">
      <c r="A121" s="4" t="n"/>
      <c r="B121" s="4" t="n"/>
      <c r="C121" s="4" t="n"/>
      <c r="D121" s="12" t="n"/>
      <c r="E121" s="4" t="n"/>
      <c r="F121" s="4" t="n"/>
    </row>
    <row r="122">
      <c r="A122" s="4" t="n"/>
      <c r="B122" s="4" t="n"/>
      <c r="C122" s="4" t="n"/>
      <c r="D122" s="12" t="n"/>
      <c r="E122" s="4" t="n"/>
      <c r="F122" s="4" t="n"/>
    </row>
    <row r="123">
      <c r="A123" s="4" t="n"/>
      <c r="B123" s="4" t="n"/>
      <c r="C123" s="4" t="n"/>
      <c r="D123" s="12" t="n"/>
      <c r="E123" s="4" t="n"/>
      <c r="F123" s="4" t="n"/>
    </row>
    <row r="124">
      <c r="A124" s="4" t="n"/>
      <c r="B124" s="4" t="n"/>
      <c r="C124" s="4" t="n"/>
      <c r="D124" s="12" t="n"/>
      <c r="E124" s="4" t="n"/>
      <c r="F124" s="4" t="n"/>
    </row>
    <row r="125">
      <c r="A125" s="4" t="n"/>
      <c r="B125" s="4" t="n"/>
      <c r="C125" s="4" t="n"/>
      <c r="D125" s="12" t="n"/>
      <c r="E125" s="4" t="n"/>
      <c r="F125" s="4" t="n"/>
    </row>
    <row r="126">
      <c r="A126" s="4" t="n"/>
      <c r="B126" s="4" t="n"/>
      <c r="C126" s="4" t="n"/>
      <c r="D126" s="12" t="n"/>
      <c r="E126" s="4" t="n"/>
      <c r="F126" s="4" t="n"/>
    </row>
    <row r="127">
      <c r="A127" s="4" t="n"/>
      <c r="B127" s="4" t="n"/>
      <c r="C127" s="4" t="n"/>
      <c r="D127" s="12" t="n"/>
      <c r="E127" s="4" t="n"/>
      <c r="F127" s="4" t="n"/>
    </row>
    <row r="128">
      <c r="A128" s="4" t="n"/>
      <c r="B128" s="4" t="n"/>
      <c r="C128" s="4" t="n"/>
      <c r="D128" s="12" t="n"/>
      <c r="E128" s="4" t="n"/>
      <c r="F128" s="4" t="n"/>
    </row>
    <row r="129">
      <c r="A129" s="4" t="n"/>
      <c r="B129" s="4" t="n"/>
      <c r="C129" s="4" t="n"/>
      <c r="D129" s="12" t="n"/>
      <c r="E129" s="4" t="n"/>
      <c r="F129" s="4" t="n"/>
    </row>
    <row r="130">
      <c r="A130" s="4" t="n"/>
      <c r="B130" s="4" t="n"/>
      <c r="C130" s="4" t="n"/>
      <c r="D130" s="12" t="n"/>
      <c r="E130" s="4" t="n"/>
      <c r="F130" s="4" t="n"/>
    </row>
    <row r="131">
      <c r="A131" s="4" t="n"/>
      <c r="B131" s="4" t="n"/>
      <c r="C131" s="4" t="n"/>
      <c r="D131" s="12" t="n"/>
      <c r="E131" s="4" t="n"/>
      <c r="F131" s="4" t="n"/>
    </row>
    <row r="132">
      <c r="A132" s="4" t="n"/>
      <c r="B132" s="4" t="n"/>
      <c r="C132" s="4" t="n"/>
      <c r="D132" s="12" t="n"/>
      <c r="E132" s="4" t="n"/>
      <c r="F132" s="4" t="n"/>
    </row>
    <row r="133">
      <c r="A133" s="4" t="n"/>
      <c r="B133" s="4" t="n"/>
      <c r="C133" s="4" t="n"/>
      <c r="D133" s="12" t="n"/>
      <c r="E133" s="4" t="n"/>
      <c r="F133" s="4" t="n"/>
    </row>
    <row r="134">
      <c r="A134" s="4" t="n"/>
      <c r="B134" s="4" t="n"/>
      <c r="C134" s="4" t="n"/>
      <c r="D134" s="12" t="n"/>
      <c r="E134" s="4" t="n"/>
      <c r="F134" s="4" t="n"/>
    </row>
    <row r="135">
      <c r="A135" s="4" t="n"/>
      <c r="B135" s="4" t="n"/>
      <c r="C135" s="4" t="n"/>
      <c r="D135" s="12" t="n"/>
      <c r="E135" s="4" t="n"/>
      <c r="F135" s="4" t="n"/>
    </row>
    <row r="136">
      <c r="A136" s="4" t="n"/>
      <c r="B136" s="4" t="n"/>
      <c r="C136" s="4" t="n"/>
      <c r="D136" s="12" t="n"/>
      <c r="E136" s="4" t="n"/>
      <c r="F136" s="4" t="n"/>
    </row>
    <row r="137">
      <c r="A137" s="4" t="n"/>
      <c r="B137" s="4" t="n"/>
      <c r="C137" s="4" t="n"/>
      <c r="D137" s="12" t="n"/>
      <c r="E137" s="4" t="n"/>
      <c r="F137" s="4" t="n"/>
    </row>
    <row r="138">
      <c r="A138" s="4" t="n"/>
      <c r="B138" s="4" t="n"/>
      <c r="C138" s="4" t="n"/>
      <c r="D138" s="12" t="n"/>
      <c r="E138" s="4" t="n"/>
      <c r="F138" s="4" t="n"/>
    </row>
    <row r="139">
      <c r="A139" s="4" t="n"/>
      <c r="B139" s="4" t="n"/>
      <c r="C139" s="4" t="n"/>
      <c r="D139" s="12" t="n"/>
      <c r="E139" s="4" t="n"/>
      <c r="F139" s="4" t="n"/>
    </row>
    <row r="140">
      <c r="A140" s="4" t="n"/>
      <c r="B140" s="4" t="n"/>
      <c r="C140" s="4" t="n"/>
      <c r="D140" s="12" t="n"/>
      <c r="E140" s="4" t="n"/>
      <c r="F140" s="4" t="n"/>
    </row>
    <row r="141">
      <c r="A141" s="4" t="n"/>
      <c r="B141" s="4" t="n"/>
      <c r="C141" s="4" t="n"/>
      <c r="D141" s="12" t="n"/>
      <c r="E141" s="4" t="n"/>
      <c r="F141" s="4" t="n"/>
    </row>
    <row r="142">
      <c r="A142" s="4" t="n"/>
      <c r="B142" s="4" t="n"/>
      <c r="C142" s="4" t="n"/>
      <c r="D142" s="12" t="n"/>
      <c r="E142" s="4" t="n"/>
      <c r="F142" s="4" t="n"/>
    </row>
    <row r="143">
      <c r="A143" s="4" t="n"/>
      <c r="B143" s="4" t="n"/>
      <c r="C143" s="4" t="n"/>
      <c r="D143" s="12" t="n"/>
      <c r="E143" s="4" t="n"/>
      <c r="F143" s="4" t="n"/>
    </row>
    <row r="144">
      <c r="A144" s="4" t="n"/>
      <c r="B144" s="4" t="n"/>
      <c r="C144" s="4" t="n"/>
      <c r="D144" s="12" t="n"/>
      <c r="E144" s="4" t="n"/>
      <c r="F144" s="4" t="n"/>
    </row>
    <row r="145">
      <c r="A145" s="4" t="n"/>
      <c r="B145" s="4" t="n"/>
      <c r="C145" s="4" t="n"/>
      <c r="D145" s="12" t="n"/>
      <c r="E145" s="4" t="n"/>
      <c r="F145" s="4" t="n"/>
    </row>
    <row r="146">
      <c r="A146" s="4" t="n"/>
      <c r="B146" s="4" t="n"/>
      <c r="C146" s="4" t="n"/>
      <c r="D146" s="12" t="n"/>
      <c r="E146" s="4" t="n"/>
      <c r="F146" s="4" t="n"/>
    </row>
    <row r="147">
      <c r="A147" s="4" t="n"/>
      <c r="B147" s="4" t="n"/>
      <c r="C147" s="4" t="n"/>
      <c r="D147" s="12" t="n"/>
      <c r="E147" s="4" t="n"/>
      <c r="F147" s="4" t="n"/>
    </row>
    <row r="148">
      <c r="A148" s="4" t="n"/>
      <c r="B148" s="4" t="n"/>
      <c r="C148" s="4" t="n"/>
      <c r="D148" s="12" t="n"/>
      <c r="E148" s="4" t="n"/>
      <c r="F148" s="4" t="n"/>
    </row>
    <row r="149">
      <c r="A149" s="4" t="n"/>
      <c r="B149" s="4" t="n"/>
      <c r="C149" s="4" t="n"/>
      <c r="D149" s="12" t="n"/>
      <c r="E149" s="4" t="n"/>
      <c r="F149" s="4" t="n"/>
    </row>
    <row r="150">
      <c r="A150" s="4" t="n"/>
      <c r="B150" s="4" t="n"/>
      <c r="C150" s="4" t="n"/>
      <c r="D150" s="12" t="n"/>
      <c r="E150" s="4" t="n"/>
      <c r="F150" s="4" t="n"/>
    </row>
    <row r="151">
      <c r="A151" s="4" t="n"/>
      <c r="B151" s="4" t="n"/>
      <c r="C151" s="4" t="n"/>
      <c r="D151" s="12" t="n"/>
      <c r="E151" s="4" t="n"/>
      <c r="F151" s="4" t="n"/>
    </row>
    <row r="152">
      <c r="A152" s="4" t="n"/>
      <c r="B152" s="4" t="n"/>
      <c r="C152" s="4" t="n"/>
      <c r="D152" s="12" t="n"/>
      <c r="E152" s="4" t="n"/>
      <c r="F152" s="4" t="n"/>
    </row>
    <row r="153">
      <c r="A153" s="4" t="n"/>
      <c r="B153" s="4" t="n"/>
      <c r="C153" s="4" t="n"/>
      <c r="D153" s="12" t="n"/>
      <c r="E153" s="4" t="n"/>
      <c r="F153" s="4" t="n"/>
    </row>
    <row r="154">
      <c r="A154" s="4" t="n"/>
      <c r="B154" s="4" t="n"/>
      <c r="C154" s="4" t="n"/>
      <c r="D154" s="12" t="n"/>
      <c r="E154" s="4" t="n"/>
      <c r="F154" s="4" t="n"/>
    </row>
    <row r="155">
      <c r="A155" s="4" t="n"/>
      <c r="B155" s="4" t="n"/>
      <c r="C155" s="4" t="n"/>
      <c r="D155" s="12" t="n"/>
      <c r="E155" s="4" t="n"/>
      <c r="F155" s="4" t="n"/>
    </row>
    <row r="156">
      <c r="A156" s="4" t="n"/>
      <c r="B156" s="4" t="n"/>
      <c r="C156" s="4" t="n"/>
      <c r="D156" s="12" t="n"/>
      <c r="E156" s="4" t="n"/>
      <c r="F156" s="4" t="n"/>
    </row>
    <row r="157">
      <c r="A157" s="4" t="n"/>
      <c r="B157" s="4" t="n"/>
      <c r="C157" s="4" t="n"/>
      <c r="D157" s="12" t="n"/>
      <c r="E157" s="4" t="n"/>
      <c r="F157" s="4" t="n"/>
    </row>
    <row r="158">
      <c r="A158" s="4" t="n"/>
      <c r="B158" s="4" t="n"/>
      <c r="C158" s="4" t="n"/>
      <c r="D158" s="12" t="n"/>
      <c r="E158" s="4" t="n"/>
      <c r="F158" s="4" t="n"/>
    </row>
    <row r="159">
      <c r="A159" s="4" t="n"/>
      <c r="B159" s="4" t="n"/>
      <c r="C159" s="4" t="n"/>
      <c r="D159" s="12" t="n"/>
      <c r="E159" s="4" t="n"/>
      <c r="F159" s="4" t="n"/>
    </row>
    <row r="160">
      <c r="A160" s="4" t="n"/>
      <c r="B160" s="4" t="n"/>
      <c r="C160" s="4" t="n"/>
      <c r="D160" s="12" t="n"/>
      <c r="E160" s="4" t="n"/>
      <c r="F160" s="4" t="n"/>
    </row>
    <row r="161">
      <c r="A161" s="4" t="n"/>
      <c r="B161" s="4" t="n"/>
      <c r="C161" s="4" t="n"/>
      <c r="D161" s="12" t="n"/>
      <c r="E161" s="4" t="n"/>
      <c r="F161" s="4" t="n"/>
    </row>
    <row r="162">
      <c r="A162" s="4" t="n"/>
      <c r="B162" s="4" t="n"/>
      <c r="C162" s="4" t="n"/>
      <c r="D162" s="12" t="n"/>
      <c r="E162" s="4" t="n"/>
      <c r="F162" s="4" t="n"/>
    </row>
    <row r="163">
      <c r="A163" s="4" t="n"/>
      <c r="B163" s="4" t="n"/>
      <c r="C163" s="4" t="n"/>
      <c r="D163" s="12" t="n"/>
      <c r="E163" s="4" t="n"/>
      <c r="F163" s="4" t="n"/>
    </row>
    <row r="164">
      <c r="A164" s="4" t="n"/>
      <c r="B164" s="4" t="n"/>
      <c r="C164" s="4" t="n"/>
      <c r="D164" s="12" t="n"/>
      <c r="E164" s="4" t="n"/>
      <c r="F164" s="4" t="n"/>
    </row>
    <row r="165">
      <c r="A165" s="4" t="n"/>
      <c r="B165" s="4" t="n"/>
      <c r="C165" s="4" t="n"/>
      <c r="D165" s="12" t="n"/>
      <c r="E165" s="4" t="n"/>
      <c r="F165" s="4" t="n"/>
    </row>
    <row r="166">
      <c r="A166" s="4" t="n"/>
      <c r="B166" s="4" t="n"/>
      <c r="C166" s="4" t="n"/>
      <c r="D166" s="12" t="n"/>
      <c r="E166" s="4" t="n"/>
      <c r="F166" s="4" t="n"/>
    </row>
    <row r="167">
      <c r="A167" s="4" t="n"/>
      <c r="B167" s="4" t="n"/>
      <c r="C167" s="4" t="n"/>
      <c r="D167" s="12" t="n"/>
      <c r="E167" s="4" t="n"/>
      <c r="F167" s="4" t="n"/>
    </row>
    <row r="168">
      <c r="A168" s="4" t="n"/>
      <c r="B168" s="4" t="n"/>
      <c r="C168" s="4" t="n"/>
      <c r="D168" s="12" t="n"/>
      <c r="E168" s="4" t="n"/>
      <c r="F168" s="4" t="n"/>
    </row>
    <row r="169">
      <c r="A169" s="4" t="n"/>
      <c r="B169" s="4" t="n"/>
      <c r="C169" s="4" t="n"/>
      <c r="D169" s="12" t="n"/>
      <c r="E169" s="4" t="n"/>
      <c r="F169" s="4" t="n"/>
    </row>
    <row r="170">
      <c r="A170" s="4" t="n"/>
      <c r="B170" s="4" t="n"/>
      <c r="C170" s="4" t="n"/>
      <c r="D170" s="12" t="n"/>
      <c r="E170" s="4" t="n"/>
      <c r="F170" s="4" t="n"/>
    </row>
    <row r="171">
      <c r="A171" s="4" t="n"/>
      <c r="B171" s="4" t="n"/>
      <c r="C171" s="4" t="n"/>
      <c r="D171" s="12" t="n"/>
      <c r="E171" s="4" t="n"/>
      <c r="F171" s="4" t="n"/>
    </row>
    <row r="172">
      <c r="A172" s="4" t="n"/>
      <c r="B172" s="4" t="n"/>
      <c r="C172" s="4" t="n"/>
      <c r="D172" s="12" t="n"/>
      <c r="E172" s="4" t="n"/>
      <c r="F172" s="4" t="n"/>
    </row>
    <row r="173">
      <c r="A173" s="4" t="n"/>
      <c r="B173" s="4" t="n"/>
      <c r="C173" s="4" t="n"/>
      <c r="D173" s="12" t="n"/>
      <c r="E173" s="4" t="n"/>
      <c r="F173" s="4" t="n"/>
    </row>
    <row r="174">
      <c r="A174" s="4" t="n"/>
      <c r="B174" s="4" t="n"/>
      <c r="C174" s="4" t="n"/>
      <c r="D174" s="12" t="n"/>
      <c r="E174" s="4" t="n"/>
      <c r="F174" s="4" t="n"/>
    </row>
    <row r="175">
      <c r="A175" s="4" t="n"/>
      <c r="B175" s="4" t="n"/>
      <c r="C175" s="4" t="n"/>
      <c r="D175" s="12" t="n"/>
      <c r="E175" s="4" t="n"/>
      <c r="F175" s="4" t="n"/>
    </row>
    <row r="176">
      <c r="A176" s="4" t="n"/>
      <c r="B176" s="4" t="n"/>
      <c r="C176" s="4" t="n"/>
      <c r="D176" s="12" t="n"/>
      <c r="E176" s="4" t="n"/>
      <c r="F176" s="4" t="n"/>
    </row>
    <row r="177">
      <c r="A177" s="4" t="n"/>
      <c r="B177" s="4" t="n"/>
      <c r="C177" s="4" t="n"/>
      <c r="D177" s="12" t="n"/>
      <c r="E177" s="4" t="n"/>
      <c r="F177" s="4" t="n"/>
    </row>
    <row r="178">
      <c r="A178" s="4" t="n"/>
      <c r="B178" s="4" t="n"/>
      <c r="C178" s="4" t="n"/>
      <c r="D178" s="12" t="n"/>
      <c r="E178" s="4" t="n"/>
      <c r="F178" s="4" t="n"/>
    </row>
    <row r="179">
      <c r="A179" s="4" t="n"/>
      <c r="B179" s="4" t="n"/>
      <c r="C179" s="4" t="n"/>
      <c r="D179" s="12" t="n"/>
      <c r="E179" s="4" t="n"/>
      <c r="F179" s="4" t="n"/>
    </row>
    <row r="180">
      <c r="A180" s="4" t="n"/>
      <c r="B180" s="4" t="n"/>
      <c r="C180" s="4" t="n"/>
      <c r="D180" s="12" t="n"/>
      <c r="E180" s="4" t="n"/>
      <c r="F180" s="4" t="n"/>
    </row>
    <row r="181">
      <c r="A181" s="4" t="n"/>
      <c r="B181" s="4" t="n"/>
      <c r="C181" s="4" t="n"/>
      <c r="D181" s="12" t="n"/>
      <c r="E181" s="4" t="n"/>
      <c r="F181" s="4" t="n"/>
    </row>
    <row r="182">
      <c r="A182" s="4" t="n"/>
      <c r="B182" s="4" t="n"/>
      <c r="C182" s="4" t="n"/>
      <c r="D182" s="12" t="n"/>
      <c r="E182" s="4" t="n"/>
      <c r="F182" s="4" t="n"/>
    </row>
    <row r="183">
      <c r="A183" s="4" t="n"/>
      <c r="B183" s="4" t="n"/>
      <c r="C183" s="4" t="n"/>
      <c r="D183" s="12" t="n"/>
      <c r="E183" s="4" t="n"/>
      <c r="F183" s="4" t="n"/>
    </row>
    <row r="184">
      <c r="A184" s="4" t="n"/>
      <c r="B184" s="4" t="n"/>
      <c r="C184" s="4" t="n"/>
      <c r="D184" s="12" t="n"/>
      <c r="E184" s="4" t="n"/>
      <c r="F184" s="4" t="n"/>
    </row>
    <row r="185">
      <c r="A185" s="4" t="n"/>
      <c r="B185" s="4" t="n"/>
      <c r="C185" s="4" t="n"/>
      <c r="D185" s="12" t="n"/>
      <c r="E185" s="4" t="n"/>
      <c r="F185" s="4" t="n"/>
    </row>
    <row r="186">
      <c r="A186" s="4" t="n"/>
      <c r="B186" s="4" t="n"/>
      <c r="C186" s="4" t="n"/>
      <c r="D186" s="12" t="n"/>
      <c r="E186" s="4" t="n"/>
      <c r="F186" s="4" t="n"/>
    </row>
    <row r="187">
      <c r="A187" s="4" t="n"/>
      <c r="B187" s="4" t="n"/>
      <c r="C187" s="4" t="n"/>
      <c r="D187" s="12" t="n"/>
      <c r="E187" s="4" t="n"/>
      <c r="F187" s="4" t="n"/>
    </row>
    <row r="188">
      <c r="A188" s="4" t="n"/>
      <c r="B188" s="4" t="n"/>
      <c r="C188" s="4" t="n"/>
      <c r="D188" s="12" t="n"/>
      <c r="E188" s="4" t="n"/>
      <c r="F188" s="4" t="n"/>
    </row>
    <row r="189">
      <c r="A189" s="4" t="n"/>
      <c r="B189" s="4" t="n"/>
      <c r="C189" s="4" t="n"/>
      <c r="D189" s="12" t="n"/>
      <c r="E189" s="4" t="n"/>
      <c r="F189" s="4" t="n"/>
    </row>
    <row r="190">
      <c r="A190" s="4" t="n"/>
      <c r="B190" s="4" t="n"/>
      <c r="C190" s="4" t="n"/>
      <c r="D190" s="12" t="n"/>
      <c r="E190" s="4" t="n"/>
      <c r="F190" s="4" t="n"/>
    </row>
    <row r="191">
      <c r="A191" s="4" t="n"/>
      <c r="B191" s="4" t="n"/>
      <c r="C191" s="4" t="n"/>
      <c r="D191" s="12" t="n"/>
      <c r="E191" s="4" t="n"/>
      <c r="F191" s="4" t="n"/>
    </row>
    <row r="192">
      <c r="A192" s="4" t="n"/>
      <c r="B192" s="4" t="n"/>
      <c r="C192" s="4" t="n"/>
      <c r="D192" s="12" t="n"/>
      <c r="E192" s="4" t="n"/>
      <c r="F192" s="4" t="n"/>
    </row>
    <row r="193">
      <c r="A193" s="4" t="n"/>
      <c r="B193" s="4" t="n"/>
      <c r="C193" s="4" t="n"/>
      <c r="D193" s="12" t="n"/>
      <c r="E193" s="4" t="n"/>
      <c r="F193" s="4" t="n"/>
    </row>
    <row r="194">
      <c r="A194" s="4" t="n"/>
      <c r="B194" s="4" t="n"/>
      <c r="C194" s="4" t="n"/>
      <c r="D194" s="12" t="n"/>
      <c r="E194" s="4" t="n"/>
      <c r="F194" s="4" t="n"/>
    </row>
    <row r="195">
      <c r="A195" s="4" t="n"/>
      <c r="B195" s="4" t="n"/>
      <c r="C195" s="4" t="n"/>
      <c r="D195" s="12" t="n"/>
      <c r="E195" s="4" t="n"/>
      <c r="F195" s="4" t="n"/>
    </row>
    <row r="196">
      <c r="A196" s="4" t="n"/>
      <c r="B196" s="4" t="n"/>
      <c r="C196" s="4" t="n"/>
      <c r="D196" s="12" t="n"/>
      <c r="E196" s="4" t="n"/>
      <c r="F196" s="4" t="n"/>
    </row>
    <row r="197">
      <c r="A197" s="4" t="n"/>
      <c r="B197" s="4" t="n"/>
      <c r="C197" s="4" t="n"/>
      <c r="D197" s="12" t="n"/>
      <c r="E197" s="4" t="n"/>
      <c r="F197" s="4" t="n"/>
    </row>
    <row r="198">
      <c r="A198" s="4" t="n"/>
      <c r="B198" s="4" t="n"/>
      <c r="C198" s="4" t="n"/>
      <c r="D198" s="12" t="n"/>
      <c r="E198" s="4" t="n"/>
      <c r="F198" s="4" t="n"/>
    </row>
    <row r="199">
      <c r="A199" s="4" t="n"/>
      <c r="B199" s="4" t="n"/>
      <c r="C199" s="4" t="n"/>
      <c r="D199" s="12" t="n"/>
      <c r="E199" s="4" t="n"/>
      <c r="F199" s="4" t="n"/>
    </row>
    <row r="200">
      <c r="A200" s="4" t="n"/>
      <c r="B200" s="4" t="n"/>
      <c r="C200" s="4" t="n"/>
      <c r="D200" s="12" t="n"/>
      <c r="E200" s="4" t="n"/>
      <c r="F200" s="4" t="n"/>
    </row>
    <row r="201">
      <c r="A201" s="4" t="n"/>
      <c r="B201" s="4" t="n"/>
      <c r="C201" s="4" t="n"/>
      <c r="D201" s="12" t="n"/>
      <c r="E201" s="4" t="n"/>
      <c r="F2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6" customWidth="1" min="4" max="4"/>
    <col width="26" customWidth="1" min="5" max="5"/>
    <col width="12" customWidth="1" min="6" max="6"/>
    <col width="14" customWidth="1" min="7" max="7"/>
    <col width="22" customWidth="1" min="8" max="8"/>
    <col width="14" customWidth="1" min="9" max="9"/>
    <col width="18" customWidth="1" min="10" max="10"/>
    <col width="16" customWidth="1" min="11" max="11"/>
    <col width="20" customWidth="1" min="12" max="12"/>
    <col width="36" customWidth="1" min="13" max="13"/>
  </cols>
  <sheetData>
    <row r="1">
      <c r="A1" s="7" t="inlineStr">
        <is>
          <t>Line ID</t>
        </is>
      </c>
      <c r="B1" s="7" t="inlineStr">
        <is>
          <t>Product ID</t>
        </is>
      </c>
      <c r="C1" s="7" t="inlineStr">
        <is>
          <t>Product Name</t>
        </is>
      </c>
      <c r="D1" s="7" t="inlineStr">
        <is>
          <t>Item ID</t>
        </is>
      </c>
      <c r="E1" s="7" t="inlineStr">
        <is>
          <t>Item Name</t>
        </is>
      </c>
      <c r="F1" s="7" t="inlineStr">
        <is>
          <t>Quantity</t>
        </is>
      </c>
      <c r="G1" s="7" t="inlineStr">
        <is>
          <t>Recipe Unit</t>
        </is>
      </c>
      <c r="H1" s="7" t="inlineStr">
        <is>
          <t>Qty in Item Base Unit</t>
        </is>
      </c>
      <c r="I1" s="7" t="inlineStr">
        <is>
          <t>Item Base Unit</t>
        </is>
      </c>
      <c r="J1" s="7" t="inlineStr">
        <is>
          <t>Cost Per Base Unit</t>
        </is>
      </c>
      <c r="K1" s="7" t="inlineStr">
        <is>
          <t>Line Cost</t>
        </is>
      </c>
      <c r="L1" s="7" t="inlineStr">
        <is>
          <t>Status</t>
        </is>
      </c>
      <c r="M1" s="7" t="inlineStr">
        <is>
          <t>Notes</t>
        </is>
      </c>
    </row>
    <row r="2">
      <c r="A2" s="5">
        <f>IF(AND(B2="",D2=""),"",ROW()-1)</f>
        <v/>
      </c>
      <c r="B2" s="4" t="n"/>
      <c r="C2" s="5">
        <f>IF(B2="","",IFERROR(VLOOKUP(B2,'Products'!$A$2:$F$201,2,FALSE),"Product not found"))</f>
        <v/>
      </c>
      <c r="D2" s="4" t="n"/>
      <c r="E2" s="5">
        <f>IF(D2="","",IFERROR(VLOOKUP(D2,'Items'!$A$2:$L$201,2,FALSE),"Item not found"))</f>
        <v/>
      </c>
      <c r="F2" s="9" t="n"/>
      <c r="G2" s="4" t="n"/>
      <c r="H2" s="10">
        <f>IF(OR(F2="",G2=""),"",IFERROR(F2*VLOOKUP(G2,'Units'!$A$2:$D$13,4,FALSE),""))</f>
        <v/>
      </c>
      <c r="I2" s="5">
        <f>IF(D2="","",IFERROR(VLOOKUP(D2,'Items'!$A$2:$L$201,4,FALSE),""))</f>
        <v/>
      </c>
      <c r="J2" s="10">
        <f>IF(D2="","",IFERROR(VLOOKUP(D2,'Items'!$A$2:$L$201,10,FALSE),""))</f>
        <v/>
      </c>
      <c r="K2" s="10">
        <f>IF(OR(H2="",J2=""),"",H2*J2)</f>
        <v/>
      </c>
      <c r="L2" s="5">
        <f>IF(AND(B2="",D2=""),"",IF(B2="","Missing product",IF(D2="","Missing item",IF(C2="Product not found","Product not found",IF(E2="Item not found","Item not found",IF(OR(F2="",G2=""),"Missing quantity/unit",IF(IFERROR(VLOOKUP(G2,'Units'!$A$2:$D$13,3,FALSE),"")&lt;&gt;I2,"Unit mismatch",IF(J2="","Enter item cost","OK"))))))))</f>
        <v/>
      </c>
      <c r="M2" s="4" t="n"/>
    </row>
    <row r="3">
      <c r="A3" s="5">
        <f>IF(AND(B3="",D3=""),"",ROW()-1)</f>
        <v/>
      </c>
      <c r="B3" s="4" t="n"/>
      <c r="C3" s="5">
        <f>IF(B3="","",IFERROR(VLOOKUP(B3,'Products'!$A$2:$F$201,2,FALSE),"Product not found"))</f>
        <v/>
      </c>
      <c r="D3" s="4" t="n"/>
      <c r="E3" s="5">
        <f>IF(D3="","",IFERROR(VLOOKUP(D3,'Items'!$A$2:$L$201,2,FALSE),"Item not found"))</f>
        <v/>
      </c>
      <c r="F3" s="9" t="n"/>
      <c r="G3" s="4" t="n"/>
      <c r="H3" s="10">
        <f>IF(OR(F3="",G3=""),"",IFERROR(F3*VLOOKUP(G3,'Units'!$A$2:$D$13,4,FALSE),""))</f>
        <v/>
      </c>
      <c r="I3" s="5">
        <f>IF(D3="","",IFERROR(VLOOKUP(D3,'Items'!$A$2:$L$201,4,FALSE),""))</f>
        <v/>
      </c>
      <c r="J3" s="10">
        <f>IF(D3="","",IFERROR(VLOOKUP(D3,'Items'!$A$2:$L$201,10,FALSE),""))</f>
        <v/>
      </c>
      <c r="K3" s="10">
        <f>IF(OR(H3="",J3=""),"",H3*J3)</f>
        <v/>
      </c>
      <c r="L3" s="5">
        <f>IF(AND(B3="",D3=""),"",IF(B3="","Missing product",IF(D3="","Missing item",IF(C3="Product not found","Product not found",IF(E3="Item not found","Item not found",IF(OR(F3="",G3=""),"Missing quantity/unit",IF(IFERROR(VLOOKUP(G3,'Units'!$A$2:$D$13,3,FALSE),"")&lt;&gt;I3,"Unit mismatch",IF(J3="","Enter item cost","OK"))))))))</f>
        <v/>
      </c>
      <c r="M3" s="4" t="n"/>
    </row>
    <row r="4">
      <c r="A4" s="5">
        <f>IF(AND(B4="",D4=""),"",ROW()-1)</f>
        <v/>
      </c>
      <c r="B4" s="4" t="n"/>
      <c r="C4" s="5">
        <f>IF(B4="","",IFERROR(VLOOKUP(B4,'Products'!$A$2:$F$201,2,FALSE),"Product not found"))</f>
        <v/>
      </c>
      <c r="D4" s="4" t="n"/>
      <c r="E4" s="5">
        <f>IF(D4="","",IFERROR(VLOOKUP(D4,'Items'!$A$2:$L$201,2,FALSE),"Item not found"))</f>
        <v/>
      </c>
      <c r="F4" s="9" t="n"/>
      <c r="G4" s="4" t="n"/>
      <c r="H4" s="10">
        <f>IF(OR(F4="",G4=""),"",IFERROR(F4*VLOOKUP(G4,'Units'!$A$2:$D$13,4,FALSE),""))</f>
        <v/>
      </c>
      <c r="I4" s="5">
        <f>IF(D4="","",IFERROR(VLOOKUP(D4,'Items'!$A$2:$L$201,4,FALSE),""))</f>
        <v/>
      </c>
      <c r="J4" s="10">
        <f>IF(D4="","",IFERROR(VLOOKUP(D4,'Items'!$A$2:$L$201,10,FALSE),""))</f>
        <v/>
      </c>
      <c r="K4" s="10">
        <f>IF(OR(H4="",J4=""),"",H4*J4)</f>
        <v/>
      </c>
      <c r="L4" s="5">
        <f>IF(AND(B4="",D4=""),"",IF(B4="","Missing product",IF(D4="","Missing item",IF(C4="Product not found","Product not found",IF(E4="Item not found","Item not found",IF(OR(F4="",G4=""),"Missing quantity/unit",IF(IFERROR(VLOOKUP(G4,'Units'!$A$2:$D$13,3,FALSE),"")&lt;&gt;I4,"Unit mismatch",IF(J4="","Enter item cost","OK"))))))))</f>
        <v/>
      </c>
      <c r="M4" s="4" t="n"/>
    </row>
    <row r="5">
      <c r="A5" s="5">
        <f>IF(AND(B5="",D5=""),"",ROW()-1)</f>
        <v/>
      </c>
      <c r="B5" s="4" t="n"/>
      <c r="C5" s="5">
        <f>IF(B5="","",IFERROR(VLOOKUP(B5,'Products'!$A$2:$F$201,2,FALSE),"Product not found"))</f>
        <v/>
      </c>
      <c r="D5" s="4" t="n"/>
      <c r="E5" s="5">
        <f>IF(D5="","",IFERROR(VLOOKUP(D5,'Items'!$A$2:$L$201,2,FALSE),"Item not found"))</f>
        <v/>
      </c>
      <c r="F5" s="9" t="n"/>
      <c r="G5" s="4" t="n"/>
      <c r="H5" s="10">
        <f>IF(OR(F5="",G5=""),"",IFERROR(F5*VLOOKUP(G5,'Units'!$A$2:$D$13,4,FALSE),""))</f>
        <v/>
      </c>
      <c r="I5" s="5">
        <f>IF(D5="","",IFERROR(VLOOKUP(D5,'Items'!$A$2:$L$201,4,FALSE),""))</f>
        <v/>
      </c>
      <c r="J5" s="10">
        <f>IF(D5="","",IFERROR(VLOOKUP(D5,'Items'!$A$2:$L$201,10,FALSE),""))</f>
        <v/>
      </c>
      <c r="K5" s="10">
        <f>IF(OR(H5="",J5=""),"",H5*J5)</f>
        <v/>
      </c>
      <c r="L5" s="5">
        <f>IF(AND(B5="",D5=""),"",IF(B5="","Missing product",IF(D5="","Missing item",IF(C5="Product not found","Product not found",IF(E5="Item not found","Item not found",IF(OR(F5="",G5=""),"Missing quantity/unit",IF(IFERROR(VLOOKUP(G5,'Units'!$A$2:$D$13,3,FALSE),"")&lt;&gt;I5,"Unit mismatch",IF(J5="","Enter item cost","OK"))))))))</f>
        <v/>
      </c>
      <c r="M5" s="4" t="n"/>
    </row>
    <row r="6">
      <c r="A6" s="5">
        <f>IF(AND(B6="",D6=""),"",ROW()-1)</f>
        <v/>
      </c>
      <c r="B6" s="4" t="n"/>
      <c r="C6" s="5">
        <f>IF(B6="","",IFERROR(VLOOKUP(B6,'Products'!$A$2:$F$201,2,FALSE),"Product not found"))</f>
        <v/>
      </c>
      <c r="D6" s="4" t="n"/>
      <c r="E6" s="5">
        <f>IF(D6="","",IFERROR(VLOOKUP(D6,'Items'!$A$2:$L$201,2,FALSE),"Item not found"))</f>
        <v/>
      </c>
      <c r="F6" s="9" t="n"/>
      <c r="G6" s="4" t="n"/>
      <c r="H6" s="10">
        <f>IF(OR(F6="",G6=""),"",IFERROR(F6*VLOOKUP(G6,'Units'!$A$2:$D$13,4,FALSE),""))</f>
        <v/>
      </c>
      <c r="I6" s="5">
        <f>IF(D6="","",IFERROR(VLOOKUP(D6,'Items'!$A$2:$L$201,4,FALSE),""))</f>
        <v/>
      </c>
      <c r="J6" s="10">
        <f>IF(D6="","",IFERROR(VLOOKUP(D6,'Items'!$A$2:$L$201,10,FALSE),""))</f>
        <v/>
      </c>
      <c r="K6" s="10">
        <f>IF(OR(H6="",J6=""),"",H6*J6)</f>
        <v/>
      </c>
      <c r="L6" s="5">
        <f>IF(AND(B6="",D6=""),"",IF(B6="","Missing product",IF(D6="","Missing item",IF(C6="Product not found","Product not found",IF(E6="Item not found","Item not found",IF(OR(F6="",G6=""),"Missing quantity/unit",IF(IFERROR(VLOOKUP(G6,'Units'!$A$2:$D$13,3,FALSE),"")&lt;&gt;I6,"Unit mismatch",IF(J6="","Enter item cost","OK"))))))))</f>
        <v/>
      </c>
      <c r="M6" s="4" t="n"/>
    </row>
    <row r="7">
      <c r="A7" s="5">
        <f>IF(AND(B7="",D7=""),"",ROW()-1)</f>
        <v/>
      </c>
      <c r="B7" s="4" t="n"/>
      <c r="C7" s="5">
        <f>IF(B7="","",IFERROR(VLOOKUP(B7,'Products'!$A$2:$F$201,2,FALSE),"Product not found"))</f>
        <v/>
      </c>
      <c r="D7" s="4" t="n"/>
      <c r="E7" s="5">
        <f>IF(D7="","",IFERROR(VLOOKUP(D7,'Items'!$A$2:$L$201,2,FALSE),"Item not found"))</f>
        <v/>
      </c>
      <c r="F7" s="9" t="n"/>
      <c r="G7" s="4" t="n"/>
      <c r="H7" s="10">
        <f>IF(OR(F7="",G7=""),"",IFERROR(F7*VLOOKUP(G7,'Units'!$A$2:$D$13,4,FALSE),""))</f>
        <v/>
      </c>
      <c r="I7" s="5">
        <f>IF(D7="","",IFERROR(VLOOKUP(D7,'Items'!$A$2:$L$201,4,FALSE),""))</f>
        <v/>
      </c>
      <c r="J7" s="10">
        <f>IF(D7="","",IFERROR(VLOOKUP(D7,'Items'!$A$2:$L$201,10,FALSE),""))</f>
        <v/>
      </c>
      <c r="K7" s="10">
        <f>IF(OR(H7="",J7=""),"",H7*J7)</f>
        <v/>
      </c>
      <c r="L7" s="5">
        <f>IF(AND(B7="",D7=""),"",IF(B7="","Missing product",IF(D7="","Missing item",IF(C7="Product not found","Product not found",IF(E7="Item not found","Item not found",IF(OR(F7="",G7=""),"Missing quantity/unit",IF(IFERROR(VLOOKUP(G7,'Units'!$A$2:$D$13,3,FALSE),"")&lt;&gt;I7,"Unit mismatch",IF(J7="","Enter item cost","OK"))))))))</f>
        <v/>
      </c>
      <c r="M7" s="4" t="n"/>
    </row>
    <row r="8">
      <c r="A8" s="5">
        <f>IF(AND(B8="",D8=""),"",ROW()-1)</f>
        <v/>
      </c>
      <c r="B8" s="4" t="n"/>
      <c r="C8" s="5">
        <f>IF(B8="","",IFERROR(VLOOKUP(B8,'Products'!$A$2:$F$201,2,FALSE),"Product not found"))</f>
        <v/>
      </c>
      <c r="D8" s="4" t="n"/>
      <c r="E8" s="5">
        <f>IF(D8="","",IFERROR(VLOOKUP(D8,'Items'!$A$2:$L$201,2,FALSE),"Item not found"))</f>
        <v/>
      </c>
      <c r="F8" s="9" t="n"/>
      <c r="G8" s="4" t="n"/>
      <c r="H8" s="10">
        <f>IF(OR(F8="",G8=""),"",IFERROR(F8*VLOOKUP(G8,'Units'!$A$2:$D$13,4,FALSE),""))</f>
        <v/>
      </c>
      <c r="I8" s="5">
        <f>IF(D8="","",IFERROR(VLOOKUP(D8,'Items'!$A$2:$L$201,4,FALSE),""))</f>
        <v/>
      </c>
      <c r="J8" s="10">
        <f>IF(D8="","",IFERROR(VLOOKUP(D8,'Items'!$A$2:$L$201,10,FALSE),""))</f>
        <v/>
      </c>
      <c r="K8" s="10">
        <f>IF(OR(H8="",J8=""),"",H8*J8)</f>
        <v/>
      </c>
      <c r="L8" s="5">
        <f>IF(AND(B8="",D8=""),"",IF(B8="","Missing product",IF(D8="","Missing item",IF(C8="Product not found","Product not found",IF(E8="Item not found","Item not found",IF(OR(F8="",G8=""),"Missing quantity/unit",IF(IFERROR(VLOOKUP(G8,'Units'!$A$2:$D$13,3,FALSE),"")&lt;&gt;I8,"Unit mismatch",IF(J8="","Enter item cost","OK"))))))))</f>
        <v/>
      </c>
      <c r="M8" s="4" t="n"/>
    </row>
    <row r="9">
      <c r="A9" s="5">
        <f>IF(AND(B9="",D9=""),"",ROW()-1)</f>
        <v/>
      </c>
      <c r="B9" s="4" t="n"/>
      <c r="C9" s="5">
        <f>IF(B9="","",IFERROR(VLOOKUP(B9,'Products'!$A$2:$F$201,2,FALSE),"Product not found"))</f>
        <v/>
      </c>
      <c r="D9" s="4" t="n"/>
      <c r="E9" s="5">
        <f>IF(D9="","",IFERROR(VLOOKUP(D9,'Items'!$A$2:$L$201,2,FALSE),"Item not found"))</f>
        <v/>
      </c>
      <c r="F9" s="9" t="n"/>
      <c r="G9" s="4" t="n"/>
      <c r="H9" s="10">
        <f>IF(OR(F9="",G9=""),"",IFERROR(F9*VLOOKUP(G9,'Units'!$A$2:$D$13,4,FALSE),""))</f>
        <v/>
      </c>
      <c r="I9" s="5">
        <f>IF(D9="","",IFERROR(VLOOKUP(D9,'Items'!$A$2:$L$201,4,FALSE),""))</f>
        <v/>
      </c>
      <c r="J9" s="10">
        <f>IF(D9="","",IFERROR(VLOOKUP(D9,'Items'!$A$2:$L$201,10,FALSE),""))</f>
        <v/>
      </c>
      <c r="K9" s="10">
        <f>IF(OR(H9="",J9=""),"",H9*J9)</f>
        <v/>
      </c>
      <c r="L9" s="5">
        <f>IF(AND(B9="",D9=""),"",IF(B9="","Missing product",IF(D9="","Missing item",IF(C9="Product not found","Product not found",IF(E9="Item not found","Item not found",IF(OR(F9="",G9=""),"Missing quantity/unit",IF(IFERROR(VLOOKUP(G9,'Units'!$A$2:$D$13,3,FALSE),"")&lt;&gt;I9,"Unit mismatch",IF(J9="","Enter item cost","OK"))))))))</f>
        <v/>
      </c>
      <c r="M9" s="4" t="n"/>
    </row>
    <row r="10">
      <c r="A10" s="5">
        <f>IF(AND(B10="",D10=""),"",ROW()-1)</f>
        <v/>
      </c>
      <c r="B10" s="4" t="n"/>
      <c r="C10" s="5">
        <f>IF(B10="","",IFERROR(VLOOKUP(B10,'Products'!$A$2:$F$201,2,FALSE),"Product not found"))</f>
        <v/>
      </c>
      <c r="D10" s="4" t="n"/>
      <c r="E10" s="5">
        <f>IF(D10="","",IFERROR(VLOOKUP(D10,'Items'!$A$2:$L$201,2,FALSE),"Item not found"))</f>
        <v/>
      </c>
      <c r="F10" s="9" t="n"/>
      <c r="G10" s="4" t="n"/>
      <c r="H10" s="10">
        <f>IF(OR(F10="",G10=""),"",IFERROR(F10*VLOOKUP(G10,'Units'!$A$2:$D$13,4,FALSE),""))</f>
        <v/>
      </c>
      <c r="I10" s="5">
        <f>IF(D10="","",IFERROR(VLOOKUP(D10,'Items'!$A$2:$L$201,4,FALSE),""))</f>
        <v/>
      </c>
      <c r="J10" s="10">
        <f>IF(D10="","",IFERROR(VLOOKUP(D10,'Items'!$A$2:$L$201,10,FALSE),""))</f>
        <v/>
      </c>
      <c r="K10" s="10">
        <f>IF(OR(H10="",J10=""),"",H10*J10)</f>
        <v/>
      </c>
      <c r="L10" s="5">
        <f>IF(AND(B10="",D10=""),"",IF(B10="","Missing product",IF(D10="","Missing item",IF(C10="Product not found","Product not found",IF(E10="Item not found","Item not found",IF(OR(F10="",G10=""),"Missing quantity/unit",IF(IFERROR(VLOOKUP(G10,'Units'!$A$2:$D$13,3,FALSE),"")&lt;&gt;I10,"Unit mismatch",IF(J10="","Enter item cost","OK"))))))))</f>
        <v/>
      </c>
      <c r="M10" s="4" t="n"/>
    </row>
    <row r="11">
      <c r="A11" s="5">
        <f>IF(AND(B11="",D11=""),"",ROW()-1)</f>
        <v/>
      </c>
      <c r="B11" s="4" t="n"/>
      <c r="C11" s="5">
        <f>IF(B11="","",IFERROR(VLOOKUP(B11,'Products'!$A$2:$F$201,2,FALSE),"Product not found"))</f>
        <v/>
      </c>
      <c r="D11" s="4" t="n"/>
      <c r="E11" s="5">
        <f>IF(D11="","",IFERROR(VLOOKUP(D11,'Items'!$A$2:$L$201,2,FALSE),"Item not found"))</f>
        <v/>
      </c>
      <c r="F11" s="9" t="n"/>
      <c r="G11" s="4" t="n"/>
      <c r="H11" s="10">
        <f>IF(OR(F11="",G11=""),"",IFERROR(F11*VLOOKUP(G11,'Units'!$A$2:$D$13,4,FALSE),""))</f>
        <v/>
      </c>
      <c r="I11" s="5">
        <f>IF(D11="","",IFERROR(VLOOKUP(D11,'Items'!$A$2:$L$201,4,FALSE),""))</f>
        <v/>
      </c>
      <c r="J11" s="10">
        <f>IF(D11="","",IFERROR(VLOOKUP(D11,'Items'!$A$2:$L$201,10,FALSE),""))</f>
        <v/>
      </c>
      <c r="K11" s="10">
        <f>IF(OR(H11="",J11=""),"",H11*J11)</f>
        <v/>
      </c>
      <c r="L11" s="5">
        <f>IF(AND(B11="",D11=""),"",IF(B11="","Missing product",IF(D11="","Missing item",IF(C11="Product not found","Product not found",IF(E11="Item not found","Item not found",IF(OR(F11="",G11=""),"Missing quantity/unit",IF(IFERROR(VLOOKUP(G11,'Units'!$A$2:$D$13,3,FALSE),"")&lt;&gt;I11,"Unit mismatch",IF(J11="","Enter item cost","OK"))))))))</f>
        <v/>
      </c>
      <c r="M11" s="4" t="n"/>
    </row>
    <row r="12">
      <c r="A12" s="5">
        <f>IF(AND(B12="",D12=""),"",ROW()-1)</f>
        <v/>
      </c>
      <c r="B12" s="4" t="n"/>
      <c r="C12" s="5">
        <f>IF(B12="","",IFERROR(VLOOKUP(B12,'Products'!$A$2:$F$201,2,FALSE),"Product not found"))</f>
        <v/>
      </c>
      <c r="D12" s="4" t="n"/>
      <c r="E12" s="5">
        <f>IF(D12="","",IFERROR(VLOOKUP(D12,'Items'!$A$2:$L$201,2,FALSE),"Item not found"))</f>
        <v/>
      </c>
      <c r="F12" s="9" t="n"/>
      <c r="G12" s="4" t="n"/>
      <c r="H12" s="10">
        <f>IF(OR(F12="",G12=""),"",IFERROR(F12*VLOOKUP(G12,'Units'!$A$2:$D$13,4,FALSE),""))</f>
        <v/>
      </c>
      <c r="I12" s="5">
        <f>IF(D12="","",IFERROR(VLOOKUP(D12,'Items'!$A$2:$L$201,4,FALSE),""))</f>
        <v/>
      </c>
      <c r="J12" s="10">
        <f>IF(D12="","",IFERROR(VLOOKUP(D12,'Items'!$A$2:$L$201,10,FALSE),""))</f>
        <v/>
      </c>
      <c r="K12" s="10">
        <f>IF(OR(H12="",J12=""),"",H12*J12)</f>
        <v/>
      </c>
      <c r="L12" s="5">
        <f>IF(AND(B12="",D12=""),"",IF(B12="","Missing product",IF(D12="","Missing item",IF(C12="Product not found","Product not found",IF(E12="Item not found","Item not found",IF(OR(F12="",G12=""),"Missing quantity/unit",IF(IFERROR(VLOOKUP(G12,'Units'!$A$2:$D$13,3,FALSE),"")&lt;&gt;I12,"Unit mismatch",IF(J12="","Enter item cost","OK"))))))))</f>
        <v/>
      </c>
      <c r="M12" s="4" t="n"/>
    </row>
    <row r="13">
      <c r="A13" s="5">
        <f>IF(AND(B13="",D13=""),"",ROW()-1)</f>
        <v/>
      </c>
      <c r="B13" s="4" t="n"/>
      <c r="C13" s="5">
        <f>IF(B13="","",IFERROR(VLOOKUP(B13,'Products'!$A$2:$F$201,2,FALSE),"Product not found"))</f>
        <v/>
      </c>
      <c r="D13" s="4" t="n"/>
      <c r="E13" s="5">
        <f>IF(D13="","",IFERROR(VLOOKUP(D13,'Items'!$A$2:$L$201,2,FALSE),"Item not found"))</f>
        <v/>
      </c>
      <c r="F13" s="9" t="n"/>
      <c r="G13" s="4" t="n"/>
      <c r="H13" s="10">
        <f>IF(OR(F13="",G13=""),"",IFERROR(F13*VLOOKUP(G13,'Units'!$A$2:$D$13,4,FALSE),""))</f>
        <v/>
      </c>
      <c r="I13" s="5">
        <f>IF(D13="","",IFERROR(VLOOKUP(D13,'Items'!$A$2:$L$201,4,FALSE),""))</f>
        <v/>
      </c>
      <c r="J13" s="10">
        <f>IF(D13="","",IFERROR(VLOOKUP(D13,'Items'!$A$2:$L$201,10,FALSE),""))</f>
        <v/>
      </c>
      <c r="K13" s="10">
        <f>IF(OR(H13="",J13=""),"",H13*J13)</f>
        <v/>
      </c>
      <c r="L13" s="5">
        <f>IF(AND(B13="",D13=""),"",IF(B13="","Missing product",IF(D13="","Missing item",IF(C13="Product not found","Product not found",IF(E13="Item not found","Item not found",IF(OR(F13="",G13=""),"Missing quantity/unit",IF(IFERROR(VLOOKUP(G13,'Units'!$A$2:$D$13,3,FALSE),"")&lt;&gt;I13,"Unit mismatch",IF(J13="","Enter item cost","OK"))))))))</f>
        <v/>
      </c>
      <c r="M13" s="4" t="n"/>
    </row>
    <row r="14">
      <c r="A14" s="5">
        <f>IF(AND(B14="",D14=""),"",ROW()-1)</f>
        <v/>
      </c>
      <c r="B14" s="4" t="n"/>
      <c r="C14" s="5">
        <f>IF(B14="","",IFERROR(VLOOKUP(B14,'Products'!$A$2:$F$201,2,FALSE),"Product not found"))</f>
        <v/>
      </c>
      <c r="D14" s="4" t="n"/>
      <c r="E14" s="5">
        <f>IF(D14="","",IFERROR(VLOOKUP(D14,'Items'!$A$2:$L$201,2,FALSE),"Item not found"))</f>
        <v/>
      </c>
      <c r="F14" s="9" t="n"/>
      <c r="G14" s="4" t="n"/>
      <c r="H14" s="10">
        <f>IF(OR(F14="",G14=""),"",IFERROR(F14*VLOOKUP(G14,'Units'!$A$2:$D$13,4,FALSE),""))</f>
        <v/>
      </c>
      <c r="I14" s="5">
        <f>IF(D14="","",IFERROR(VLOOKUP(D14,'Items'!$A$2:$L$201,4,FALSE),""))</f>
        <v/>
      </c>
      <c r="J14" s="10">
        <f>IF(D14="","",IFERROR(VLOOKUP(D14,'Items'!$A$2:$L$201,10,FALSE),""))</f>
        <v/>
      </c>
      <c r="K14" s="10">
        <f>IF(OR(H14="",J14=""),"",H14*J14)</f>
        <v/>
      </c>
      <c r="L14" s="5">
        <f>IF(AND(B14="",D14=""),"",IF(B14="","Missing product",IF(D14="","Missing item",IF(C14="Product not found","Product not found",IF(E14="Item not found","Item not found",IF(OR(F14="",G14=""),"Missing quantity/unit",IF(IFERROR(VLOOKUP(G14,'Units'!$A$2:$D$13,3,FALSE),"")&lt;&gt;I14,"Unit mismatch",IF(J14="","Enter item cost","OK"))))))))</f>
        <v/>
      </c>
      <c r="M14" s="4" t="n"/>
    </row>
    <row r="15">
      <c r="A15" s="5">
        <f>IF(AND(B15="",D15=""),"",ROW()-1)</f>
        <v/>
      </c>
      <c r="B15" s="4" t="n"/>
      <c r="C15" s="5">
        <f>IF(B15="","",IFERROR(VLOOKUP(B15,'Products'!$A$2:$F$201,2,FALSE),"Product not found"))</f>
        <v/>
      </c>
      <c r="D15" s="4" t="n"/>
      <c r="E15" s="5">
        <f>IF(D15="","",IFERROR(VLOOKUP(D15,'Items'!$A$2:$L$201,2,FALSE),"Item not found"))</f>
        <v/>
      </c>
      <c r="F15" s="9" t="n"/>
      <c r="G15" s="4" t="n"/>
      <c r="H15" s="10">
        <f>IF(OR(F15="",G15=""),"",IFERROR(F15*VLOOKUP(G15,'Units'!$A$2:$D$13,4,FALSE),""))</f>
        <v/>
      </c>
      <c r="I15" s="5">
        <f>IF(D15="","",IFERROR(VLOOKUP(D15,'Items'!$A$2:$L$201,4,FALSE),""))</f>
        <v/>
      </c>
      <c r="J15" s="10">
        <f>IF(D15="","",IFERROR(VLOOKUP(D15,'Items'!$A$2:$L$201,10,FALSE),""))</f>
        <v/>
      </c>
      <c r="K15" s="10">
        <f>IF(OR(H15="",J15=""),"",H15*J15)</f>
        <v/>
      </c>
      <c r="L15" s="5">
        <f>IF(AND(B15="",D15=""),"",IF(B15="","Missing product",IF(D15="","Missing item",IF(C15="Product not found","Product not found",IF(E15="Item not found","Item not found",IF(OR(F15="",G15=""),"Missing quantity/unit",IF(IFERROR(VLOOKUP(G15,'Units'!$A$2:$D$13,3,FALSE),"")&lt;&gt;I15,"Unit mismatch",IF(J15="","Enter item cost","OK"))))))))</f>
        <v/>
      </c>
      <c r="M15" s="4" t="n"/>
    </row>
    <row r="16">
      <c r="A16" s="5">
        <f>IF(AND(B16="",D16=""),"",ROW()-1)</f>
        <v/>
      </c>
      <c r="B16" s="4" t="n"/>
      <c r="C16" s="5">
        <f>IF(B16="","",IFERROR(VLOOKUP(B16,'Products'!$A$2:$F$201,2,FALSE),"Product not found"))</f>
        <v/>
      </c>
      <c r="D16" s="4" t="n"/>
      <c r="E16" s="5">
        <f>IF(D16="","",IFERROR(VLOOKUP(D16,'Items'!$A$2:$L$201,2,FALSE),"Item not found"))</f>
        <v/>
      </c>
      <c r="F16" s="9" t="n"/>
      <c r="G16" s="4" t="n"/>
      <c r="H16" s="10">
        <f>IF(OR(F16="",G16=""),"",IFERROR(F16*VLOOKUP(G16,'Units'!$A$2:$D$13,4,FALSE),""))</f>
        <v/>
      </c>
      <c r="I16" s="5">
        <f>IF(D16="","",IFERROR(VLOOKUP(D16,'Items'!$A$2:$L$201,4,FALSE),""))</f>
        <v/>
      </c>
      <c r="J16" s="10">
        <f>IF(D16="","",IFERROR(VLOOKUP(D16,'Items'!$A$2:$L$201,10,FALSE),""))</f>
        <v/>
      </c>
      <c r="K16" s="10">
        <f>IF(OR(H16="",J16=""),"",H16*J16)</f>
        <v/>
      </c>
      <c r="L16" s="5">
        <f>IF(AND(B16="",D16=""),"",IF(B16="","Missing product",IF(D16="","Missing item",IF(C16="Product not found","Product not found",IF(E16="Item not found","Item not found",IF(OR(F16="",G16=""),"Missing quantity/unit",IF(IFERROR(VLOOKUP(G16,'Units'!$A$2:$D$13,3,FALSE),"")&lt;&gt;I16,"Unit mismatch",IF(J16="","Enter item cost","OK"))))))))</f>
        <v/>
      </c>
      <c r="M16" s="4" t="n"/>
    </row>
    <row r="17">
      <c r="A17" s="5">
        <f>IF(AND(B17="",D17=""),"",ROW()-1)</f>
        <v/>
      </c>
      <c r="B17" s="4" t="n"/>
      <c r="C17" s="5">
        <f>IF(B17="","",IFERROR(VLOOKUP(B17,'Products'!$A$2:$F$201,2,FALSE),"Product not found"))</f>
        <v/>
      </c>
      <c r="D17" s="4" t="n"/>
      <c r="E17" s="5">
        <f>IF(D17="","",IFERROR(VLOOKUP(D17,'Items'!$A$2:$L$201,2,FALSE),"Item not found"))</f>
        <v/>
      </c>
      <c r="F17" s="9" t="n"/>
      <c r="G17" s="4" t="n"/>
      <c r="H17" s="10">
        <f>IF(OR(F17="",G17=""),"",IFERROR(F17*VLOOKUP(G17,'Units'!$A$2:$D$13,4,FALSE),""))</f>
        <v/>
      </c>
      <c r="I17" s="5">
        <f>IF(D17="","",IFERROR(VLOOKUP(D17,'Items'!$A$2:$L$201,4,FALSE),""))</f>
        <v/>
      </c>
      <c r="J17" s="10">
        <f>IF(D17="","",IFERROR(VLOOKUP(D17,'Items'!$A$2:$L$201,10,FALSE),""))</f>
        <v/>
      </c>
      <c r="K17" s="10">
        <f>IF(OR(H17="",J17=""),"",H17*J17)</f>
        <v/>
      </c>
      <c r="L17" s="5">
        <f>IF(AND(B17="",D17=""),"",IF(B17="","Missing product",IF(D17="","Missing item",IF(C17="Product not found","Product not found",IF(E17="Item not found","Item not found",IF(OR(F17="",G17=""),"Missing quantity/unit",IF(IFERROR(VLOOKUP(G17,'Units'!$A$2:$D$13,3,FALSE),"")&lt;&gt;I17,"Unit mismatch",IF(J17="","Enter item cost","OK"))))))))</f>
        <v/>
      </c>
      <c r="M17" s="4" t="n"/>
    </row>
    <row r="18">
      <c r="A18" s="5">
        <f>IF(AND(B18="",D18=""),"",ROW()-1)</f>
        <v/>
      </c>
      <c r="B18" s="4" t="n"/>
      <c r="C18" s="5">
        <f>IF(B18="","",IFERROR(VLOOKUP(B18,'Products'!$A$2:$F$201,2,FALSE),"Product not found"))</f>
        <v/>
      </c>
      <c r="D18" s="4" t="n"/>
      <c r="E18" s="5">
        <f>IF(D18="","",IFERROR(VLOOKUP(D18,'Items'!$A$2:$L$201,2,FALSE),"Item not found"))</f>
        <v/>
      </c>
      <c r="F18" s="9" t="n"/>
      <c r="G18" s="4" t="n"/>
      <c r="H18" s="10">
        <f>IF(OR(F18="",G18=""),"",IFERROR(F18*VLOOKUP(G18,'Units'!$A$2:$D$13,4,FALSE),""))</f>
        <v/>
      </c>
      <c r="I18" s="5">
        <f>IF(D18="","",IFERROR(VLOOKUP(D18,'Items'!$A$2:$L$201,4,FALSE),""))</f>
        <v/>
      </c>
      <c r="J18" s="10">
        <f>IF(D18="","",IFERROR(VLOOKUP(D18,'Items'!$A$2:$L$201,10,FALSE),""))</f>
        <v/>
      </c>
      <c r="K18" s="10">
        <f>IF(OR(H18="",J18=""),"",H18*J18)</f>
        <v/>
      </c>
      <c r="L18" s="5">
        <f>IF(AND(B18="",D18=""),"",IF(B18="","Missing product",IF(D18="","Missing item",IF(C18="Product not found","Product not found",IF(E18="Item not found","Item not found",IF(OR(F18="",G18=""),"Missing quantity/unit",IF(IFERROR(VLOOKUP(G18,'Units'!$A$2:$D$13,3,FALSE),"")&lt;&gt;I18,"Unit mismatch",IF(J18="","Enter item cost","OK"))))))))</f>
        <v/>
      </c>
      <c r="M18" s="4" t="n"/>
    </row>
    <row r="19">
      <c r="A19" s="5">
        <f>IF(AND(B19="",D19=""),"",ROW()-1)</f>
        <v/>
      </c>
      <c r="B19" s="4" t="n"/>
      <c r="C19" s="5">
        <f>IF(B19="","",IFERROR(VLOOKUP(B19,'Products'!$A$2:$F$201,2,FALSE),"Product not found"))</f>
        <v/>
      </c>
      <c r="D19" s="4" t="n"/>
      <c r="E19" s="5">
        <f>IF(D19="","",IFERROR(VLOOKUP(D19,'Items'!$A$2:$L$201,2,FALSE),"Item not found"))</f>
        <v/>
      </c>
      <c r="F19" s="9" t="n"/>
      <c r="G19" s="4" t="n"/>
      <c r="H19" s="10">
        <f>IF(OR(F19="",G19=""),"",IFERROR(F19*VLOOKUP(G19,'Units'!$A$2:$D$13,4,FALSE),""))</f>
        <v/>
      </c>
      <c r="I19" s="5">
        <f>IF(D19="","",IFERROR(VLOOKUP(D19,'Items'!$A$2:$L$201,4,FALSE),""))</f>
        <v/>
      </c>
      <c r="J19" s="10">
        <f>IF(D19="","",IFERROR(VLOOKUP(D19,'Items'!$A$2:$L$201,10,FALSE),""))</f>
        <v/>
      </c>
      <c r="K19" s="10">
        <f>IF(OR(H19="",J19=""),"",H19*J19)</f>
        <v/>
      </c>
      <c r="L19" s="5">
        <f>IF(AND(B19="",D19=""),"",IF(B19="","Missing product",IF(D19="","Missing item",IF(C19="Product not found","Product not found",IF(E19="Item not found","Item not found",IF(OR(F19="",G19=""),"Missing quantity/unit",IF(IFERROR(VLOOKUP(G19,'Units'!$A$2:$D$13,3,FALSE),"")&lt;&gt;I19,"Unit mismatch",IF(J19="","Enter item cost","OK"))))))))</f>
        <v/>
      </c>
      <c r="M19" s="4" t="n"/>
    </row>
    <row r="20">
      <c r="A20" s="5">
        <f>IF(AND(B20="",D20=""),"",ROW()-1)</f>
        <v/>
      </c>
      <c r="B20" s="4" t="n"/>
      <c r="C20" s="5">
        <f>IF(B20="","",IFERROR(VLOOKUP(B20,'Products'!$A$2:$F$201,2,FALSE),"Product not found"))</f>
        <v/>
      </c>
      <c r="D20" s="4" t="n"/>
      <c r="E20" s="5">
        <f>IF(D20="","",IFERROR(VLOOKUP(D20,'Items'!$A$2:$L$201,2,FALSE),"Item not found"))</f>
        <v/>
      </c>
      <c r="F20" s="9" t="n"/>
      <c r="G20" s="4" t="n"/>
      <c r="H20" s="10">
        <f>IF(OR(F20="",G20=""),"",IFERROR(F20*VLOOKUP(G20,'Units'!$A$2:$D$13,4,FALSE),""))</f>
        <v/>
      </c>
      <c r="I20" s="5">
        <f>IF(D20="","",IFERROR(VLOOKUP(D20,'Items'!$A$2:$L$201,4,FALSE),""))</f>
        <v/>
      </c>
      <c r="J20" s="10">
        <f>IF(D20="","",IFERROR(VLOOKUP(D20,'Items'!$A$2:$L$201,10,FALSE),""))</f>
        <v/>
      </c>
      <c r="K20" s="10">
        <f>IF(OR(H20="",J20=""),"",H20*J20)</f>
        <v/>
      </c>
      <c r="L20" s="5">
        <f>IF(AND(B20="",D20=""),"",IF(B20="","Missing product",IF(D20="","Missing item",IF(C20="Product not found","Product not found",IF(E20="Item not found","Item not found",IF(OR(F20="",G20=""),"Missing quantity/unit",IF(IFERROR(VLOOKUP(G20,'Units'!$A$2:$D$13,3,FALSE),"")&lt;&gt;I20,"Unit mismatch",IF(J20="","Enter item cost","OK"))))))))</f>
        <v/>
      </c>
      <c r="M20" s="4" t="n"/>
    </row>
    <row r="21">
      <c r="A21" s="5">
        <f>IF(AND(B21="",D21=""),"",ROW()-1)</f>
        <v/>
      </c>
      <c r="B21" s="4" t="n"/>
      <c r="C21" s="5">
        <f>IF(B21="","",IFERROR(VLOOKUP(B21,'Products'!$A$2:$F$201,2,FALSE),"Product not found"))</f>
        <v/>
      </c>
      <c r="D21" s="4" t="n"/>
      <c r="E21" s="5">
        <f>IF(D21="","",IFERROR(VLOOKUP(D21,'Items'!$A$2:$L$201,2,FALSE),"Item not found"))</f>
        <v/>
      </c>
      <c r="F21" s="9" t="n"/>
      <c r="G21" s="4" t="n"/>
      <c r="H21" s="10">
        <f>IF(OR(F21="",G21=""),"",IFERROR(F21*VLOOKUP(G21,'Units'!$A$2:$D$13,4,FALSE),""))</f>
        <v/>
      </c>
      <c r="I21" s="5">
        <f>IF(D21="","",IFERROR(VLOOKUP(D21,'Items'!$A$2:$L$201,4,FALSE),""))</f>
        <v/>
      </c>
      <c r="J21" s="10">
        <f>IF(D21="","",IFERROR(VLOOKUP(D21,'Items'!$A$2:$L$201,10,FALSE),""))</f>
        <v/>
      </c>
      <c r="K21" s="10">
        <f>IF(OR(H21="",J21=""),"",H21*J21)</f>
        <v/>
      </c>
      <c r="L21" s="5">
        <f>IF(AND(B21="",D21=""),"",IF(B21="","Missing product",IF(D21="","Missing item",IF(C21="Product not found","Product not found",IF(E21="Item not found","Item not found",IF(OR(F21="",G21=""),"Missing quantity/unit",IF(IFERROR(VLOOKUP(G21,'Units'!$A$2:$D$13,3,FALSE),"")&lt;&gt;I21,"Unit mismatch",IF(J21="","Enter item cost","OK"))))))))</f>
        <v/>
      </c>
      <c r="M21" s="4" t="n"/>
    </row>
    <row r="22">
      <c r="A22" s="5">
        <f>IF(AND(B22="",D22=""),"",ROW()-1)</f>
        <v/>
      </c>
      <c r="B22" s="4" t="n"/>
      <c r="C22" s="5">
        <f>IF(B22="","",IFERROR(VLOOKUP(B22,'Products'!$A$2:$F$201,2,FALSE),"Product not found"))</f>
        <v/>
      </c>
      <c r="D22" s="4" t="n"/>
      <c r="E22" s="5">
        <f>IF(D22="","",IFERROR(VLOOKUP(D22,'Items'!$A$2:$L$201,2,FALSE),"Item not found"))</f>
        <v/>
      </c>
      <c r="F22" s="9" t="n"/>
      <c r="G22" s="4" t="n"/>
      <c r="H22" s="10">
        <f>IF(OR(F22="",G22=""),"",IFERROR(F22*VLOOKUP(G22,'Units'!$A$2:$D$13,4,FALSE),""))</f>
        <v/>
      </c>
      <c r="I22" s="5">
        <f>IF(D22="","",IFERROR(VLOOKUP(D22,'Items'!$A$2:$L$201,4,FALSE),""))</f>
        <v/>
      </c>
      <c r="J22" s="10">
        <f>IF(D22="","",IFERROR(VLOOKUP(D22,'Items'!$A$2:$L$201,10,FALSE),""))</f>
        <v/>
      </c>
      <c r="K22" s="10">
        <f>IF(OR(H22="",J22=""),"",H22*J22)</f>
        <v/>
      </c>
      <c r="L22" s="5">
        <f>IF(AND(B22="",D22=""),"",IF(B22="","Missing product",IF(D22="","Missing item",IF(C22="Product not found","Product not found",IF(E22="Item not found","Item not found",IF(OR(F22="",G22=""),"Missing quantity/unit",IF(IFERROR(VLOOKUP(G22,'Units'!$A$2:$D$13,3,FALSE),"")&lt;&gt;I22,"Unit mismatch",IF(J22="","Enter item cost","OK"))))))))</f>
        <v/>
      </c>
      <c r="M22" s="4" t="n"/>
    </row>
    <row r="23">
      <c r="A23" s="5">
        <f>IF(AND(B23="",D23=""),"",ROW()-1)</f>
        <v/>
      </c>
      <c r="B23" s="4" t="n"/>
      <c r="C23" s="5">
        <f>IF(B23="","",IFERROR(VLOOKUP(B23,'Products'!$A$2:$F$201,2,FALSE),"Product not found"))</f>
        <v/>
      </c>
      <c r="D23" s="4" t="n"/>
      <c r="E23" s="5">
        <f>IF(D23="","",IFERROR(VLOOKUP(D23,'Items'!$A$2:$L$201,2,FALSE),"Item not found"))</f>
        <v/>
      </c>
      <c r="F23" s="9" t="n"/>
      <c r="G23" s="4" t="n"/>
      <c r="H23" s="10">
        <f>IF(OR(F23="",G23=""),"",IFERROR(F23*VLOOKUP(G23,'Units'!$A$2:$D$13,4,FALSE),""))</f>
        <v/>
      </c>
      <c r="I23" s="5">
        <f>IF(D23="","",IFERROR(VLOOKUP(D23,'Items'!$A$2:$L$201,4,FALSE),""))</f>
        <v/>
      </c>
      <c r="J23" s="10">
        <f>IF(D23="","",IFERROR(VLOOKUP(D23,'Items'!$A$2:$L$201,10,FALSE),""))</f>
        <v/>
      </c>
      <c r="K23" s="10">
        <f>IF(OR(H23="",J23=""),"",H23*J23)</f>
        <v/>
      </c>
      <c r="L23" s="5">
        <f>IF(AND(B23="",D23=""),"",IF(B23="","Missing product",IF(D23="","Missing item",IF(C23="Product not found","Product not found",IF(E23="Item not found","Item not found",IF(OR(F23="",G23=""),"Missing quantity/unit",IF(IFERROR(VLOOKUP(G23,'Units'!$A$2:$D$13,3,FALSE),"")&lt;&gt;I23,"Unit mismatch",IF(J23="","Enter item cost","OK"))))))))</f>
        <v/>
      </c>
      <c r="M23" s="4" t="n"/>
    </row>
    <row r="24">
      <c r="A24" s="5">
        <f>IF(AND(B24="",D24=""),"",ROW()-1)</f>
        <v/>
      </c>
      <c r="B24" s="4" t="n"/>
      <c r="C24" s="5">
        <f>IF(B24="","",IFERROR(VLOOKUP(B24,'Products'!$A$2:$F$201,2,FALSE),"Product not found"))</f>
        <v/>
      </c>
      <c r="D24" s="4" t="n"/>
      <c r="E24" s="5">
        <f>IF(D24="","",IFERROR(VLOOKUP(D24,'Items'!$A$2:$L$201,2,FALSE),"Item not found"))</f>
        <v/>
      </c>
      <c r="F24" s="9" t="n"/>
      <c r="G24" s="4" t="n"/>
      <c r="H24" s="10">
        <f>IF(OR(F24="",G24=""),"",IFERROR(F24*VLOOKUP(G24,'Units'!$A$2:$D$13,4,FALSE),""))</f>
        <v/>
      </c>
      <c r="I24" s="5">
        <f>IF(D24="","",IFERROR(VLOOKUP(D24,'Items'!$A$2:$L$201,4,FALSE),""))</f>
        <v/>
      </c>
      <c r="J24" s="10">
        <f>IF(D24="","",IFERROR(VLOOKUP(D24,'Items'!$A$2:$L$201,10,FALSE),""))</f>
        <v/>
      </c>
      <c r="K24" s="10">
        <f>IF(OR(H24="",J24=""),"",H24*J24)</f>
        <v/>
      </c>
      <c r="L24" s="5">
        <f>IF(AND(B24="",D24=""),"",IF(B24="","Missing product",IF(D24="","Missing item",IF(C24="Product not found","Product not found",IF(E24="Item not found","Item not found",IF(OR(F24="",G24=""),"Missing quantity/unit",IF(IFERROR(VLOOKUP(G24,'Units'!$A$2:$D$13,3,FALSE),"")&lt;&gt;I24,"Unit mismatch",IF(J24="","Enter item cost","OK"))))))))</f>
        <v/>
      </c>
      <c r="M24" s="4" t="n"/>
    </row>
    <row r="25">
      <c r="A25" s="5">
        <f>IF(AND(B25="",D25=""),"",ROW()-1)</f>
        <v/>
      </c>
      <c r="B25" s="4" t="n"/>
      <c r="C25" s="5">
        <f>IF(B25="","",IFERROR(VLOOKUP(B25,'Products'!$A$2:$F$201,2,FALSE),"Product not found"))</f>
        <v/>
      </c>
      <c r="D25" s="4" t="n"/>
      <c r="E25" s="5">
        <f>IF(D25="","",IFERROR(VLOOKUP(D25,'Items'!$A$2:$L$201,2,FALSE),"Item not found"))</f>
        <v/>
      </c>
      <c r="F25" s="9" t="n"/>
      <c r="G25" s="4" t="n"/>
      <c r="H25" s="10">
        <f>IF(OR(F25="",G25=""),"",IFERROR(F25*VLOOKUP(G25,'Units'!$A$2:$D$13,4,FALSE),""))</f>
        <v/>
      </c>
      <c r="I25" s="5">
        <f>IF(D25="","",IFERROR(VLOOKUP(D25,'Items'!$A$2:$L$201,4,FALSE),""))</f>
        <v/>
      </c>
      <c r="J25" s="10">
        <f>IF(D25="","",IFERROR(VLOOKUP(D25,'Items'!$A$2:$L$201,10,FALSE),""))</f>
        <v/>
      </c>
      <c r="K25" s="10">
        <f>IF(OR(H25="",J25=""),"",H25*J25)</f>
        <v/>
      </c>
      <c r="L25" s="5">
        <f>IF(AND(B25="",D25=""),"",IF(B25="","Missing product",IF(D25="","Missing item",IF(C25="Product not found","Product not found",IF(E25="Item not found","Item not found",IF(OR(F25="",G25=""),"Missing quantity/unit",IF(IFERROR(VLOOKUP(G25,'Units'!$A$2:$D$13,3,FALSE),"")&lt;&gt;I25,"Unit mismatch",IF(J25="","Enter item cost","OK"))))))))</f>
        <v/>
      </c>
      <c r="M25" s="4" t="n"/>
    </row>
    <row r="26">
      <c r="A26" s="5">
        <f>IF(AND(B26="",D26=""),"",ROW()-1)</f>
        <v/>
      </c>
      <c r="B26" s="4" t="n"/>
      <c r="C26" s="5">
        <f>IF(B26="","",IFERROR(VLOOKUP(B26,'Products'!$A$2:$F$201,2,FALSE),"Product not found"))</f>
        <v/>
      </c>
      <c r="D26" s="4" t="n"/>
      <c r="E26" s="5">
        <f>IF(D26="","",IFERROR(VLOOKUP(D26,'Items'!$A$2:$L$201,2,FALSE),"Item not found"))</f>
        <v/>
      </c>
      <c r="F26" s="9" t="n"/>
      <c r="G26" s="4" t="n"/>
      <c r="H26" s="10">
        <f>IF(OR(F26="",G26=""),"",IFERROR(F26*VLOOKUP(G26,'Units'!$A$2:$D$13,4,FALSE),""))</f>
        <v/>
      </c>
      <c r="I26" s="5">
        <f>IF(D26="","",IFERROR(VLOOKUP(D26,'Items'!$A$2:$L$201,4,FALSE),""))</f>
        <v/>
      </c>
      <c r="J26" s="10">
        <f>IF(D26="","",IFERROR(VLOOKUP(D26,'Items'!$A$2:$L$201,10,FALSE),""))</f>
        <v/>
      </c>
      <c r="K26" s="10">
        <f>IF(OR(H26="",J26=""),"",H26*J26)</f>
        <v/>
      </c>
      <c r="L26" s="5">
        <f>IF(AND(B26="",D26=""),"",IF(B26="","Missing product",IF(D26="","Missing item",IF(C26="Product not found","Product not found",IF(E26="Item not found","Item not found",IF(OR(F26="",G26=""),"Missing quantity/unit",IF(IFERROR(VLOOKUP(G26,'Units'!$A$2:$D$13,3,FALSE),"")&lt;&gt;I26,"Unit mismatch",IF(J26="","Enter item cost","OK"))))))))</f>
        <v/>
      </c>
      <c r="M26" s="4" t="n"/>
    </row>
    <row r="27">
      <c r="A27" s="5">
        <f>IF(AND(B27="",D27=""),"",ROW()-1)</f>
        <v/>
      </c>
      <c r="B27" s="4" t="n"/>
      <c r="C27" s="5">
        <f>IF(B27="","",IFERROR(VLOOKUP(B27,'Products'!$A$2:$F$201,2,FALSE),"Product not found"))</f>
        <v/>
      </c>
      <c r="D27" s="4" t="n"/>
      <c r="E27" s="5">
        <f>IF(D27="","",IFERROR(VLOOKUP(D27,'Items'!$A$2:$L$201,2,FALSE),"Item not found"))</f>
        <v/>
      </c>
      <c r="F27" s="9" t="n"/>
      <c r="G27" s="4" t="n"/>
      <c r="H27" s="10">
        <f>IF(OR(F27="",G27=""),"",IFERROR(F27*VLOOKUP(G27,'Units'!$A$2:$D$13,4,FALSE),""))</f>
        <v/>
      </c>
      <c r="I27" s="5">
        <f>IF(D27="","",IFERROR(VLOOKUP(D27,'Items'!$A$2:$L$201,4,FALSE),""))</f>
        <v/>
      </c>
      <c r="J27" s="10">
        <f>IF(D27="","",IFERROR(VLOOKUP(D27,'Items'!$A$2:$L$201,10,FALSE),""))</f>
        <v/>
      </c>
      <c r="K27" s="10">
        <f>IF(OR(H27="",J27=""),"",H27*J27)</f>
        <v/>
      </c>
      <c r="L27" s="5">
        <f>IF(AND(B27="",D27=""),"",IF(B27="","Missing product",IF(D27="","Missing item",IF(C27="Product not found","Product not found",IF(E27="Item not found","Item not found",IF(OR(F27="",G27=""),"Missing quantity/unit",IF(IFERROR(VLOOKUP(G27,'Units'!$A$2:$D$13,3,FALSE),"")&lt;&gt;I27,"Unit mismatch",IF(J27="","Enter item cost","OK"))))))))</f>
        <v/>
      </c>
      <c r="M27" s="4" t="n"/>
    </row>
    <row r="28">
      <c r="A28" s="5">
        <f>IF(AND(B28="",D28=""),"",ROW()-1)</f>
        <v/>
      </c>
      <c r="B28" s="4" t="n"/>
      <c r="C28" s="5">
        <f>IF(B28="","",IFERROR(VLOOKUP(B28,'Products'!$A$2:$F$201,2,FALSE),"Product not found"))</f>
        <v/>
      </c>
      <c r="D28" s="4" t="n"/>
      <c r="E28" s="5">
        <f>IF(D28="","",IFERROR(VLOOKUP(D28,'Items'!$A$2:$L$201,2,FALSE),"Item not found"))</f>
        <v/>
      </c>
      <c r="F28" s="9" t="n"/>
      <c r="G28" s="4" t="n"/>
      <c r="H28" s="10">
        <f>IF(OR(F28="",G28=""),"",IFERROR(F28*VLOOKUP(G28,'Units'!$A$2:$D$13,4,FALSE),""))</f>
        <v/>
      </c>
      <c r="I28" s="5">
        <f>IF(D28="","",IFERROR(VLOOKUP(D28,'Items'!$A$2:$L$201,4,FALSE),""))</f>
        <v/>
      </c>
      <c r="J28" s="10">
        <f>IF(D28="","",IFERROR(VLOOKUP(D28,'Items'!$A$2:$L$201,10,FALSE),""))</f>
        <v/>
      </c>
      <c r="K28" s="10">
        <f>IF(OR(H28="",J28=""),"",H28*J28)</f>
        <v/>
      </c>
      <c r="L28" s="5">
        <f>IF(AND(B28="",D28=""),"",IF(B28="","Missing product",IF(D28="","Missing item",IF(C28="Product not found","Product not found",IF(E28="Item not found","Item not found",IF(OR(F28="",G28=""),"Missing quantity/unit",IF(IFERROR(VLOOKUP(G28,'Units'!$A$2:$D$13,3,FALSE),"")&lt;&gt;I28,"Unit mismatch",IF(J28="","Enter item cost","OK"))))))))</f>
        <v/>
      </c>
      <c r="M28" s="4" t="n"/>
    </row>
    <row r="29">
      <c r="A29" s="5">
        <f>IF(AND(B29="",D29=""),"",ROW()-1)</f>
        <v/>
      </c>
      <c r="B29" s="4" t="n"/>
      <c r="C29" s="5">
        <f>IF(B29="","",IFERROR(VLOOKUP(B29,'Products'!$A$2:$F$201,2,FALSE),"Product not found"))</f>
        <v/>
      </c>
      <c r="D29" s="4" t="n"/>
      <c r="E29" s="5">
        <f>IF(D29="","",IFERROR(VLOOKUP(D29,'Items'!$A$2:$L$201,2,FALSE),"Item not found"))</f>
        <v/>
      </c>
      <c r="F29" s="9" t="n"/>
      <c r="G29" s="4" t="n"/>
      <c r="H29" s="10">
        <f>IF(OR(F29="",G29=""),"",IFERROR(F29*VLOOKUP(G29,'Units'!$A$2:$D$13,4,FALSE),""))</f>
        <v/>
      </c>
      <c r="I29" s="5">
        <f>IF(D29="","",IFERROR(VLOOKUP(D29,'Items'!$A$2:$L$201,4,FALSE),""))</f>
        <v/>
      </c>
      <c r="J29" s="10">
        <f>IF(D29="","",IFERROR(VLOOKUP(D29,'Items'!$A$2:$L$201,10,FALSE),""))</f>
        <v/>
      </c>
      <c r="K29" s="10">
        <f>IF(OR(H29="",J29=""),"",H29*J29)</f>
        <v/>
      </c>
      <c r="L29" s="5">
        <f>IF(AND(B29="",D29=""),"",IF(B29="","Missing product",IF(D29="","Missing item",IF(C29="Product not found","Product not found",IF(E29="Item not found","Item not found",IF(OR(F29="",G29=""),"Missing quantity/unit",IF(IFERROR(VLOOKUP(G29,'Units'!$A$2:$D$13,3,FALSE),"")&lt;&gt;I29,"Unit mismatch",IF(J29="","Enter item cost","OK"))))))))</f>
        <v/>
      </c>
      <c r="M29" s="4" t="n"/>
    </row>
    <row r="30">
      <c r="A30" s="5">
        <f>IF(AND(B30="",D30=""),"",ROW()-1)</f>
        <v/>
      </c>
      <c r="B30" s="4" t="n"/>
      <c r="C30" s="5">
        <f>IF(B30="","",IFERROR(VLOOKUP(B30,'Products'!$A$2:$F$201,2,FALSE),"Product not found"))</f>
        <v/>
      </c>
      <c r="D30" s="4" t="n"/>
      <c r="E30" s="5">
        <f>IF(D30="","",IFERROR(VLOOKUP(D30,'Items'!$A$2:$L$201,2,FALSE),"Item not found"))</f>
        <v/>
      </c>
      <c r="F30" s="9" t="n"/>
      <c r="G30" s="4" t="n"/>
      <c r="H30" s="10">
        <f>IF(OR(F30="",G30=""),"",IFERROR(F30*VLOOKUP(G30,'Units'!$A$2:$D$13,4,FALSE),""))</f>
        <v/>
      </c>
      <c r="I30" s="5">
        <f>IF(D30="","",IFERROR(VLOOKUP(D30,'Items'!$A$2:$L$201,4,FALSE),""))</f>
        <v/>
      </c>
      <c r="J30" s="10">
        <f>IF(D30="","",IFERROR(VLOOKUP(D30,'Items'!$A$2:$L$201,10,FALSE),""))</f>
        <v/>
      </c>
      <c r="K30" s="10">
        <f>IF(OR(H30="",J30=""),"",H30*J30)</f>
        <v/>
      </c>
      <c r="L30" s="5">
        <f>IF(AND(B30="",D30=""),"",IF(B30="","Missing product",IF(D30="","Missing item",IF(C30="Product not found","Product not found",IF(E30="Item not found","Item not found",IF(OR(F30="",G30=""),"Missing quantity/unit",IF(IFERROR(VLOOKUP(G30,'Units'!$A$2:$D$13,3,FALSE),"")&lt;&gt;I30,"Unit mismatch",IF(J30="","Enter item cost","OK"))))))))</f>
        <v/>
      </c>
      <c r="M30" s="4" t="n"/>
    </row>
    <row r="31">
      <c r="A31" s="5">
        <f>IF(AND(B31="",D31=""),"",ROW()-1)</f>
        <v/>
      </c>
      <c r="B31" s="4" t="n"/>
      <c r="C31" s="5">
        <f>IF(B31="","",IFERROR(VLOOKUP(B31,'Products'!$A$2:$F$201,2,FALSE),"Product not found"))</f>
        <v/>
      </c>
      <c r="D31" s="4" t="n"/>
      <c r="E31" s="5">
        <f>IF(D31="","",IFERROR(VLOOKUP(D31,'Items'!$A$2:$L$201,2,FALSE),"Item not found"))</f>
        <v/>
      </c>
      <c r="F31" s="9" t="n"/>
      <c r="G31" s="4" t="n"/>
      <c r="H31" s="10">
        <f>IF(OR(F31="",G31=""),"",IFERROR(F31*VLOOKUP(G31,'Units'!$A$2:$D$13,4,FALSE),""))</f>
        <v/>
      </c>
      <c r="I31" s="5">
        <f>IF(D31="","",IFERROR(VLOOKUP(D31,'Items'!$A$2:$L$201,4,FALSE),""))</f>
        <v/>
      </c>
      <c r="J31" s="10">
        <f>IF(D31="","",IFERROR(VLOOKUP(D31,'Items'!$A$2:$L$201,10,FALSE),""))</f>
        <v/>
      </c>
      <c r="K31" s="10">
        <f>IF(OR(H31="",J31=""),"",H31*J31)</f>
        <v/>
      </c>
      <c r="L31" s="5">
        <f>IF(AND(B31="",D31=""),"",IF(B31="","Missing product",IF(D31="","Missing item",IF(C31="Product not found","Product not found",IF(E31="Item not found","Item not found",IF(OR(F31="",G31=""),"Missing quantity/unit",IF(IFERROR(VLOOKUP(G31,'Units'!$A$2:$D$13,3,FALSE),"")&lt;&gt;I31,"Unit mismatch",IF(J31="","Enter item cost","OK"))))))))</f>
        <v/>
      </c>
      <c r="M31" s="4" t="n"/>
    </row>
    <row r="32">
      <c r="A32" s="5">
        <f>IF(AND(B32="",D32=""),"",ROW()-1)</f>
        <v/>
      </c>
      <c r="B32" s="4" t="n"/>
      <c r="C32" s="5">
        <f>IF(B32="","",IFERROR(VLOOKUP(B32,'Products'!$A$2:$F$201,2,FALSE),"Product not found"))</f>
        <v/>
      </c>
      <c r="D32" s="4" t="n"/>
      <c r="E32" s="5">
        <f>IF(D32="","",IFERROR(VLOOKUP(D32,'Items'!$A$2:$L$201,2,FALSE),"Item not found"))</f>
        <v/>
      </c>
      <c r="F32" s="9" t="n"/>
      <c r="G32" s="4" t="n"/>
      <c r="H32" s="10">
        <f>IF(OR(F32="",G32=""),"",IFERROR(F32*VLOOKUP(G32,'Units'!$A$2:$D$13,4,FALSE),""))</f>
        <v/>
      </c>
      <c r="I32" s="5">
        <f>IF(D32="","",IFERROR(VLOOKUP(D32,'Items'!$A$2:$L$201,4,FALSE),""))</f>
        <v/>
      </c>
      <c r="J32" s="10">
        <f>IF(D32="","",IFERROR(VLOOKUP(D32,'Items'!$A$2:$L$201,10,FALSE),""))</f>
        <v/>
      </c>
      <c r="K32" s="10">
        <f>IF(OR(H32="",J32=""),"",H32*J32)</f>
        <v/>
      </c>
      <c r="L32" s="5">
        <f>IF(AND(B32="",D32=""),"",IF(B32="","Missing product",IF(D32="","Missing item",IF(C32="Product not found","Product not found",IF(E32="Item not found","Item not found",IF(OR(F32="",G32=""),"Missing quantity/unit",IF(IFERROR(VLOOKUP(G32,'Units'!$A$2:$D$13,3,FALSE),"")&lt;&gt;I32,"Unit mismatch",IF(J32="","Enter item cost","OK"))))))))</f>
        <v/>
      </c>
      <c r="M32" s="4" t="n"/>
    </row>
    <row r="33">
      <c r="A33" s="5">
        <f>IF(AND(B33="",D33=""),"",ROW()-1)</f>
        <v/>
      </c>
      <c r="B33" s="4" t="n"/>
      <c r="C33" s="5">
        <f>IF(B33="","",IFERROR(VLOOKUP(B33,'Products'!$A$2:$F$201,2,FALSE),"Product not found"))</f>
        <v/>
      </c>
      <c r="D33" s="4" t="n"/>
      <c r="E33" s="5">
        <f>IF(D33="","",IFERROR(VLOOKUP(D33,'Items'!$A$2:$L$201,2,FALSE),"Item not found"))</f>
        <v/>
      </c>
      <c r="F33" s="9" t="n"/>
      <c r="G33" s="4" t="n"/>
      <c r="H33" s="10">
        <f>IF(OR(F33="",G33=""),"",IFERROR(F33*VLOOKUP(G33,'Units'!$A$2:$D$13,4,FALSE),""))</f>
        <v/>
      </c>
      <c r="I33" s="5">
        <f>IF(D33="","",IFERROR(VLOOKUP(D33,'Items'!$A$2:$L$201,4,FALSE),""))</f>
        <v/>
      </c>
      <c r="J33" s="10">
        <f>IF(D33="","",IFERROR(VLOOKUP(D33,'Items'!$A$2:$L$201,10,FALSE),""))</f>
        <v/>
      </c>
      <c r="K33" s="10">
        <f>IF(OR(H33="",J33=""),"",H33*J33)</f>
        <v/>
      </c>
      <c r="L33" s="5">
        <f>IF(AND(B33="",D33=""),"",IF(B33="","Missing product",IF(D33="","Missing item",IF(C33="Product not found","Product not found",IF(E33="Item not found","Item not found",IF(OR(F33="",G33=""),"Missing quantity/unit",IF(IFERROR(VLOOKUP(G33,'Units'!$A$2:$D$13,3,FALSE),"")&lt;&gt;I33,"Unit mismatch",IF(J33="","Enter item cost","OK"))))))))</f>
        <v/>
      </c>
      <c r="M33" s="4" t="n"/>
    </row>
    <row r="34">
      <c r="A34" s="5">
        <f>IF(AND(B34="",D34=""),"",ROW()-1)</f>
        <v/>
      </c>
      <c r="B34" s="4" t="n"/>
      <c r="C34" s="5">
        <f>IF(B34="","",IFERROR(VLOOKUP(B34,'Products'!$A$2:$F$201,2,FALSE),"Product not found"))</f>
        <v/>
      </c>
      <c r="D34" s="4" t="n"/>
      <c r="E34" s="5">
        <f>IF(D34="","",IFERROR(VLOOKUP(D34,'Items'!$A$2:$L$201,2,FALSE),"Item not found"))</f>
        <v/>
      </c>
      <c r="F34" s="9" t="n"/>
      <c r="G34" s="4" t="n"/>
      <c r="H34" s="10">
        <f>IF(OR(F34="",G34=""),"",IFERROR(F34*VLOOKUP(G34,'Units'!$A$2:$D$13,4,FALSE),""))</f>
        <v/>
      </c>
      <c r="I34" s="5">
        <f>IF(D34="","",IFERROR(VLOOKUP(D34,'Items'!$A$2:$L$201,4,FALSE),""))</f>
        <v/>
      </c>
      <c r="J34" s="10">
        <f>IF(D34="","",IFERROR(VLOOKUP(D34,'Items'!$A$2:$L$201,10,FALSE),""))</f>
        <v/>
      </c>
      <c r="K34" s="10">
        <f>IF(OR(H34="",J34=""),"",H34*J34)</f>
        <v/>
      </c>
      <c r="L34" s="5">
        <f>IF(AND(B34="",D34=""),"",IF(B34="","Missing product",IF(D34="","Missing item",IF(C34="Product not found","Product not found",IF(E34="Item not found","Item not found",IF(OR(F34="",G34=""),"Missing quantity/unit",IF(IFERROR(VLOOKUP(G34,'Units'!$A$2:$D$13,3,FALSE),"")&lt;&gt;I34,"Unit mismatch",IF(J34="","Enter item cost","OK"))))))))</f>
        <v/>
      </c>
      <c r="M34" s="4" t="n"/>
    </row>
    <row r="35">
      <c r="A35" s="5">
        <f>IF(AND(B35="",D35=""),"",ROW()-1)</f>
        <v/>
      </c>
      <c r="B35" s="4" t="n"/>
      <c r="C35" s="5">
        <f>IF(B35="","",IFERROR(VLOOKUP(B35,'Products'!$A$2:$F$201,2,FALSE),"Product not found"))</f>
        <v/>
      </c>
      <c r="D35" s="4" t="n"/>
      <c r="E35" s="5">
        <f>IF(D35="","",IFERROR(VLOOKUP(D35,'Items'!$A$2:$L$201,2,FALSE),"Item not found"))</f>
        <v/>
      </c>
      <c r="F35" s="9" t="n"/>
      <c r="G35" s="4" t="n"/>
      <c r="H35" s="10">
        <f>IF(OR(F35="",G35=""),"",IFERROR(F35*VLOOKUP(G35,'Units'!$A$2:$D$13,4,FALSE),""))</f>
        <v/>
      </c>
      <c r="I35" s="5">
        <f>IF(D35="","",IFERROR(VLOOKUP(D35,'Items'!$A$2:$L$201,4,FALSE),""))</f>
        <v/>
      </c>
      <c r="J35" s="10">
        <f>IF(D35="","",IFERROR(VLOOKUP(D35,'Items'!$A$2:$L$201,10,FALSE),""))</f>
        <v/>
      </c>
      <c r="K35" s="10">
        <f>IF(OR(H35="",J35=""),"",H35*J35)</f>
        <v/>
      </c>
      <c r="L35" s="5">
        <f>IF(AND(B35="",D35=""),"",IF(B35="","Missing product",IF(D35="","Missing item",IF(C35="Product not found","Product not found",IF(E35="Item not found","Item not found",IF(OR(F35="",G35=""),"Missing quantity/unit",IF(IFERROR(VLOOKUP(G35,'Units'!$A$2:$D$13,3,FALSE),"")&lt;&gt;I35,"Unit mismatch",IF(J35="","Enter item cost","OK"))))))))</f>
        <v/>
      </c>
      <c r="M35" s="4" t="n"/>
    </row>
    <row r="36">
      <c r="A36" s="5">
        <f>IF(AND(B36="",D36=""),"",ROW()-1)</f>
        <v/>
      </c>
      <c r="B36" s="4" t="n"/>
      <c r="C36" s="5">
        <f>IF(B36="","",IFERROR(VLOOKUP(B36,'Products'!$A$2:$F$201,2,FALSE),"Product not found"))</f>
        <v/>
      </c>
      <c r="D36" s="4" t="n"/>
      <c r="E36" s="5">
        <f>IF(D36="","",IFERROR(VLOOKUP(D36,'Items'!$A$2:$L$201,2,FALSE),"Item not found"))</f>
        <v/>
      </c>
      <c r="F36" s="9" t="n"/>
      <c r="G36" s="4" t="n"/>
      <c r="H36" s="10">
        <f>IF(OR(F36="",G36=""),"",IFERROR(F36*VLOOKUP(G36,'Units'!$A$2:$D$13,4,FALSE),""))</f>
        <v/>
      </c>
      <c r="I36" s="5">
        <f>IF(D36="","",IFERROR(VLOOKUP(D36,'Items'!$A$2:$L$201,4,FALSE),""))</f>
        <v/>
      </c>
      <c r="J36" s="10">
        <f>IF(D36="","",IFERROR(VLOOKUP(D36,'Items'!$A$2:$L$201,10,FALSE),""))</f>
        <v/>
      </c>
      <c r="K36" s="10">
        <f>IF(OR(H36="",J36=""),"",H36*J36)</f>
        <v/>
      </c>
      <c r="L36" s="5">
        <f>IF(AND(B36="",D36=""),"",IF(B36="","Missing product",IF(D36="","Missing item",IF(C36="Product not found","Product not found",IF(E36="Item not found","Item not found",IF(OR(F36="",G36=""),"Missing quantity/unit",IF(IFERROR(VLOOKUP(G36,'Units'!$A$2:$D$13,3,FALSE),"")&lt;&gt;I36,"Unit mismatch",IF(J36="","Enter item cost","OK"))))))))</f>
        <v/>
      </c>
      <c r="M36" s="4" t="n"/>
    </row>
    <row r="37">
      <c r="A37" s="5">
        <f>IF(AND(B37="",D37=""),"",ROW()-1)</f>
        <v/>
      </c>
      <c r="B37" s="4" t="n"/>
      <c r="C37" s="5">
        <f>IF(B37="","",IFERROR(VLOOKUP(B37,'Products'!$A$2:$F$201,2,FALSE),"Product not found"))</f>
        <v/>
      </c>
      <c r="D37" s="4" t="n"/>
      <c r="E37" s="5">
        <f>IF(D37="","",IFERROR(VLOOKUP(D37,'Items'!$A$2:$L$201,2,FALSE),"Item not found"))</f>
        <v/>
      </c>
      <c r="F37" s="9" t="n"/>
      <c r="G37" s="4" t="n"/>
      <c r="H37" s="10">
        <f>IF(OR(F37="",G37=""),"",IFERROR(F37*VLOOKUP(G37,'Units'!$A$2:$D$13,4,FALSE),""))</f>
        <v/>
      </c>
      <c r="I37" s="5">
        <f>IF(D37="","",IFERROR(VLOOKUP(D37,'Items'!$A$2:$L$201,4,FALSE),""))</f>
        <v/>
      </c>
      <c r="J37" s="10">
        <f>IF(D37="","",IFERROR(VLOOKUP(D37,'Items'!$A$2:$L$201,10,FALSE),""))</f>
        <v/>
      </c>
      <c r="K37" s="10">
        <f>IF(OR(H37="",J37=""),"",H37*J37)</f>
        <v/>
      </c>
      <c r="L37" s="5">
        <f>IF(AND(B37="",D37=""),"",IF(B37="","Missing product",IF(D37="","Missing item",IF(C37="Product not found","Product not found",IF(E37="Item not found","Item not found",IF(OR(F37="",G37=""),"Missing quantity/unit",IF(IFERROR(VLOOKUP(G37,'Units'!$A$2:$D$13,3,FALSE),"")&lt;&gt;I37,"Unit mismatch",IF(J37="","Enter item cost","OK"))))))))</f>
        <v/>
      </c>
      <c r="M37" s="4" t="n"/>
    </row>
    <row r="38">
      <c r="A38" s="5">
        <f>IF(AND(B38="",D38=""),"",ROW()-1)</f>
        <v/>
      </c>
      <c r="B38" s="4" t="n"/>
      <c r="C38" s="5">
        <f>IF(B38="","",IFERROR(VLOOKUP(B38,'Products'!$A$2:$F$201,2,FALSE),"Product not found"))</f>
        <v/>
      </c>
      <c r="D38" s="4" t="n"/>
      <c r="E38" s="5">
        <f>IF(D38="","",IFERROR(VLOOKUP(D38,'Items'!$A$2:$L$201,2,FALSE),"Item not found"))</f>
        <v/>
      </c>
      <c r="F38" s="9" t="n"/>
      <c r="G38" s="4" t="n"/>
      <c r="H38" s="10">
        <f>IF(OR(F38="",G38=""),"",IFERROR(F38*VLOOKUP(G38,'Units'!$A$2:$D$13,4,FALSE),""))</f>
        <v/>
      </c>
      <c r="I38" s="5">
        <f>IF(D38="","",IFERROR(VLOOKUP(D38,'Items'!$A$2:$L$201,4,FALSE),""))</f>
        <v/>
      </c>
      <c r="J38" s="10">
        <f>IF(D38="","",IFERROR(VLOOKUP(D38,'Items'!$A$2:$L$201,10,FALSE),""))</f>
        <v/>
      </c>
      <c r="K38" s="10">
        <f>IF(OR(H38="",J38=""),"",H38*J38)</f>
        <v/>
      </c>
      <c r="L38" s="5">
        <f>IF(AND(B38="",D38=""),"",IF(B38="","Missing product",IF(D38="","Missing item",IF(C38="Product not found","Product not found",IF(E38="Item not found","Item not found",IF(OR(F38="",G38=""),"Missing quantity/unit",IF(IFERROR(VLOOKUP(G38,'Units'!$A$2:$D$13,3,FALSE),"")&lt;&gt;I38,"Unit mismatch",IF(J38="","Enter item cost","OK"))))))))</f>
        <v/>
      </c>
      <c r="M38" s="4" t="n"/>
    </row>
    <row r="39">
      <c r="A39" s="5">
        <f>IF(AND(B39="",D39=""),"",ROW()-1)</f>
        <v/>
      </c>
      <c r="B39" s="4" t="n"/>
      <c r="C39" s="5">
        <f>IF(B39="","",IFERROR(VLOOKUP(B39,'Products'!$A$2:$F$201,2,FALSE),"Product not found"))</f>
        <v/>
      </c>
      <c r="D39" s="4" t="n"/>
      <c r="E39" s="5">
        <f>IF(D39="","",IFERROR(VLOOKUP(D39,'Items'!$A$2:$L$201,2,FALSE),"Item not found"))</f>
        <v/>
      </c>
      <c r="F39" s="9" t="n"/>
      <c r="G39" s="4" t="n"/>
      <c r="H39" s="10">
        <f>IF(OR(F39="",G39=""),"",IFERROR(F39*VLOOKUP(G39,'Units'!$A$2:$D$13,4,FALSE),""))</f>
        <v/>
      </c>
      <c r="I39" s="5">
        <f>IF(D39="","",IFERROR(VLOOKUP(D39,'Items'!$A$2:$L$201,4,FALSE),""))</f>
        <v/>
      </c>
      <c r="J39" s="10">
        <f>IF(D39="","",IFERROR(VLOOKUP(D39,'Items'!$A$2:$L$201,10,FALSE),""))</f>
        <v/>
      </c>
      <c r="K39" s="10">
        <f>IF(OR(H39="",J39=""),"",H39*J39)</f>
        <v/>
      </c>
      <c r="L39" s="5">
        <f>IF(AND(B39="",D39=""),"",IF(B39="","Missing product",IF(D39="","Missing item",IF(C39="Product not found","Product not found",IF(E39="Item not found","Item not found",IF(OR(F39="",G39=""),"Missing quantity/unit",IF(IFERROR(VLOOKUP(G39,'Units'!$A$2:$D$13,3,FALSE),"")&lt;&gt;I39,"Unit mismatch",IF(J39="","Enter item cost","OK"))))))))</f>
        <v/>
      </c>
      <c r="M39" s="4" t="n"/>
    </row>
    <row r="40">
      <c r="A40" s="5">
        <f>IF(AND(B40="",D40=""),"",ROW()-1)</f>
        <v/>
      </c>
      <c r="B40" s="4" t="n"/>
      <c r="C40" s="5">
        <f>IF(B40="","",IFERROR(VLOOKUP(B40,'Products'!$A$2:$F$201,2,FALSE),"Product not found"))</f>
        <v/>
      </c>
      <c r="D40" s="4" t="n"/>
      <c r="E40" s="5">
        <f>IF(D40="","",IFERROR(VLOOKUP(D40,'Items'!$A$2:$L$201,2,FALSE),"Item not found"))</f>
        <v/>
      </c>
      <c r="F40" s="9" t="n"/>
      <c r="G40" s="4" t="n"/>
      <c r="H40" s="10">
        <f>IF(OR(F40="",G40=""),"",IFERROR(F40*VLOOKUP(G40,'Units'!$A$2:$D$13,4,FALSE),""))</f>
        <v/>
      </c>
      <c r="I40" s="5">
        <f>IF(D40="","",IFERROR(VLOOKUP(D40,'Items'!$A$2:$L$201,4,FALSE),""))</f>
        <v/>
      </c>
      <c r="J40" s="10">
        <f>IF(D40="","",IFERROR(VLOOKUP(D40,'Items'!$A$2:$L$201,10,FALSE),""))</f>
        <v/>
      </c>
      <c r="K40" s="10">
        <f>IF(OR(H40="",J40=""),"",H40*J40)</f>
        <v/>
      </c>
      <c r="L40" s="5">
        <f>IF(AND(B40="",D40=""),"",IF(B40="","Missing product",IF(D40="","Missing item",IF(C40="Product not found","Product not found",IF(E40="Item not found","Item not found",IF(OR(F40="",G40=""),"Missing quantity/unit",IF(IFERROR(VLOOKUP(G40,'Units'!$A$2:$D$13,3,FALSE),"")&lt;&gt;I40,"Unit mismatch",IF(J40="","Enter item cost","OK"))))))))</f>
        <v/>
      </c>
      <c r="M40" s="4" t="n"/>
    </row>
    <row r="41">
      <c r="A41" s="5">
        <f>IF(AND(B41="",D41=""),"",ROW()-1)</f>
        <v/>
      </c>
      <c r="B41" s="4" t="n"/>
      <c r="C41" s="5">
        <f>IF(B41="","",IFERROR(VLOOKUP(B41,'Products'!$A$2:$F$201,2,FALSE),"Product not found"))</f>
        <v/>
      </c>
      <c r="D41" s="4" t="n"/>
      <c r="E41" s="5">
        <f>IF(D41="","",IFERROR(VLOOKUP(D41,'Items'!$A$2:$L$201,2,FALSE),"Item not found"))</f>
        <v/>
      </c>
      <c r="F41" s="9" t="n"/>
      <c r="G41" s="4" t="n"/>
      <c r="H41" s="10">
        <f>IF(OR(F41="",G41=""),"",IFERROR(F41*VLOOKUP(G41,'Units'!$A$2:$D$13,4,FALSE),""))</f>
        <v/>
      </c>
      <c r="I41" s="5">
        <f>IF(D41="","",IFERROR(VLOOKUP(D41,'Items'!$A$2:$L$201,4,FALSE),""))</f>
        <v/>
      </c>
      <c r="J41" s="10">
        <f>IF(D41="","",IFERROR(VLOOKUP(D41,'Items'!$A$2:$L$201,10,FALSE),""))</f>
        <v/>
      </c>
      <c r="K41" s="10">
        <f>IF(OR(H41="",J41=""),"",H41*J41)</f>
        <v/>
      </c>
      <c r="L41" s="5">
        <f>IF(AND(B41="",D41=""),"",IF(B41="","Missing product",IF(D41="","Missing item",IF(C41="Product not found","Product not found",IF(E41="Item not found","Item not found",IF(OR(F41="",G41=""),"Missing quantity/unit",IF(IFERROR(VLOOKUP(G41,'Units'!$A$2:$D$13,3,FALSE),"")&lt;&gt;I41,"Unit mismatch",IF(J41="","Enter item cost","OK"))))))))</f>
        <v/>
      </c>
      <c r="M41" s="4" t="n"/>
    </row>
    <row r="42">
      <c r="A42" s="5">
        <f>IF(AND(B42="",D42=""),"",ROW()-1)</f>
        <v/>
      </c>
      <c r="B42" s="4" t="n"/>
      <c r="C42" s="5">
        <f>IF(B42="","",IFERROR(VLOOKUP(B42,'Products'!$A$2:$F$201,2,FALSE),"Product not found"))</f>
        <v/>
      </c>
      <c r="D42" s="4" t="n"/>
      <c r="E42" s="5">
        <f>IF(D42="","",IFERROR(VLOOKUP(D42,'Items'!$A$2:$L$201,2,FALSE),"Item not found"))</f>
        <v/>
      </c>
      <c r="F42" s="9" t="n"/>
      <c r="G42" s="4" t="n"/>
      <c r="H42" s="10">
        <f>IF(OR(F42="",G42=""),"",IFERROR(F42*VLOOKUP(G42,'Units'!$A$2:$D$13,4,FALSE),""))</f>
        <v/>
      </c>
      <c r="I42" s="5">
        <f>IF(D42="","",IFERROR(VLOOKUP(D42,'Items'!$A$2:$L$201,4,FALSE),""))</f>
        <v/>
      </c>
      <c r="J42" s="10">
        <f>IF(D42="","",IFERROR(VLOOKUP(D42,'Items'!$A$2:$L$201,10,FALSE),""))</f>
        <v/>
      </c>
      <c r="K42" s="10">
        <f>IF(OR(H42="",J42=""),"",H42*J42)</f>
        <v/>
      </c>
      <c r="L42" s="5">
        <f>IF(AND(B42="",D42=""),"",IF(B42="","Missing product",IF(D42="","Missing item",IF(C42="Product not found","Product not found",IF(E42="Item not found","Item not found",IF(OR(F42="",G42=""),"Missing quantity/unit",IF(IFERROR(VLOOKUP(G42,'Units'!$A$2:$D$13,3,FALSE),"")&lt;&gt;I42,"Unit mismatch",IF(J42="","Enter item cost","OK"))))))))</f>
        <v/>
      </c>
      <c r="M42" s="4" t="n"/>
    </row>
    <row r="43">
      <c r="A43" s="5">
        <f>IF(AND(B43="",D43=""),"",ROW()-1)</f>
        <v/>
      </c>
      <c r="B43" s="4" t="n"/>
      <c r="C43" s="5">
        <f>IF(B43="","",IFERROR(VLOOKUP(B43,'Products'!$A$2:$F$201,2,FALSE),"Product not found"))</f>
        <v/>
      </c>
      <c r="D43" s="4" t="n"/>
      <c r="E43" s="5">
        <f>IF(D43="","",IFERROR(VLOOKUP(D43,'Items'!$A$2:$L$201,2,FALSE),"Item not found"))</f>
        <v/>
      </c>
      <c r="F43" s="9" t="n"/>
      <c r="G43" s="4" t="n"/>
      <c r="H43" s="10">
        <f>IF(OR(F43="",G43=""),"",IFERROR(F43*VLOOKUP(G43,'Units'!$A$2:$D$13,4,FALSE),""))</f>
        <v/>
      </c>
      <c r="I43" s="5">
        <f>IF(D43="","",IFERROR(VLOOKUP(D43,'Items'!$A$2:$L$201,4,FALSE),""))</f>
        <v/>
      </c>
      <c r="J43" s="10">
        <f>IF(D43="","",IFERROR(VLOOKUP(D43,'Items'!$A$2:$L$201,10,FALSE),""))</f>
        <v/>
      </c>
      <c r="K43" s="10">
        <f>IF(OR(H43="",J43=""),"",H43*J43)</f>
        <v/>
      </c>
      <c r="L43" s="5">
        <f>IF(AND(B43="",D43=""),"",IF(B43="","Missing product",IF(D43="","Missing item",IF(C43="Product not found","Product not found",IF(E43="Item not found","Item not found",IF(OR(F43="",G43=""),"Missing quantity/unit",IF(IFERROR(VLOOKUP(G43,'Units'!$A$2:$D$13,3,FALSE),"")&lt;&gt;I43,"Unit mismatch",IF(J43="","Enter item cost","OK"))))))))</f>
        <v/>
      </c>
      <c r="M43" s="4" t="n"/>
    </row>
    <row r="44">
      <c r="A44" s="5">
        <f>IF(AND(B44="",D44=""),"",ROW()-1)</f>
        <v/>
      </c>
      <c r="B44" s="4" t="n"/>
      <c r="C44" s="5">
        <f>IF(B44="","",IFERROR(VLOOKUP(B44,'Products'!$A$2:$F$201,2,FALSE),"Product not found"))</f>
        <v/>
      </c>
      <c r="D44" s="4" t="n"/>
      <c r="E44" s="5">
        <f>IF(D44="","",IFERROR(VLOOKUP(D44,'Items'!$A$2:$L$201,2,FALSE),"Item not found"))</f>
        <v/>
      </c>
      <c r="F44" s="9" t="n"/>
      <c r="G44" s="4" t="n"/>
      <c r="H44" s="10">
        <f>IF(OR(F44="",G44=""),"",IFERROR(F44*VLOOKUP(G44,'Units'!$A$2:$D$13,4,FALSE),""))</f>
        <v/>
      </c>
      <c r="I44" s="5">
        <f>IF(D44="","",IFERROR(VLOOKUP(D44,'Items'!$A$2:$L$201,4,FALSE),""))</f>
        <v/>
      </c>
      <c r="J44" s="10">
        <f>IF(D44="","",IFERROR(VLOOKUP(D44,'Items'!$A$2:$L$201,10,FALSE),""))</f>
        <v/>
      </c>
      <c r="K44" s="10">
        <f>IF(OR(H44="",J44=""),"",H44*J44)</f>
        <v/>
      </c>
      <c r="L44" s="5">
        <f>IF(AND(B44="",D44=""),"",IF(B44="","Missing product",IF(D44="","Missing item",IF(C44="Product not found","Product not found",IF(E44="Item not found","Item not found",IF(OR(F44="",G44=""),"Missing quantity/unit",IF(IFERROR(VLOOKUP(G44,'Units'!$A$2:$D$13,3,FALSE),"")&lt;&gt;I44,"Unit mismatch",IF(J44="","Enter item cost","OK"))))))))</f>
        <v/>
      </c>
      <c r="M44" s="4" t="n"/>
    </row>
    <row r="45">
      <c r="A45" s="5">
        <f>IF(AND(B45="",D45=""),"",ROW()-1)</f>
        <v/>
      </c>
      <c r="B45" s="4" t="n"/>
      <c r="C45" s="5">
        <f>IF(B45="","",IFERROR(VLOOKUP(B45,'Products'!$A$2:$F$201,2,FALSE),"Product not found"))</f>
        <v/>
      </c>
      <c r="D45" s="4" t="n"/>
      <c r="E45" s="5">
        <f>IF(D45="","",IFERROR(VLOOKUP(D45,'Items'!$A$2:$L$201,2,FALSE),"Item not found"))</f>
        <v/>
      </c>
      <c r="F45" s="9" t="n"/>
      <c r="G45" s="4" t="n"/>
      <c r="H45" s="10">
        <f>IF(OR(F45="",G45=""),"",IFERROR(F45*VLOOKUP(G45,'Units'!$A$2:$D$13,4,FALSE),""))</f>
        <v/>
      </c>
      <c r="I45" s="5">
        <f>IF(D45="","",IFERROR(VLOOKUP(D45,'Items'!$A$2:$L$201,4,FALSE),""))</f>
        <v/>
      </c>
      <c r="J45" s="10">
        <f>IF(D45="","",IFERROR(VLOOKUP(D45,'Items'!$A$2:$L$201,10,FALSE),""))</f>
        <v/>
      </c>
      <c r="K45" s="10">
        <f>IF(OR(H45="",J45=""),"",H45*J45)</f>
        <v/>
      </c>
      <c r="L45" s="5">
        <f>IF(AND(B45="",D45=""),"",IF(B45="","Missing product",IF(D45="","Missing item",IF(C45="Product not found","Product not found",IF(E45="Item not found","Item not found",IF(OR(F45="",G45=""),"Missing quantity/unit",IF(IFERROR(VLOOKUP(G45,'Units'!$A$2:$D$13,3,FALSE),"")&lt;&gt;I45,"Unit mismatch",IF(J45="","Enter item cost","OK"))))))))</f>
        <v/>
      </c>
      <c r="M45" s="4" t="n"/>
    </row>
    <row r="46">
      <c r="A46" s="5">
        <f>IF(AND(B46="",D46=""),"",ROW()-1)</f>
        <v/>
      </c>
      <c r="B46" s="4" t="n"/>
      <c r="C46" s="5">
        <f>IF(B46="","",IFERROR(VLOOKUP(B46,'Products'!$A$2:$F$201,2,FALSE),"Product not found"))</f>
        <v/>
      </c>
      <c r="D46" s="4" t="n"/>
      <c r="E46" s="5">
        <f>IF(D46="","",IFERROR(VLOOKUP(D46,'Items'!$A$2:$L$201,2,FALSE),"Item not found"))</f>
        <v/>
      </c>
      <c r="F46" s="9" t="n"/>
      <c r="G46" s="4" t="n"/>
      <c r="H46" s="10">
        <f>IF(OR(F46="",G46=""),"",IFERROR(F46*VLOOKUP(G46,'Units'!$A$2:$D$13,4,FALSE),""))</f>
        <v/>
      </c>
      <c r="I46" s="5">
        <f>IF(D46="","",IFERROR(VLOOKUP(D46,'Items'!$A$2:$L$201,4,FALSE),""))</f>
        <v/>
      </c>
      <c r="J46" s="10">
        <f>IF(D46="","",IFERROR(VLOOKUP(D46,'Items'!$A$2:$L$201,10,FALSE),""))</f>
        <v/>
      </c>
      <c r="K46" s="10">
        <f>IF(OR(H46="",J46=""),"",H46*J46)</f>
        <v/>
      </c>
      <c r="L46" s="5">
        <f>IF(AND(B46="",D46=""),"",IF(B46="","Missing product",IF(D46="","Missing item",IF(C46="Product not found","Product not found",IF(E46="Item not found","Item not found",IF(OR(F46="",G46=""),"Missing quantity/unit",IF(IFERROR(VLOOKUP(G46,'Units'!$A$2:$D$13,3,FALSE),"")&lt;&gt;I46,"Unit mismatch",IF(J46="","Enter item cost","OK"))))))))</f>
        <v/>
      </c>
      <c r="M46" s="4" t="n"/>
    </row>
    <row r="47">
      <c r="A47" s="5">
        <f>IF(AND(B47="",D47=""),"",ROW()-1)</f>
        <v/>
      </c>
      <c r="B47" s="4" t="n"/>
      <c r="C47" s="5">
        <f>IF(B47="","",IFERROR(VLOOKUP(B47,'Products'!$A$2:$F$201,2,FALSE),"Product not found"))</f>
        <v/>
      </c>
      <c r="D47" s="4" t="n"/>
      <c r="E47" s="5">
        <f>IF(D47="","",IFERROR(VLOOKUP(D47,'Items'!$A$2:$L$201,2,FALSE),"Item not found"))</f>
        <v/>
      </c>
      <c r="F47" s="9" t="n"/>
      <c r="G47" s="4" t="n"/>
      <c r="H47" s="10">
        <f>IF(OR(F47="",G47=""),"",IFERROR(F47*VLOOKUP(G47,'Units'!$A$2:$D$13,4,FALSE),""))</f>
        <v/>
      </c>
      <c r="I47" s="5">
        <f>IF(D47="","",IFERROR(VLOOKUP(D47,'Items'!$A$2:$L$201,4,FALSE),""))</f>
        <v/>
      </c>
      <c r="J47" s="10">
        <f>IF(D47="","",IFERROR(VLOOKUP(D47,'Items'!$A$2:$L$201,10,FALSE),""))</f>
        <v/>
      </c>
      <c r="K47" s="10">
        <f>IF(OR(H47="",J47=""),"",H47*J47)</f>
        <v/>
      </c>
      <c r="L47" s="5">
        <f>IF(AND(B47="",D47=""),"",IF(B47="","Missing product",IF(D47="","Missing item",IF(C47="Product not found","Product not found",IF(E47="Item not found","Item not found",IF(OR(F47="",G47=""),"Missing quantity/unit",IF(IFERROR(VLOOKUP(G47,'Units'!$A$2:$D$13,3,FALSE),"")&lt;&gt;I47,"Unit mismatch",IF(J47="","Enter item cost","OK"))))))))</f>
        <v/>
      </c>
      <c r="M47" s="4" t="n"/>
    </row>
    <row r="48">
      <c r="A48" s="5">
        <f>IF(AND(B48="",D48=""),"",ROW()-1)</f>
        <v/>
      </c>
      <c r="B48" s="4" t="n"/>
      <c r="C48" s="5">
        <f>IF(B48="","",IFERROR(VLOOKUP(B48,'Products'!$A$2:$F$201,2,FALSE),"Product not found"))</f>
        <v/>
      </c>
      <c r="D48" s="4" t="n"/>
      <c r="E48" s="5">
        <f>IF(D48="","",IFERROR(VLOOKUP(D48,'Items'!$A$2:$L$201,2,FALSE),"Item not found"))</f>
        <v/>
      </c>
      <c r="F48" s="9" t="n"/>
      <c r="G48" s="4" t="n"/>
      <c r="H48" s="10">
        <f>IF(OR(F48="",G48=""),"",IFERROR(F48*VLOOKUP(G48,'Units'!$A$2:$D$13,4,FALSE),""))</f>
        <v/>
      </c>
      <c r="I48" s="5">
        <f>IF(D48="","",IFERROR(VLOOKUP(D48,'Items'!$A$2:$L$201,4,FALSE),""))</f>
        <v/>
      </c>
      <c r="J48" s="10">
        <f>IF(D48="","",IFERROR(VLOOKUP(D48,'Items'!$A$2:$L$201,10,FALSE),""))</f>
        <v/>
      </c>
      <c r="K48" s="10">
        <f>IF(OR(H48="",J48=""),"",H48*J48)</f>
        <v/>
      </c>
      <c r="L48" s="5">
        <f>IF(AND(B48="",D48=""),"",IF(B48="","Missing product",IF(D48="","Missing item",IF(C48="Product not found","Product not found",IF(E48="Item not found","Item not found",IF(OR(F48="",G48=""),"Missing quantity/unit",IF(IFERROR(VLOOKUP(G48,'Units'!$A$2:$D$13,3,FALSE),"")&lt;&gt;I48,"Unit mismatch",IF(J48="","Enter item cost","OK"))))))))</f>
        <v/>
      </c>
      <c r="M48" s="4" t="n"/>
    </row>
    <row r="49">
      <c r="A49" s="5">
        <f>IF(AND(B49="",D49=""),"",ROW()-1)</f>
        <v/>
      </c>
      <c r="B49" s="4" t="n"/>
      <c r="C49" s="5">
        <f>IF(B49="","",IFERROR(VLOOKUP(B49,'Products'!$A$2:$F$201,2,FALSE),"Product not found"))</f>
        <v/>
      </c>
      <c r="D49" s="4" t="n"/>
      <c r="E49" s="5">
        <f>IF(D49="","",IFERROR(VLOOKUP(D49,'Items'!$A$2:$L$201,2,FALSE),"Item not found"))</f>
        <v/>
      </c>
      <c r="F49" s="9" t="n"/>
      <c r="G49" s="4" t="n"/>
      <c r="H49" s="10">
        <f>IF(OR(F49="",G49=""),"",IFERROR(F49*VLOOKUP(G49,'Units'!$A$2:$D$13,4,FALSE),""))</f>
        <v/>
      </c>
      <c r="I49" s="5">
        <f>IF(D49="","",IFERROR(VLOOKUP(D49,'Items'!$A$2:$L$201,4,FALSE),""))</f>
        <v/>
      </c>
      <c r="J49" s="10">
        <f>IF(D49="","",IFERROR(VLOOKUP(D49,'Items'!$A$2:$L$201,10,FALSE),""))</f>
        <v/>
      </c>
      <c r="K49" s="10">
        <f>IF(OR(H49="",J49=""),"",H49*J49)</f>
        <v/>
      </c>
      <c r="L49" s="5">
        <f>IF(AND(B49="",D49=""),"",IF(B49="","Missing product",IF(D49="","Missing item",IF(C49="Product not found","Product not found",IF(E49="Item not found","Item not found",IF(OR(F49="",G49=""),"Missing quantity/unit",IF(IFERROR(VLOOKUP(G49,'Units'!$A$2:$D$13,3,FALSE),"")&lt;&gt;I49,"Unit mismatch",IF(J49="","Enter item cost","OK"))))))))</f>
        <v/>
      </c>
      <c r="M49" s="4" t="n"/>
    </row>
    <row r="50">
      <c r="A50" s="5">
        <f>IF(AND(B50="",D50=""),"",ROW()-1)</f>
        <v/>
      </c>
      <c r="B50" s="4" t="n"/>
      <c r="C50" s="5">
        <f>IF(B50="","",IFERROR(VLOOKUP(B50,'Products'!$A$2:$F$201,2,FALSE),"Product not found"))</f>
        <v/>
      </c>
      <c r="D50" s="4" t="n"/>
      <c r="E50" s="5">
        <f>IF(D50="","",IFERROR(VLOOKUP(D50,'Items'!$A$2:$L$201,2,FALSE),"Item not found"))</f>
        <v/>
      </c>
      <c r="F50" s="9" t="n"/>
      <c r="G50" s="4" t="n"/>
      <c r="H50" s="10">
        <f>IF(OR(F50="",G50=""),"",IFERROR(F50*VLOOKUP(G50,'Units'!$A$2:$D$13,4,FALSE),""))</f>
        <v/>
      </c>
      <c r="I50" s="5">
        <f>IF(D50="","",IFERROR(VLOOKUP(D50,'Items'!$A$2:$L$201,4,FALSE),""))</f>
        <v/>
      </c>
      <c r="J50" s="10">
        <f>IF(D50="","",IFERROR(VLOOKUP(D50,'Items'!$A$2:$L$201,10,FALSE),""))</f>
        <v/>
      </c>
      <c r="K50" s="10">
        <f>IF(OR(H50="",J50=""),"",H50*J50)</f>
        <v/>
      </c>
      <c r="L50" s="5">
        <f>IF(AND(B50="",D50=""),"",IF(B50="","Missing product",IF(D50="","Missing item",IF(C50="Product not found","Product not found",IF(E50="Item not found","Item not found",IF(OR(F50="",G50=""),"Missing quantity/unit",IF(IFERROR(VLOOKUP(G50,'Units'!$A$2:$D$13,3,FALSE),"")&lt;&gt;I50,"Unit mismatch",IF(J50="","Enter item cost","OK"))))))))</f>
        <v/>
      </c>
      <c r="M50" s="4" t="n"/>
    </row>
    <row r="51">
      <c r="A51" s="5">
        <f>IF(AND(B51="",D51=""),"",ROW()-1)</f>
        <v/>
      </c>
      <c r="B51" s="4" t="n"/>
      <c r="C51" s="5">
        <f>IF(B51="","",IFERROR(VLOOKUP(B51,'Products'!$A$2:$F$201,2,FALSE),"Product not found"))</f>
        <v/>
      </c>
      <c r="D51" s="4" t="n"/>
      <c r="E51" s="5">
        <f>IF(D51="","",IFERROR(VLOOKUP(D51,'Items'!$A$2:$L$201,2,FALSE),"Item not found"))</f>
        <v/>
      </c>
      <c r="F51" s="9" t="n"/>
      <c r="G51" s="4" t="n"/>
      <c r="H51" s="10">
        <f>IF(OR(F51="",G51=""),"",IFERROR(F51*VLOOKUP(G51,'Units'!$A$2:$D$13,4,FALSE),""))</f>
        <v/>
      </c>
      <c r="I51" s="5">
        <f>IF(D51="","",IFERROR(VLOOKUP(D51,'Items'!$A$2:$L$201,4,FALSE),""))</f>
        <v/>
      </c>
      <c r="J51" s="10">
        <f>IF(D51="","",IFERROR(VLOOKUP(D51,'Items'!$A$2:$L$201,10,FALSE),""))</f>
        <v/>
      </c>
      <c r="K51" s="10">
        <f>IF(OR(H51="",J51=""),"",H51*J51)</f>
        <v/>
      </c>
      <c r="L51" s="5">
        <f>IF(AND(B51="",D51=""),"",IF(B51="","Missing product",IF(D51="","Missing item",IF(C51="Product not found","Product not found",IF(E51="Item not found","Item not found",IF(OR(F51="",G51=""),"Missing quantity/unit",IF(IFERROR(VLOOKUP(G51,'Units'!$A$2:$D$13,3,FALSE),"")&lt;&gt;I51,"Unit mismatch",IF(J51="","Enter item cost","OK"))))))))</f>
        <v/>
      </c>
      <c r="M51" s="4" t="n"/>
    </row>
    <row r="52">
      <c r="A52" s="5">
        <f>IF(AND(B52="",D52=""),"",ROW()-1)</f>
        <v/>
      </c>
      <c r="B52" s="4" t="n"/>
      <c r="C52" s="5">
        <f>IF(B52="","",IFERROR(VLOOKUP(B52,'Products'!$A$2:$F$201,2,FALSE),"Product not found"))</f>
        <v/>
      </c>
      <c r="D52" s="4" t="n"/>
      <c r="E52" s="5">
        <f>IF(D52="","",IFERROR(VLOOKUP(D52,'Items'!$A$2:$L$201,2,FALSE),"Item not found"))</f>
        <v/>
      </c>
      <c r="F52" s="9" t="n"/>
      <c r="G52" s="4" t="n"/>
      <c r="H52" s="10">
        <f>IF(OR(F52="",G52=""),"",IFERROR(F52*VLOOKUP(G52,'Units'!$A$2:$D$13,4,FALSE),""))</f>
        <v/>
      </c>
      <c r="I52" s="5">
        <f>IF(D52="","",IFERROR(VLOOKUP(D52,'Items'!$A$2:$L$201,4,FALSE),""))</f>
        <v/>
      </c>
      <c r="J52" s="10">
        <f>IF(D52="","",IFERROR(VLOOKUP(D52,'Items'!$A$2:$L$201,10,FALSE),""))</f>
        <v/>
      </c>
      <c r="K52" s="10">
        <f>IF(OR(H52="",J52=""),"",H52*J52)</f>
        <v/>
      </c>
      <c r="L52" s="5">
        <f>IF(AND(B52="",D52=""),"",IF(B52="","Missing product",IF(D52="","Missing item",IF(C52="Product not found","Product not found",IF(E52="Item not found","Item not found",IF(OR(F52="",G52=""),"Missing quantity/unit",IF(IFERROR(VLOOKUP(G52,'Units'!$A$2:$D$13,3,FALSE),"")&lt;&gt;I52,"Unit mismatch",IF(J52="","Enter item cost","OK"))))))))</f>
        <v/>
      </c>
      <c r="M52" s="4" t="n"/>
    </row>
    <row r="53">
      <c r="A53" s="5">
        <f>IF(AND(B53="",D53=""),"",ROW()-1)</f>
        <v/>
      </c>
      <c r="B53" s="4" t="n"/>
      <c r="C53" s="5">
        <f>IF(B53="","",IFERROR(VLOOKUP(B53,'Products'!$A$2:$F$201,2,FALSE),"Product not found"))</f>
        <v/>
      </c>
      <c r="D53" s="4" t="n"/>
      <c r="E53" s="5">
        <f>IF(D53="","",IFERROR(VLOOKUP(D53,'Items'!$A$2:$L$201,2,FALSE),"Item not found"))</f>
        <v/>
      </c>
      <c r="F53" s="9" t="n"/>
      <c r="G53" s="4" t="n"/>
      <c r="H53" s="10">
        <f>IF(OR(F53="",G53=""),"",IFERROR(F53*VLOOKUP(G53,'Units'!$A$2:$D$13,4,FALSE),""))</f>
        <v/>
      </c>
      <c r="I53" s="5">
        <f>IF(D53="","",IFERROR(VLOOKUP(D53,'Items'!$A$2:$L$201,4,FALSE),""))</f>
        <v/>
      </c>
      <c r="J53" s="10">
        <f>IF(D53="","",IFERROR(VLOOKUP(D53,'Items'!$A$2:$L$201,10,FALSE),""))</f>
        <v/>
      </c>
      <c r="K53" s="10">
        <f>IF(OR(H53="",J53=""),"",H53*J53)</f>
        <v/>
      </c>
      <c r="L53" s="5">
        <f>IF(AND(B53="",D53=""),"",IF(B53="","Missing product",IF(D53="","Missing item",IF(C53="Product not found","Product not found",IF(E53="Item not found","Item not found",IF(OR(F53="",G53=""),"Missing quantity/unit",IF(IFERROR(VLOOKUP(G53,'Units'!$A$2:$D$13,3,FALSE),"")&lt;&gt;I53,"Unit mismatch",IF(J53="","Enter item cost","OK"))))))))</f>
        <v/>
      </c>
      <c r="M53" s="4" t="n"/>
    </row>
    <row r="54">
      <c r="A54" s="5">
        <f>IF(AND(B54="",D54=""),"",ROW()-1)</f>
        <v/>
      </c>
      <c r="B54" s="4" t="n"/>
      <c r="C54" s="5">
        <f>IF(B54="","",IFERROR(VLOOKUP(B54,'Products'!$A$2:$F$201,2,FALSE),"Product not found"))</f>
        <v/>
      </c>
      <c r="D54" s="4" t="n"/>
      <c r="E54" s="5">
        <f>IF(D54="","",IFERROR(VLOOKUP(D54,'Items'!$A$2:$L$201,2,FALSE),"Item not found"))</f>
        <v/>
      </c>
      <c r="F54" s="9" t="n"/>
      <c r="G54" s="4" t="n"/>
      <c r="H54" s="10">
        <f>IF(OR(F54="",G54=""),"",IFERROR(F54*VLOOKUP(G54,'Units'!$A$2:$D$13,4,FALSE),""))</f>
        <v/>
      </c>
      <c r="I54" s="5">
        <f>IF(D54="","",IFERROR(VLOOKUP(D54,'Items'!$A$2:$L$201,4,FALSE),""))</f>
        <v/>
      </c>
      <c r="J54" s="10">
        <f>IF(D54="","",IFERROR(VLOOKUP(D54,'Items'!$A$2:$L$201,10,FALSE),""))</f>
        <v/>
      </c>
      <c r="K54" s="10">
        <f>IF(OR(H54="",J54=""),"",H54*J54)</f>
        <v/>
      </c>
      <c r="L54" s="5">
        <f>IF(AND(B54="",D54=""),"",IF(B54="","Missing product",IF(D54="","Missing item",IF(C54="Product not found","Product not found",IF(E54="Item not found","Item not found",IF(OR(F54="",G54=""),"Missing quantity/unit",IF(IFERROR(VLOOKUP(G54,'Units'!$A$2:$D$13,3,FALSE),"")&lt;&gt;I54,"Unit mismatch",IF(J54="","Enter item cost","OK"))))))))</f>
        <v/>
      </c>
      <c r="M54" s="4" t="n"/>
    </row>
    <row r="55">
      <c r="A55" s="5">
        <f>IF(AND(B55="",D55=""),"",ROW()-1)</f>
        <v/>
      </c>
      <c r="B55" s="4" t="n"/>
      <c r="C55" s="5">
        <f>IF(B55="","",IFERROR(VLOOKUP(B55,'Products'!$A$2:$F$201,2,FALSE),"Product not found"))</f>
        <v/>
      </c>
      <c r="D55" s="4" t="n"/>
      <c r="E55" s="5">
        <f>IF(D55="","",IFERROR(VLOOKUP(D55,'Items'!$A$2:$L$201,2,FALSE),"Item not found"))</f>
        <v/>
      </c>
      <c r="F55" s="9" t="n"/>
      <c r="G55" s="4" t="n"/>
      <c r="H55" s="10">
        <f>IF(OR(F55="",G55=""),"",IFERROR(F55*VLOOKUP(G55,'Units'!$A$2:$D$13,4,FALSE),""))</f>
        <v/>
      </c>
      <c r="I55" s="5">
        <f>IF(D55="","",IFERROR(VLOOKUP(D55,'Items'!$A$2:$L$201,4,FALSE),""))</f>
        <v/>
      </c>
      <c r="J55" s="10">
        <f>IF(D55="","",IFERROR(VLOOKUP(D55,'Items'!$A$2:$L$201,10,FALSE),""))</f>
        <v/>
      </c>
      <c r="K55" s="10">
        <f>IF(OR(H55="",J55=""),"",H55*J55)</f>
        <v/>
      </c>
      <c r="L55" s="5">
        <f>IF(AND(B55="",D55=""),"",IF(B55="","Missing product",IF(D55="","Missing item",IF(C55="Product not found","Product not found",IF(E55="Item not found","Item not found",IF(OR(F55="",G55=""),"Missing quantity/unit",IF(IFERROR(VLOOKUP(G55,'Units'!$A$2:$D$13,3,FALSE),"")&lt;&gt;I55,"Unit mismatch",IF(J55="","Enter item cost","OK"))))))))</f>
        <v/>
      </c>
      <c r="M55" s="4" t="n"/>
    </row>
    <row r="56">
      <c r="A56" s="5">
        <f>IF(AND(B56="",D56=""),"",ROW()-1)</f>
        <v/>
      </c>
      <c r="B56" s="4" t="n"/>
      <c r="C56" s="5">
        <f>IF(B56="","",IFERROR(VLOOKUP(B56,'Products'!$A$2:$F$201,2,FALSE),"Product not found"))</f>
        <v/>
      </c>
      <c r="D56" s="4" t="n"/>
      <c r="E56" s="5">
        <f>IF(D56="","",IFERROR(VLOOKUP(D56,'Items'!$A$2:$L$201,2,FALSE),"Item not found"))</f>
        <v/>
      </c>
      <c r="F56" s="9" t="n"/>
      <c r="G56" s="4" t="n"/>
      <c r="H56" s="10">
        <f>IF(OR(F56="",G56=""),"",IFERROR(F56*VLOOKUP(G56,'Units'!$A$2:$D$13,4,FALSE),""))</f>
        <v/>
      </c>
      <c r="I56" s="5">
        <f>IF(D56="","",IFERROR(VLOOKUP(D56,'Items'!$A$2:$L$201,4,FALSE),""))</f>
        <v/>
      </c>
      <c r="J56" s="10">
        <f>IF(D56="","",IFERROR(VLOOKUP(D56,'Items'!$A$2:$L$201,10,FALSE),""))</f>
        <v/>
      </c>
      <c r="K56" s="10">
        <f>IF(OR(H56="",J56=""),"",H56*J56)</f>
        <v/>
      </c>
      <c r="L56" s="5">
        <f>IF(AND(B56="",D56=""),"",IF(B56="","Missing product",IF(D56="","Missing item",IF(C56="Product not found","Product not found",IF(E56="Item not found","Item not found",IF(OR(F56="",G56=""),"Missing quantity/unit",IF(IFERROR(VLOOKUP(G56,'Units'!$A$2:$D$13,3,FALSE),"")&lt;&gt;I56,"Unit mismatch",IF(J56="","Enter item cost","OK"))))))))</f>
        <v/>
      </c>
      <c r="M56" s="4" t="n"/>
    </row>
    <row r="57">
      <c r="A57" s="5">
        <f>IF(AND(B57="",D57=""),"",ROW()-1)</f>
        <v/>
      </c>
      <c r="B57" s="4" t="n"/>
      <c r="C57" s="5">
        <f>IF(B57="","",IFERROR(VLOOKUP(B57,'Products'!$A$2:$F$201,2,FALSE),"Product not found"))</f>
        <v/>
      </c>
      <c r="D57" s="4" t="n"/>
      <c r="E57" s="5">
        <f>IF(D57="","",IFERROR(VLOOKUP(D57,'Items'!$A$2:$L$201,2,FALSE),"Item not found"))</f>
        <v/>
      </c>
      <c r="F57" s="9" t="n"/>
      <c r="G57" s="4" t="n"/>
      <c r="H57" s="10">
        <f>IF(OR(F57="",G57=""),"",IFERROR(F57*VLOOKUP(G57,'Units'!$A$2:$D$13,4,FALSE),""))</f>
        <v/>
      </c>
      <c r="I57" s="5">
        <f>IF(D57="","",IFERROR(VLOOKUP(D57,'Items'!$A$2:$L$201,4,FALSE),""))</f>
        <v/>
      </c>
      <c r="J57" s="10">
        <f>IF(D57="","",IFERROR(VLOOKUP(D57,'Items'!$A$2:$L$201,10,FALSE),""))</f>
        <v/>
      </c>
      <c r="K57" s="10">
        <f>IF(OR(H57="",J57=""),"",H57*J57)</f>
        <v/>
      </c>
      <c r="L57" s="5">
        <f>IF(AND(B57="",D57=""),"",IF(B57="","Missing product",IF(D57="","Missing item",IF(C57="Product not found","Product not found",IF(E57="Item not found","Item not found",IF(OR(F57="",G57=""),"Missing quantity/unit",IF(IFERROR(VLOOKUP(G57,'Units'!$A$2:$D$13,3,FALSE),"")&lt;&gt;I57,"Unit mismatch",IF(J57="","Enter item cost","OK"))))))))</f>
        <v/>
      </c>
      <c r="M57" s="4" t="n"/>
    </row>
    <row r="58">
      <c r="A58" s="5">
        <f>IF(AND(B58="",D58=""),"",ROW()-1)</f>
        <v/>
      </c>
      <c r="B58" s="4" t="n"/>
      <c r="C58" s="5">
        <f>IF(B58="","",IFERROR(VLOOKUP(B58,'Products'!$A$2:$F$201,2,FALSE),"Product not found"))</f>
        <v/>
      </c>
      <c r="D58" s="4" t="n"/>
      <c r="E58" s="5">
        <f>IF(D58="","",IFERROR(VLOOKUP(D58,'Items'!$A$2:$L$201,2,FALSE),"Item not found"))</f>
        <v/>
      </c>
      <c r="F58" s="9" t="n"/>
      <c r="G58" s="4" t="n"/>
      <c r="H58" s="10">
        <f>IF(OR(F58="",G58=""),"",IFERROR(F58*VLOOKUP(G58,'Units'!$A$2:$D$13,4,FALSE),""))</f>
        <v/>
      </c>
      <c r="I58" s="5">
        <f>IF(D58="","",IFERROR(VLOOKUP(D58,'Items'!$A$2:$L$201,4,FALSE),""))</f>
        <v/>
      </c>
      <c r="J58" s="10">
        <f>IF(D58="","",IFERROR(VLOOKUP(D58,'Items'!$A$2:$L$201,10,FALSE),""))</f>
        <v/>
      </c>
      <c r="K58" s="10">
        <f>IF(OR(H58="",J58=""),"",H58*J58)</f>
        <v/>
      </c>
      <c r="L58" s="5">
        <f>IF(AND(B58="",D58=""),"",IF(B58="","Missing product",IF(D58="","Missing item",IF(C58="Product not found","Product not found",IF(E58="Item not found","Item not found",IF(OR(F58="",G58=""),"Missing quantity/unit",IF(IFERROR(VLOOKUP(G58,'Units'!$A$2:$D$13,3,FALSE),"")&lt;&gt;I58,"Unit mismatch",IF(J58="","Enter item cost","OK"))))))))</f>
        <v/>
      </c>
      <c r="M58" s="4" t="n"/>
    </row>
    <row r="59">
      <c r="A59" s="5">
        <f>IF(AND(B59="",D59=""),"",ROW()-1)</f>
        <v/>
      </c>
      <c r="B59" s="4" t="n"/>
      <c r="C59" s="5">
        <f>IF(B59="","",IFERROR(VLOOKUP(B59,'Products'!$A$2:$F$201,2,FALSE),"Product not found"))</f>
        <v/>
      </c>
      <c r="D59" s="4" t="n"/>
      <c r="E59" s="5">
        <f>IF(D59="","",IFERROR(VLOOKUP(D59,'Items'!$A$2:$L$201,2,FALSE),"Item not found"))</f>
        <v/>
      </c>
      <c r="F59" s="9" t="n"/>
      <c r="G59" s="4" t="n"/>
      <c r="H59" s="10">
        <f>IF(OR(F59="",G59=""),"",IFERROR(F59*VLOOKUP(G59,'Units'!$A$2:$D$13,4,FALSE),""))</f>
        <v/>
      </c>
      <c r="I59" s="5">
        <f>IF(D59="","",IFERROR(VLOOKUP(D59,'Items'!$A$2:$L$201,4,FALSE),""))</f>
        <v/>
      </c>
      <c r="J59" s="10">
        <f>IF(D59="","",IFERROR(VLOOKUP(D59,'Items'!$A$2:$L$201,10,FALSE),""))</f>
        <v/>
      </c>
      <c r="K59" s="10">
        <f>IF(OR(H59="",J59=""),"",H59*J59)</f>
        <v/>
      </c>
      <c r="L59" s="5">
        <f>IF(AND(B59="",D59=""),"",IF(B59="","Missing product",IF(D59="","Missing item",IF(C59="Product not found","Product not found",IF(E59="Item not found","Item not found",IF(OR(F59="",G59=""),"Missing quantity/unit",IF(IFERROR(VLOOKUP(G59,'Units'!$A$2:$D$13,3,FALSE),"")&lt;&gt;I59,"Unit mismatch",IF(J59="","Enter item cost","OK"))))))))</f>
        <v/>
      </c>
      <c r="M59" s="4" t="n"/>
    </row>
    <row r="60">
      <c r="A60" s="5">
        <f>IF(AND(B60="",D60=""),"",ROW()-1)</f>
        <v/>
      </c>
      <c r="B60" s="4" t="n"/>
      <c r="C60" s="5">
        <f>IF(B60="","",IFERROR(VLOOKUP(B60,'Products'!$A$2:$F$201,2,FALSE),"Product not found"))</f>
        <v/>
      </c>
      <c r="D60" s="4" t="n"/>
      <c r="E60" s="5">
        <f>IF(D60="","",IFERROR(VLOOKUP(D60,'Items'!$A$2:$L$201,2,FALSE),"Item not found"))</f>
        <v/>
      </c>
      <c r="F60" s="9" t="n"/>
      <c r="G60" s="4" t="n"/>
      <c r="H60" s="10">
        <f>IF(OR(F60="",G60=""),"",IFERROR(F60*VLOOKUP(G60,'Units'!$A$2:$D$13,4,FALSE),""))</f>
        <v/>
      </c>
      <c r="I60" s="5">
        <f>IF(D60="","",IFERROR(VLOOKUP(D60,'Items'!$A$2:$L$201,4,FALSE),""))</f>
        <v/>
      </c>
      <c r="J60" s="10">
        <f>IF(D60="","",IFERROR(VLOOKUP(D60,'Items'!$A$2:$L$201,10,FALSE),""))</f>
        <v/>
      </c>
      <c r="K60" s="10">
        <f>IF(OR(H60="",J60=""),"",H60*J60)</f>
        <v/>
      </c>
      <c r="L60" s="5">
        <f>IF(AND(B60="",D60=""),"",IF(B60="","Missing product",IF(D60="","Missing item",IF(C60="Product not found","Product not found",IF(E60="Item not found","Item not found",IF(OR(F60="",G60=""),"Missing quantity/unit",IF(IFERROR(VLOOKUP(G60,'Units'!$A$2:$D$13,3,FALSE),"")&lt;&gt;I60,"Unit mismatch",IF(J60="","Enter item cost","OK"))))))))</f>
        <v/>
      </c>
      <c r="M60" s="4" t="n"/>
    </row>
    <row r="61">
      <c r="A61" s="5">
        <f>IF(AND(B61="",D61=""),"",ROW()-1)</f>
        <v/>
      </c>
      <c r="B61" s="4" t="n"/>
      <c r="C61" s="5">
        <f>IF(B61="","",IFERROR(VLOOKUP(B61,'Products'!$A$2:$F$201,2,FALSE),"Product not found"))</f>
        <v/>
      </c>
      <c r="D61" s="4" t="n"/>
      <c r="E61" s="5">
        <f>IF(D61="","",IFERROR(VLOOKUP(D61,'Items'!$A$2:$L$201,2,FALSE),"Item not found"))</f>
        <v/>
      </c>
      <c r="F61" s="9" t="n"/>
      <c r="G61" s="4" t="n"/>
      <c r="H61" s="10">
        <f>IF(OR(F61="",G61=""),"",IFERROR(F61*VLOOKUP(G61,'Units'!$A$2:$D$13,4,FALSE),""))</f>
        <v/>
      </c>
      <c r="I61" s="5">
        <f>IF(D61="","",IFERROR(VLOOKUP(D61,'Items'!$A$2:$L$201,4,FALSE),""))</f>
        <v/>
      </c>
      <c r="J61" s="10">
        <f>IF(D61="","",IFERROR(VLOOKUP(D61,'Items'!$A$2:$L$201,10,FALSE),""))</f>
        <v/>
      </c>
      <c r="K61" s="10">
        <f>IF(OR(H61="",J61=""),"",H61*J61)</f>
        <v/>
      </c>
      <c r="L61" s="5">
        <f>IF(AND(B61="",D61=""),"",IF(B61="","Missing product",IF(D61="","Missing item",IF(C61="Product not found","Product not found",IF(E61="Item not found","Item not found",IF(OR(F61="",G61=""),"Missing quantity/unit",IF(IFERROR(VLOOKUP(G61,'Units'!$A$2:$D$13,3,FALSE),"")&lt;&gt;I61,"Unit mismatch",IF(J61="","Enter item cost","OK"))))))))</f>
        <v/>
      </c>
      <c r="M61" s="4" t="n"/>
    </row>
    <row r="62">
      <c r="A62" s="5">
        <f>IF(AND(B62="",D62=""),"",ROW()-1)</f>
        <v/>
      </c>
      <c r="B62" s="4" t="n"/>
      <c r="C62" s="5">
        <f>IF(B62="","",IFERROR(VLOOKUP(B62,'Products'!$A$2:$F$201,2,FALSE),"Product not found"))</f>
        <v/>
      </c>
      <c r="D62" s="4" t="n"/>
      <c r="E62" s="5">
        <f>IF(D62="","",IFERROR(VLOOKUP(D62,'Items'!$A$2:$L$201,2,FALSE),"Item not found"))</f>
        <v/>
      </c>
      <c r="F62" s="9" t="n"/>
      <c r="G62" s="4" t="n"/>
      <c r="H62" s="10">
        <f>IF(OR(F62="",G62=""),"",IFERROR(F62*VLOOKUP(G62,'Units'!$A$2:$D$13,4,FALSE),""))</f>
        <v/>
      </c>
      <c r="I62" s="5">
        <f>IF(D62="","",IFERROR(VLOOKUP(D62,'Items'!$A$2:$L$201,4,FALSE),""))</f>
        <v/>
      </c>
      <c r="J62" s="10">
        <f>IF(D62="","",IFERROR(VLOOKUP(D62,'Items'!$A$2:$L$201,10,FALSE),""))</f>
        <v/>
      </c>
      <c r="K62" s="10">
        <f>IF(OR(H62="",J62=""),"",H62*J62)</f>
        <v/>
      </c>
      <c r="L62" s="5">
        <f>IF(AND(B62="",D62=""),"",IF(B62="","Missing product",IF(D62="","Missing item",IF(C62="Product not found","Product not found",IF(E62="Item not found","Item not found",IF(OR(F62="",G62=""),"Missing quantity/unit",IF(IFERROR(VLOOKUP(G62,'Units'!$A$2:$D$13,3,FALSE),"")&lt;&gt;I62,"Unit mismatch",IF(J62="","Enter item cost","OK"))))))))</f>
        <v/>
      </c>
      <c r="M62" s="4" t="n"/>
    </row>
    <row r="63">
      <c r="A63" s="5">
        <f>IF(AND(B63="",D63=""),"",ROW()-1)</f>
        <v/>
      </c>
      <c r="B63" s="4" t="n"/>
      <c r="C63" s="5">
        <f>IF(B63="","",IFERROR(VLOOKUP(B63,'Products'!$A$2:$F$201,2,FALSE),"Product not found"))</f>
        <v/>
      </c>
      <c r="D63" s="4" t="n"/>
      <c r="E63" s="5">
        <f>IF(D63="","",IFERROR(VLOOKUP(D63,'Items'!$A$2:$L$201,2,FALSE),"Item not found"))</f>
        <v/>
      </c>
      <c r="F63" s="9" t="n"/>
      <c r="G63" s="4" t="n"/>
      <c r="H63" s="10">
        <f>IF(OR(F63="",G63=""),"",IFERROR(F63*VLOOKUP(G63,'Units'!$A$2:$D$13,4,FALSE),""))</f>
        <v/>
      </c>
      <c r="I63" s="5">
        <f>IF(D63="","",IFERROR(VLOOKUP(D63,'Items'!$A$2:$L$201,4,FALSE),""))</f>
        <v/>
      </c>
      <c r="J63" s="10">
        <f>IF(D63="","",IFERROR(VLOOKUP(D63,'Items'!$A$2:$L$201,10,FALSE),""))</f>
        <v/>
      </c>
      <c r="K63" s="10">
        <f>IF(OR(H63="",J63=""),"",H63*J63)</f>
        <v/>
      </c>
      <c r="L63" s="5">
        <f>IF(AND(B63="",D63=""),"",IF(B63="","Missing product",IF(D63="","Missing item",IF(C63="Product not found","Product not found",IF(E63="Item not found","Item not found",IF(OR(F63="",G63=""),"Missing quantity/unit",IF(IFERROR(VLOOKUP(G63,'Units'!$A$2:$D$13,3,FALSE),"")&lt;&gt;I63,"Unit mismatch",IF(J63="","Enter item cost","OK"))))))))</f>
        <v/>
      </c>
      <c r="M63" s="4" t="n"/>
    </row>
    <row r="64">
      <c r="A64" s="5">
        <f>IF(AND(B64="",D64=""),"",ROW()-1)</f>
        <v/>
      </c>
      <c r="B64" s="4" t="n"/>
      <c r="C64" s="5">
        <f>IF(B64="","",IFERROR(VLOOKUP(B64,'Products'!$A$2:$F$201,2,FALSE),"Product not found"))</f>
        <v/>
      </c>
      <c r="D64" s="4" t="n"/>
      <c r="E64" s="5">
        <f>IF(D64="","",IFERROR(VLOOKUP(D64,'Items'!$A$2:$L$201,2,FALSE),"Item not found"))</f>
        <v/>
      </c>
      <c r="F64" s="9" t="n"/>
      <c r="G64" s="4" t="n"/>
      <c r="H64" s="10">
        <f>IF(OR(F64="",G64=""),"",IFERROR(F64*VLOOKUP(G64,'Units'!$A$2:$D$13,4,FALSE),""))</f>
        <v/>
      </c>
      <c r="I64" s="5">
        <f>IF(D64="","",IFERROR(VLOOKUP(D64,'Items'!$A$2:$L$201,4,FALSE),""))</f>
        <v/>
      </c>
      <c r="J64" s="10">
        <f>IF(D64="","",IFERROR(VLOOKUP(D64,'Items'!$A$2:$L$201,10,FALSE),""))</f>
        <v/>
      </c>
      <c r="K64" s="10">
        <f>IF(OR(H64="",J64=""),"",H64*J64)</f>
        <v/>
      </c>
      <c r="L64" s="5">
        <f>IF(AND(B64="",D64=""),"",IF(B64="","Missing product",IF(D64="","Missing item",IF(C64="Product not found","Product not found",IF(E64="Item not found","Item not found",IF(OR(F64="",G64=""),"Missing quantity/unit",IF(IFERROR(VLOOKUP(G64,'Units'!$A$2:$D$13,3,FALSE),"")&lt;&gt;I64,"Unit mismatch",IF(J64="","Enter item cost","OK"))))))))</f>
        <v/>
      </c>
      <c r="M64" s="4" t="n"/>
    </row>
    <row r="65">
      <c r="A65" s="5">
        <f>IF(AND(B65="",D65=""),"",ROW()-1)</f>
        <v/>
      </c>
      <c r="B65" s="4" t="n"/>
      <c r="C65" s="5">
        <f>IF(B65="","",IFERROR(VLOOKUP(B65,'Products'!$A$2:$F$201,2,FALSE),"Product not found"))</f>
        <v/>
      </c>
      <c r="D65" s="4" t="n"/>
      <c r="E65" s="5">
        <f>IF(D65="","",IFERROR(VLOOKUP(D65,'Items'!$A$2:$L$201,2,FALSE),"Item not found"))</f>
        <v/>
      </c>
      <c r="F65" s="9" t="n"/>
      <c r="G65" s="4" t="n"/>
      <c r="H65" s="10">
        <f>IF(OR(F65="",G65=""),"",IFERROR(F65*VLOOKUP(G65,'Units'!$A$2:$D$13,4,FALSE),""))</f>
        <v/>
      </c>
      <c r="I65" s="5">
        <f>IF(D65="","",IFERROR(VLOOKUP(D65,'Items'!$A$2:$L$201,4,FALSE),""))</f>
        <v/>
      </c>
      <c r="J65" s="10">
        <f>IF(D65="","",IFERROR(VLOOKUP(D65,'Items'!$A$2:$L$201,10,FALSE),""))</f>
        <v/>
      </c>
      <c r="K65" s="10">
        <f>IF(OR(H65="",J65=""),"",H65*J65)</f>
        <v/>
      </c>
      <c r="L65" s="5">
        <f>IF(AND(B65="",D65=""),"",IF(B65="","Missing product",IF(D65="","Missing item",IF(C65="Product not found","Product not found",IF(E65="Item not found","Item not found",IF(OR(F65="",G65=""),"Missing quantity/unit",IF(IFERROR(VLOOKUP(G65,'Units'!$A$2:$D$13,3,FALSE),"")&lt;&gt;I65,"Unit mismatch",IF(J65="","Enter item cost","OK"))))))))</f>
        <v/>
      </c>
      <c r="M65" s="4" t="n"/>
    </row>
    <row r="66">
      <c r="A66" s="5">
        <f>IF(AND(B66="",D66=""),"",ROW()-1)</f>
        <v/>
      </c>
      <c r="B66" s="4" t="n"/>
      <c r="C66" s="5">
        <f>IF(B66="","",IFERROR(VLOOKUP(B66,'Products'!$A$2:$F$201,2,FALSE),"Product not found"))</f>
        <v/>
      </c>
      <c r="D66" s="4" t="n"/>
      <c r="E66" s="5">
        <f>IF(D66="","",IFERROR(VLOOKUP(D66,'Items'!$A$2:$L$201,2,FALSE),"Item not found"))</f>
        <v/>
      </c>
      <c r="F66" s="9" t="n"/>
      <c r="G66" s="4" t="n"/>
      <c r="H66" s="10">
        <f>IF(OR(F66="",G66=""),"",IFERROR(F66*VLOOKUP(G66,'Units'!$A$2:$D$13,4,FALSE),""))</f>
        <v/>
      </c>
      <c r="I66" s="5">
        <f>IF(D66="","",IFERROR(VLOOKUP(D66,'Items'!$A$2:$L$201,4,FALSE),""))</f>
        <v/>
      </c>
      <c r="J66" s="10">
        <f>IF(D66="","",IFERROR(VLOOKUP(D66,'Items'!$A$2:$L$201,10,FALSE),""))</f>
        <v/>
      </c>
      <c r="K66" s="10">
        <f>IF(OR(H66="",J66=""),"",H66*J66)</f>
        <v/>
      </c>
      <c r="L66" s="5">
        <f>IF(AND(B66="",D66=""),"",IF(B66="","Missing product",IF(D66="","Missing item",IF(C66="Product not found","Product not found",IF(E66="Item not found","Item not found",IF(OR(F66="",G66=""),"Missing quantity/unit",IF(IFERROR(VLOOKUP(G66,'Units'!$A$2:$D$13,3,FALSE),"")&lt;&gt;I66,"Unit mismatch",IF(J66="","Enter item cost","OK"))))))))</f>
        <v/>
      </c>
      <c r="M66" s="4" t="n"/>
    </row>
    <row r="67">
      <c r="A67" s="5">
        <f>IF(AND(B67="",D67=""),"",ROW()-1)</f>
        <v/>
      </c>
      <c r="B67" s="4" t="n"/>
      <c r="C67" s="5">
        <f>IF(B67="","",IFERROR(VLOOKUP(B67,'Products'!$A$2:$F$201,2,FALSE),"Product not found"))</f>
        <v/>
      </c>
      <c r="D67" s="4" t="n"/>
      <c r="E67" s="5">
        <f>IF(D67="","",IFERROR(VLOOKUP(D67,'Items'!$A$2:$L$201,2,FALSE),"Item not found"))</f>
        <v/>
      </c>
      <c r="F67" s="9" t="n"/>
      <c r="G67" s="4" t="n"/>
      <c r="H67" s="10">
        <f>IF(OR(F67="",G67=""),"",IFERROR(F67*VLOOKUP(G67,'Units'!$A$2:$D$13,4,FALSE),""))</f>
        <v/>
      </c>
      <c r="I67" s="5">
        <f>IF(D67="","",IFERROR(VLOOKUP(D67,'Items'!$A$2:$L$201,4,FALSE),""))</f>
        <v/>
      </c>
      <c r="J67" s="10">
        <f>IF(D67="","",IFERROR(VLOOKUP(D67,'Items'!$A$2:$L$201,10,FALSE),""))</f>
        <v/>
      </c>
      <c r="K67" s="10">
        <f>IF(OR(H67="",J67=""),"",H67*J67)</f>
        <v/>
      </c>
      <c r="L67" s="5">
        <f>IF(AND(B67="",D67=""),"",IF(B67="","Missing product",IF(D67="","Missing item",IF(C67="Product not found","Product not found",IF(E67="Item not found","Item not found",IF(OR(F67="",G67=""),"Missing quantity/unit",IF(IFERROR(VLOOKUP(G67,'Units'!$A$2:$D$13,3,FALSE),"")&lt;&gt;I67,"Unit mismatch",IF(J67="","Enter item cost","OK"))))))))</f>
        <v/>
      </c>
      <c r="M67" s="4" t="n"/>
    </row>
    <row r="68">
      <c r="A68" s="5">
        <f>IF(AND(B68="",D68=""),"",ROW()-1)</f>
        <v/>
      </c>
      <c r="B68" s="4" t="n"/>
      <c r="C68" s="5">
        <f>IF(B68="","",IFERROR(VLOOKUP(B68,'Products'!$A$2:$F$201,2,FALSE),"Product not found"))</f>
        <v/>
      </c>
      <c r="D68" s="4" t="n"/>
      <c r="E68" s="5">
        <f>IF(D68="","",IFERROR(VLOOKUP(D68,'Items'!$A$2:$L$201,2,FALSE),"Item not found"))</f>
        <v/>
      </c>
      <c r="F68" s="9" t="n"/>
      <c r="G68" s="4" t="n"/>
      <c r="H68" s="10">
        <f>IF(OR(F68="",G68=""),"",IFERROR(F68*VLOOKUP(G68,'Units'!$A$2:$D$13,4,FALSE),""))</f>
        <v/>
      </c>
      <c r="I68" s="5">
        <f>IF(D68="","",IFERROR(VLOOKUP(D68,'Items'!$A$2:$L$201,4,FALSE),""))</f>
        <v/>
      </c>
      <c r="J68" s="10">
        <f>IF(D68="","",IFERROR(VLOOKUP(D68,'Items'!$A$2:$L$201,10,FALSE),""))</f>
        <v/>
      </c>
      <c r="K68" s="10">
        <f>IF(OR(H68="",J68=""),"",H68*J68)</f>
        <v/>
      </c>
      <c r="L68" s="5">
        <f>IF(AND(B68="",D68=""),"",IF(B68="","Missing product",IF(D68="","Missing item",IF(C68="Product not found","Product not found",IF(E68="Item not found","Item not found",IF(OR(F68="",G68=""),"Missing quantity/unit",IF(IFERROR(VLOOKUP(G68,'Units'!$A$2:$D$13,3,FALSE),"")&lt;&gt;I68,"Unit mismatch",IF(J68="","Enter item cost","OK"))))))))</f>
        <v/>
      </c>
      <c r="M68" s="4" t="n"/>
    </row>
    <row r="69">
      <c r="A69" s="5">
        <f>IF(AND(B69="",D69=""),"",ROW()-1)</f>
        <v/>
      </c>
      <c r="B69" s="4" t="n"/>
      <c r="C69" s="5">
        <f>IF(B69="","",IFERROR(VLOOKUP(B69,'Products'!$A$2:$F$201,2,FALSE),"Product not found"))</f>
        <v/>
      </c>
      <c r="D69" s="4" t="n"/>
      <c r="E69" s="5">
        <f>IF(D69="","",IFERROR(VLOOKUP(D69,'Items'!$A$2:$L$201,2,FALSE),"Item not found"))</f>
        <v/>
      </c>
      <c r="F69" s="9" t="n"/>
      <c r="G69" s="4" t="n"/>
      <c r="H69" s="10">
        <f>IF(OR(F69="",G69=""),"",IFERROR(F69*VLOOKUP(G69,'Units'!$A$2:$D$13,4,FALSE),""))</f>
        <v/>
      </c>
      <c r="I69" s="5">
        <f>IF(D69="","",IFERROR(VLOOKUP(D69,'Items'!$A$2:$L$201,4,FALSE),""))</f>
        <v/>
      </c>
      <c r="J69" s="10">
        <f>IF(D69="","",IFERROR(VLOOKUP(D69,'Items'!$A$2:$L$201,10,FALSE),""))</f>
        <v/>
      </c>
      <c r="K69" s="10">
        <f>IF(OR(H69="",J69=""),"",H69*J69)</f>
        <v/>
      </c>
      <c r="L69" s="5">
        <f>IF(AND(B69="",D69=""),"",IF(B69="","Missing product",IF(D69="","Missing item",IF(C69="Product not found","Product not found",IF(E69="Item not found","Item not found",IF(OR(F69="",G69=""),"Missing quantity/unit",IF(IFERROR(VLOOKUP(G69,'Units'!$A$2:$D$13,3,FALSE),"")&lt;&gt;I69,"Unit mismatch",IF(J69="","Enter item cost","OK"))))))))</f>
        <v/>
      </c>
      <c r="M69" s="4" t="n"/>
    </row>
    <row r="70">
      <c r="A70" s="5">
        <f>IF(AND(B70="",D70=""),"",ROW()-1)</f>
        <v/>
      </c>
      <c r="B70" s="4" t="n"/>
      <c r="C70" s="5">
        <f>IF(B70="","",IFERROR(VLOOKUP(B70,'Products'!$A$2:$F$201,2,FALSE),"Product not found"))</f>
        <v/>
      </c>
      <c r="D70" s="4" t="n"/>
      <c r="E70" s="5">
        <f>IF(D70="","",IFERROR(VLOOKUP(D70,'Items'!$A$2:$L$201,2,FALSE),"Item not found"))</f>
        <v/>
      </c>
      <c r="F70" s="9" t="n"/>
      <c r="G70" s="4" t="n"/>
      <c r="H70" s="10">
        <f>IF(OR(F70="",G70=""),"",IFERROR(F70*VLOOKUP(G70,'Units'!$A$2:$D$13,4,FALSE),""))</f>
        <v/>
      </c>
      <c r="I70" s="5">
        <f>IF(D70="","",IFERROR(VLOOKUP(D70,'Items'!$A$2:$L$201,4,FALSE),""))</f>
        <v/>
      </c>
      <c r="J70" s="10">
        <f>IF(D70="","",IFERROR(VLOOKUP(D70,'Items'!$A$2:$L$201,10,FALSE),""))</f>
        <v/>
      </c>
      <c r="K70" s="10">
        <f>IF(OR(H70="",J70=""),"",H70*J70)</f>
        <v/>
      </c>
      <c r="L70" s="5">
        <f>IF(AND(B70="",D70=""),"",IF(B70="","Missing product",IF(D70="","Missing item",IF(C70="Product not found","Product not found",IF(E70="Item not found","Item not found",IF(OR(F70="",G70=""),"Missing quantity/unit",IF(IFERROR(VLOOKUP(G70,'Units'!$A$2:$D$13,3,FALSE),"")&lt;&gt;I70,"Unit mismatch",IF(J70="","Enter item cost","OK"))))))))</f>
        <v/>
      </c>
      <c r="M70" s="4" t="n"/>
    </row>
    <row r="71">
      <c r="A71" s="5">
        <f>IF(AND(B71="",D71=""),"",ROW()-1)</f>
        <v/>
      </c>
      <c r="B71" s="4" t="n"/>
      <c r="C71" s="5">
        <f>IF(B71="","",IFERROR(VLOOKUP(B71,'Products'!$A$2:$F$201,2,FALSE),"Product not found"))</f>
        <v/>
      </c>
      <c r="D71" s="4" t="n"/>
      <c r="E71" s="5">
        <f>IF(D71="","",IFERROR(VLOOKUP(D71,'Items'!$A$2:$L$201,2,FALSE),"Item not found"))</f>
        <v/>
      </c>
      <c r="F71" s="9" t="n"/>
      <c r="G71" s="4" t="n"/>
      <c r="H71" s="10">
        <f>IF(OR(F71="",G71=""),"",IFERROR(F71*VLOOKUP(G71,'Units'!$A$2:$D$13,4,FALSE),""))</f>
        <v/>
      </c>
      <c r="I71" s="5">
        <f>IF(D71="","",IFERROR(VLOOKUP(D71,'Items'!$A$2:$L$201,4,FALSE),""))</f>
        <v/>
      </c>
      <c r="J71" s="10">
        <f>IF(D71="","",IFERROR(VLOOKUP(D71,'Items'!$A$2:$L$201,10,FALSE),""))</f>
        <v/>
      </c>
      <c r="K71" s="10">
        <f>IF(OR(H71="",J71=""),"",H71*J71)</f>
        <v/>
      </c>
      <c r="L71" s="5">
        <f>IF(AND(B71="",D71=""),"",IF(B71="","Missing product",IF(D71="","Missing item",IF(C71="Product not found","Product not found",IF(E71="Item not found","Item not found",IF(OR(F71="",G71=""),"Missing quantity/unit",IF(IFERROR(VLOOKUP(G71,'Units'!$A$2:$D$13,3,FALSE),"")&lt;&gt;I71,"Unit mismatch",IF(J71="","Enter item cost","OK"))))))))</f>
        <v/>
      </c>
      <c r="M71" s="4" t="n"/>
    </row>
    <row r="72">
      <c r="A72" s="5">
        <f>IF(AND(B72="",D72=""),"",ROW()-1)</f>
        <v/>
      </c>
      <c r="B72" s="4" t="n"/>
      <c r="C72" s="5">
        <f>IF(B72="","",IFERROR(VLOOKUP(B72,'Products'!$A$2:$F$201,2,FALSE),"Product not found"))</f>
        <v/>
      </c>
      <c r="D72" s="4" t="n"/>
      <c r="E72" s="5">
        <f>IF(D72="","",IFERROR(VLOOKUP(D72,'Items'!$A$2:$L$201,2,FALSE),"Item not found"))</f>
        <v/>
      </c>
      <c r="F72" s="9" t="n"/>
      <c r="G72" s="4" t="n"/>
      <c r="H72" s="10">
        <f>IF(OR(F72="",G72=""),"",IFERROR(F72*VLOOKUP(G72,'Units'!$A$2:$D$13,4,FALSE),""))</f>
        <v/>
      </c>
      <c r="I72" s="5">
        <f>IF(D72="","",IFERROR(VLOOKUP(D72,'Items'!$A$2:$L$201,4,FALSE),""))</f>
        <v/>
      </c>
      <c r="J72" s="10">
        <f>IF(D72="","",IFERROR(VLOOKUP(D72,'Items'!$A$2:$L$201,10,FALSE),""))</f>
        <v/>
      </c>
      <c r="K72" s="10">
        <f>IF(OR(H72="",J72=""),"",H72*J72)</f>
        <v/>
      </c>
      <c r="L72" s="5">
        <f>IF(AND(B72="",D72=""),"",IF(B72="","Missing product",IF(D72="","Missing item",IF(C72="Product not found","Product not found",IF(E72="Item not found","Item not found",IF(OR(F72="",G72=""),"Missing quantity/unit",IF(IFERROR(VLOOKUP(G72,'Units'!$A$2:$D$13,3,FALSE),"")&lt;&gt;I72,"Unit mismatch",IF(J72="","Enter item cost","OK"))))))))</f>
        <v/>
      </c>
      <c r="M72" s="4" t="n"/>
    </row>
    <row r="73">
      <c r="A73" s="5">
        <f>IF(AND(B73="",D73=""),"",ROW()-1)</f>
        <v/>
      </c>
      <c r="B73" s="4" t="n"/>
      <c r="C73" s="5">
        <f>IF(B73="","",IFERROR(VLOOKUP(B73,'Products'!$A$2:$F$201,2,FALSE),"Product not found"))</f>
        <v/>
      </c>
      <c r="D73" s="4" t="n"/>
      <c r="E73" s="5">
        <f>IF(D73="","",IFERROR(VLOOKUP(D73,'Items'!$A$2:$L$201,2,FALSE),"Item not found"))</f>
        <v/>
      </c>
      <c r="F73" s="9" t="n"/>
      <c r="G73" s="4" t="n"/>
      <c r="H73" s="10">
        <f>IF(OR(F73="",G73=""),"",IFERROR(F73*VLOOKUP(G73,'Units'!$A$2:$D$13,4,FALSE),""))</f>
        <v/>
      </c>
      <c r="I73" s="5">
        <f>IF(D73="","",IFERROR(VLOOKUP(D73,'Items'!$A$2:$L$201,4,FALSE),""))</f>
        <v/>
      </c>
      <c r="J73" s="10">
        <f>IF(D73="","",IFERROR(VLOOKUP(D73,'Items'!$A$2:$L$201,10,FALSE),""))</f>
        <v/>
      </c>
      <c r="K73" s="10">
        <f>IF(OR(H73="",J73=""),"",H73*J73)</f>
        <v/>
      </c>
      <c r="L73" s="5">
        <f>IF(AND(B73="",D73=""),"",IF(B73="","Missing product",IF(D73="","Missing item",IF(C73="Product not found","Product not found",IF(E73="Item not found","Item not found",IF(OR(F73="",G73=""),"Missing quantity/unit",IF(IFERROR(VLOOKUP(G73,'Units'!$A$2:$D$13,3,FALSE),"")&lt;&gt;I73,"Unit mismatch",IF(J73="","Enter item cost","OK"))))))))</f>
        <v/>
      </c>
      <c r="M73" s="4" t="n"/>
    </row>
    <row r="74">
      <c r="A74" s="5">
        <f>IF(AND(B74="",D74=""),"",ROW()-1)</f>
        <v/>
      </c>
      <c r="B74" s="4" t="n"/>
      <c r="C74" s="5">
        <f>IF(B74="","",IFERROR(VLOOKUP(B74,'Products'!$A$2:$F$201,2,FALSE),"Product not found"))</f>
        <v/>
      </c>
      <c r="D74" s="4" t="n"/>
      <c r="E74" s="5">
        <f>IF(D74="","",IFERROR(VLOOKUP(D74,'Items'!$A$2:$L$201,2,FALSE),"Item not found"))</f>
        <v/>
      </c>
      <c r="F74" s="9" t="n"/>
      <c r="G74" s="4" t="n"/>
      <c r="H74" s="10">
        <f>IF(OR(F74="",G74=""),"",IFERROR(F74*VLOOKUP(G74,'Units'!$A$2:$D$13,4,FALSE),""))</f>
        <v/>
      </c>
      <c r="I74" s="5">
        <f>IF(D74="","",IFERROR(VLOOKUP(D74,'Items'!$A$2:$L$201,4,FALSE),""))</f>
        <v/>
      </c>
      <c r="J74" s="10">
        <f>IF(D74="","",IFERROR(VLOOKUP(D74,'Items'!$A$2:$L$201,10,FALSE),""))</f>
        <v/>
      </c>
      <c r="K74" s="10">
        <f>IF(OR(H74="",J74=""),"",H74*J74)</f>
        <v/>
      </c>
      <c r="L74" s="5">
        <f>IF(AND(B74="",D74=""),"",IF(B74="","Missing product",IF(D74="","Missing item",IF(C74="Product not found","Product not found",IF(E74="Item not found","Item not found",IF(OR(F74="",G74=""),"Missing quantity/unit",IF(IFERROR(VLOOKUP(G74,'Units'!$A$2:$D$13,3,FALSE),"")&lt;&gt;I74,"Unit mismatch",IF(J74="","Enter item cost","OK"))))))))</f>
        <v/>
      </c>
      <c r="M74" s="4" t="n"/>
    </row>
    <row r="75">
      <c r="A75" s="5">
        <f>IF(AND(B75="",D75=""),"",ROW()-1)</f>
        <v/>
      </c>
      <c r="B75" s="4" t="n"/>
      <c r="C75" s="5">
        <f>IF(B75="","",IFERROR(VLOOKUP(B75,'Products'!$A$2:$F$201,2,FALSE),"Product not found"))</f>
        <v/>
      </c>
      <c r="D75" s="4" t="n"/>
      <c r="E75" s="5">
        <f>IF(D75="","",IFERROR(VLOOKUP(D75,'Items'!$A$2:$L$201,2,FALSE),"Item not found"))</f>
        <v/>
      </c>
      <c r="F75" s="9" t="n"/>
      <c r="G75" s="4" t="n"/>
      <c r="H75" s="10">
        <f>IF(OR(F75="",G75=""),"",IFERROR(F75*VLOOKUP(G75,'Units'!$A$2:$D$13,4,FALSE),""))</f>
        <v/>
      </c>
      <c r="I75" s="5">
        <f>IF(D75="","",IFERROR(VLOOKUP(D75,'Items'!$A$2:$L$201,4,FALSE),""))</f>
        <v/>
      </c>
      <c r="J75" s="10">
        <f>IF(D75="","",IFERROR(VLOOKUP(D75,'Items'!$A$2:$L$201,10,FALSE),""))</f>
        <v/>
      </c>
      <c r="K75" s="10">
        <f>IF(OR(H75="",J75=""),"",H75*J75)</f>
        <v/>
      </c>
      <c r="L75" s="5">
        <f>IF(AND(B75="",D75=""),"",IF(B75="","Missing product",IF(D75="","Missing item",IF(C75="Product not found","Product not found",IF(E75="Item not found","Item not found",IF(OR(F75="",G75=""),"Missing quantity/unit",IF(IFERROR(VLOOKUP(G75,'Units'!$A$2:$D$13,3,FALSE),"")&lt;&gt;I75,"Unit mismatch",IF(J75="","Enter item cost","OK"))))))))</f>
        <v/>
      </c>
      <c r="M75" s="4" t="n"/>
    </row>
    <row r="76">
      <c r="A76" s="5">
        <f>IF(AND(B76="",D76=""),"",ROW()-1)</f>
        <v/>
      </c>
      <c r="B76" s="4" t="n"/>
      <c r="C76" s="5">
        <f>IF(B76="","",IFERROR(VLOOKUP(B76,'Products'!$A$2:$F$201,2,FALSE),"Product not found"))</f>
        <v/>
      </c>
      <c r="D76" s="4" t="n"/>
      <c r="E76" s="5">
        <f>IF(D76="","",IFERROR(VLOOKUP(D76,'Items'!$A$2:$L$201,2,FALSE),"Item not found"))</f>
        <v/>
      </c>
      <c r="F76" s="9" t="n"/>
      <c r="G76" s="4" t="n"/>
      <c r="H76" s="10">
        <f>IF(OR(F76="",G76=""),"",IFERROR(F76*VLOOKUP(G76,'Units'!$A$2:$D$13,4,FALSE),""))</f>
        <v/>
      </c>
      <c r="I76" s="5">
        <f>IF(D76="","",IFERROR(VLOOKUP(D76,'Items'!$A$2:$L$201,4,FALSE),""))</f>
        <v/>
      </c>
      <c r="J76" s="10">
        <f>IF(D76="","",IFERROR(VLOOKUP(D76,'Items'!$A$2:$L$201,10,FALSE),""))</f>
        <v/>
      </c>
      <c r="K76" s="10">
        <f>IF(OR(H76="",J76=""),"",H76*J76)</f>
        <v/>
      </c>
      <c r="L76" s="5">
        <f>IF(AND(B76="",D76=""),"",IF(B76="","Missing product",IF(D76="","Missing item",IF(C76="Product not found","Product not found",IF(E76="Item not found","Item not found",IF(OR(F76="",G76=""),"Missing quantity/unit",IF(IFERROR(VLOOKUP(G76,'Units'!$A$2:$D$13,3,FALSE),"")&lt;&gt;I76,"Unit mismatch",IF(J76="","Enter item cost","OK"))))))))</f>
        <v/>
      </c>
      <c r="M76" s="4" t="n"/>
    </row>
    <row r="77">
      <c r="A77" s="5">
        <f>IF(AND(B77="",D77=""),"",ROW()-1)</f>
        <v/>
      </c>
      <c r="B77" s="4" t="n"/>
      <c r="C77" s="5">
        <f>IF(B77="","",IFERROR(VLOOKUP(B77,'Products'!$A$2:$F$201,2,FALSE),"Product not found"))</f>
        <v/>
      </c>
      <c r="D77" s="4" t="n"/>
      <c r="E77" s="5">
        <f>IF(D77="","",IFERROR(VLOOKUP(D77,'Items'!$A$2:$L$201,2,FALSE),"Item not found"))</f>
        <v/>
      </c>
      <c r="F77" s="9" t="n"/>
      <c r="G77" s="4" t="n"/>
      <c r="H77" s="10">
        <f>IF(OR(F77="",G77=""),"",IFERROR(F77*VLOOKUP(G77,'Units'!$A$2:$D$13,4,FALSE),""))</f>
        <v/>
      </c>
      <c r="I77" s="5">
        <f>IF(D77="","",IFERROR(VLOOKUP(D77,'Items'!$A$2:$L$201,4,FALSE),""))</f>
        <v/>
      </c>
      <c r="J77" s="10">
        <f>IF(D77="","",IFERROR(VLOOKUP(D77,'Items'!$A$2:$L$201,10,FALSE),""))</f>
        <v/>
      </c>
      <c r="K77" s="10">
        <f>IF(OR(H77="",J77=""),"",H77*J77)</f>
        <v/>
      </c>
      <c r="L77" s="5">
        <f>IF(AND(B77="",D77=""),"",IF(B77="","Missing product",IF(D77="","Missing item",IF(C77="Product not found","Product not found",IF(E77="Item not found","Item not found",IF(OR(F77="",G77=""),"Missing quantity/unit",IF(IFERROR(VLOOKUP(G77,'Units'!$A$2:$D$13,3,FALSE),"")&lt;&gt;I77,"Unit mismatch",IF(J77="","Enter item cost","OK"))))))))</f>
        <v/>
      </c>
      <c r="M77" s="4" t="n"/>
    </row>
    <row r="78">
      <c r="A78" s="5">
        <f>IF(AND(B78="",D78=""),"",ROW()-1)</f>
        <v/>
      </c>
      <c r="B78" s="4" t="n"/>
      <c r="C78" s="5">
        <f>IF(B78="","",IFERROR(VLOOKUP(B78,'Products'!$A$2:$F$201,2,FALSE),"Product not found"))</f>
        <v/>
      </c>
      <c r="D78" s="4" t="n"/>
      <c r="E78" s="5">
        <f>IF(D78="","",IFERROR(VLOOKUP(D78,'Items'!$A$2:$L$201,2,FALSE),"Item not found"))</f>
        <v/>
      </c>
      <c r="F78" s="9" t="n"/>
      <c r="G78" s="4" t="n"/>
      <c r="H78" s="10">
        <f>IF(OR(F78="",G78=""),"",IFERROR(F78*VLOOKUP(G78,'Units'!$A$2:$D$13,4,FALSE),""))</f>
        <v/>
      </c>
      <c r="I78" s="5">
        <f>IF(D78="","",IFERROR(VLOOKUP(D78,'Items'!$A$2:$L$201,4,FALSE),""))</f>
        <v/>
      </c>
      <c r="J78" s="10">
        <f>IF(D78="","",IFERROR(VLOOKUP(D78,'Items'!$A$2:$L$201,10,FALSE),""))</f>
        <v/>
      </c>
      <c r="K78" s="10">
        <f>IF(OR(H78="",J78=""),"",H78*J78)</f>
        <v/>
      </c>
      <c r="L78" s="5">
        <f>IF(AND(B78="",D78=""),"",IF(B78="","Missing product",IF(D78="","Missing item",IF(C78="Product not found","Product not found",IF(E78="Item not found","Item not found",IF(OR(F78="",G78=""),"Missing quantity/unit",IF(IFERROR(VLOOKUP(G78,'Units'!$A$2:$D$13,3,FALSE),"")&lt;&gt;I78,"Unit mismatch",IF(J78="","Enter item cost","OK"))))))))</f>
        <v/>
      </c>
      <c r="M78" s="4" t="n"/>
    </row>
    <row r="79">
      <c r="A79" s="5">
        <f>IF(AND(B79="",D79=""),"",ROW()-1)</f>
        <v/>
      </c>
      <c r="B79" s="4" t="n"/>
      <c r="C79" s="5">
        <f>IF(B79="","",IFERROR(VLOOKUP(B79,'Products'!$A$2:$F$201,2,FALSE),"Product not found"))</f>
        <v/>
      </c>
      <c r="D79" s="4" t="n"/>
      <c r="E79" s="5">
        <f>IF(D79="","",IFERROR(VLOOKUP(D79,'Items'!$A$2:$L$201,2,FALSE),"Item not found"))</f>
        <v/>
      </c>
      <c r="F79" s="9" t="n"/>
      <c r="G79" s="4" t="n"/>
      <c r="H79" s="10">
        <f>IF(OR(F79="",G79=""),"",IFERROR(F79*VLOOKUP(G79,'Units'!$A$2:$D$13,4,FALSE),""))</f>
        <v/>
      </c>
      <c r="I79" s="5">
        <f>IF(D79="","",IFERROR(VLOOKUP(D79,'Items'!$A$2:$L$201,4,FALSE),""))</f>
        <v/>
      </c>
      <c r="J79" s="10">
        <f>IF(D79="","",IFERROR(VLOOKUP(D79,'Items'!$A$2:$L$201,10,FALSE),""))</f>
        <v/>
      </c>
      <c r="K79" s="10">
        <f>IF(OR(H79="",J79=""),"",H79*J79)</f>
        <v/>
      </c>
      <c r="L79" s="5">
        <f>IF(AND(B79="",D79=""),"",IF(B79="","Missing product",IF(D79="","Missing item",IF(C79="Product not found","Product not found",IF(E79="Item not found","Item not found",IF(OR(F79="",G79=""),"Missing quantity/unit",IF(IFERROR(VLOOKUP(G79,'Units'!$A$2:$D$13,3,FALSE),"")&lt;&gt;I79,"Unit mismatch",IF(J79="","Enter item cost","OK"))))))))</f>
        <v/>
      </c>
      <c r="M79" s="4" t="n"/>
    </row>
    <row r="80">
      <c r="A80" s="5">
        <f>IF(AND(B80="",D80=""),"",ROW()-1)</f>
        <v/>
      </c>
      <c r="B80" s="4" t="n"/>
      <c r="C80" s="5">
        <f>IF(B80="","",IFERROR(VLOOKUP(B80,'Products'!$A$2:$F$201,2,FALSE),"Product not found"))</f>
        <v/>
      </c>
      <c r="D80" s="4" t="n"/>
      <c r="E80" s="5">
        <f>IF(D80="","",IFERROR(VLOOKUP(D80,'Items'!$A$2:$L$201,2,FALSE),"Item not found"))</f>
        <v/>
      </c>
      <c r="F80" s="9" t="n"/>
      <c r="G80" s="4" t="n"/>
      <c r="H80" s="10">
        <f>IF(OR(F80="",G80=""),"",IFERROR(F80*VLOOKUP(G80,'Units'!$A$2:$D$13,4,FALSE),""))</f>
        <v/>
      </c>
      <c r="I80" s="5">
        <f>IF(D80="","",IFERROR(VLOOKUP(D80,'Items'!$A$2:$L$201,4,FALSE),""))</f>
        <v/>
      </c>
      <c r="J80" s="10">
        <f>IF(D80="","",IFERROR(VLOOKUP(D80,'Items'!$A$2:$L$201,10,FALSE),""))</f>
        <v/>
      </c>
      <c r="K80" s="10">
        <f>IF(OR(H80="",J80=""),"",H80*J80)</f>
        <v/>
      </c>
      <c r="L80" s="5">
        <f>IF(AND(B80="",D80=""),"",IF(B80="","Missing product",IF(D80="","Missing item",IF(C80="Product not found","Product not found",IF(E80="Item not found","Item not found",IF(OR(F80="",G80=""),"Missing quantity/unit",IF(IFERROR(VLOOKUP(G80,'Units'!$A$2:$D$13,3,FALSE),"")&lt;&gt;I80,"Unit mismatch",IF(J80="","Enter item cost","OK"))))))))</f>
        <v/>
      </c>
      <c r="M80" s="4" t="n"/>
    </row>
    <row r="81">
      <c r="A81" s="5">
        <f>IF(AND(B81="",D81=""),"",ROW()-1)</f>
        <v/>
      </c>
      <c r="B81" s="4" t="n"/>
      <c r="C81" s="5">
        <f>IF(B81="","",IFERROR(VLOOKUP(B81,'Products'!$A$2:$F$201,2,FALSE),"Product not found"))</f>
        <v/>
      </c>
      <c r="D81" s="4" t="n"/>
      <c r="E81" s="5">
        <f>IF(D81="","",IFERROR(VLOOKUP(D81,'Items'!$A$2:$L$201,2,FALSE),"Item not found"))</f>
        <v/>
      </c>
      <c r="F81" s="9" t="n"/>
      <c r="G81" s="4" t="n"/>
      <c r="H81" s="10">
        <f>IF(OR(F81="",G81=""),"",IFERROR(F81*VLOOKUP(G81,'Units'!$A$2:$D$13,4,FALSE),""))</f>
        <v/>
      </c>
      <c r="I81" s="5">
        <f>IF(D81="","",IFERROR(VLOOKUP(D81,'Items'!$A$2:$L$201,4,FALSE),""))</f>
        <v/>
      </c>
      <c r="J81" s="10">
        <f>IF(D81="","",IFERROR(VLOOKUP(D81,'Items'!$A$2:$L$201,10,FALSE),""))</f>
        <v/>
      </c>
      <c r="K81" s="10">
        <f>IF(OR(H81="",J81=""),"",H81*J81)</f>
        <v/>
      </c>
      <c r="L81" s="5">
        <f>IF(AND(B81="",D81=""),"",IF(B81="","Missing product",IF(D81="","Missing item",IF(C81="Product not found","Product not found",IF(E81="Item not found","Item not found",IF(OR(F81="",G81=""),"Missing quantity/unit",IF(IFERROR(VLOOKUP(G81,'Units'!$A$2:$D$13,3,FALSE),"")&lt;&gt;I81,"Unit mismatch",IF(J81="","Enter item cost","OK"))))))))</f>
        <v/>
      </c>
      <c r="M81" s="4" t="n"/>
    </row>
    <row r="82">
      <c r="A82" s="5">
        <f>IF(AND(B82="",D82=""),"",ROW()-1)</f>
        <v/>
      </c>
      <c r="B82" s="4" t="n"/>
      <c r="C82" s="5">
        <f>IF(B82="","",IFERROR(VLOOKUP(B82,'Products'!$A$2:$F$201,2,FALSE),"Product not found"))</f>
        <v/>
      </c>
      <c r="D82" s="4" t="n"/>
      <c r="E82" s="5">
        <f>IF(D82="","",IFERROR(VLOOKUP(D82,'Items'!$A$2:$L$201,2,FALSE),"Item not found"))</f>
        <v/>
      </c>
      <c r="F82" s="9" t="n"/>
      <c r="G82" s="4" t="n"/>
      <c r="H82" s="10">
        <f>IF(OR(F82="",G82=""),"",IFERROR(F82*VLOOKUP(G82,'Units'!$A$2:$D$13,4,FALSE),""))</f>
        <v/>
      </c>
      <c r="I82" s="5">
        <f>IF(D82="","",IFERROR(VLOOKUP(D82,'Items'!$A$2:$L$201,4,FALSE),""))</f>
        <v/>
      </c>
      <c r="J82" s="10">
        <f>IF(D82="","",IFERROR(VLOOKUP(D82,'Items'!$A$2:$L$201,10,FALSE),""))</f>
        <v/>
      </c>
      <c r="K82" s="10">
        <f>IF(OR(H82="",J82=""),"",H82*J82)</f>
        <v/>
      </c>
      <c r="L82" s="5">
        <f>IF(AND(B82="",D82=""),"",IF(B82="","Missing product",IF(D82="","Missing item",IF(C82="Product not found","Product not found",IF(E82="Item not found","Item not found",IF(OR(F82="",G82=""),"Missing quantity/unit",IF(IFERROR(VLOOKUP(G82,'Units'!$A$2:$D$13,3,FALSE),"")&lt;&gt;I82,"Unit mismatch",IF(J82="","Enter item cost","OK"))))))))</f>
        <v/>
      </c>
      <c r="M82" s="4" t="n"/>
    </row>
    <row r="83">
      <c r="A83" s="5">
        <f>IF(AND(B83="",D83=""),"",ROW()-1)</f>
        <v/>
      </c>
      <c r="B83" s="4" t="n"/>
      <c r="C83" s="5">
        <f>IF(B83="","",IFERROR(VLOOKUP(B83,'Products'!$A$2:$F$201,2,FALSE),"Product not found"))</f>
        <v/>
      </c>
      <c r="D83" s="4" t="n"/>
      <c r="E83" s="5">
        <f>IF(D83="","",IFERROR(VLOOKUP(D83,'Items'!$A$2:$L$201,2,FALSE),"Item not found"))</f>
        <v/>
      </c>
      <c r="F83" s="9" t="n"/>
      <c r="G83" s="4" t="n"/>
      <c r="H83" s="10">
        <f>IF(OR(F83="",G83=""),"",IFERROR(F83*VLOOKUP(G83,'Units'!$A$2:$D$13,4,FALSE),""))</f>
        <v/>
      </c>
      <c r="I83" s="5">
        <f>IF(D83="","",IFERROR(VLOOKUP(D83,'Items'!$A$2:$L$201,4,FALSE),""))</f>
        <v/>
      </c>
      <c r="J83" s="10">
        <f>IF(D83="","",IFERROR(VLOOKUP(D83,'Items'!$A$2:$L$201,10,FALSE),""))</f>
        <v/>
      </c>
      <c r="K83" s="10">
        <f>IF(OR(H83="",J83=""),"",H83*J83)</f>
        <v/>
      </c>
      <c r="L83" s="5">
        <f>IF(AND(B83="",D83=""),"",IF(B83="","Missing product",IF(D83="","Missing item",IF(C83="Product not found","Product not found",IF(E83="Item not found","Item not found",IF(OR(F83="",G83=""),"Missing quantity/unit",IF(IFERROR(VLOOKUP(G83,'Units'!$A$2:$D$13,3,FALSE),"")&lt;&gt;I83,"Unit mismatch",IF(J83="","Enter item cost","OK"))))))))</f>
        <v/>
      </c>
      <c r="M83" s="4" t="n"/>
    </row>
    <row r="84">
      <c r="A84" s="5">
        <f>IF(AND(B84="",D84=""),"",ROW()-1)</f>
        <v/>
      </c>
      <c r="B84" s="4" t="n"/>
      <c r="C84" s="5">
        <f>IF(B84="","",IFERROR(VLOOKUP(B84,'Products'!$A$2:$F$201,2,FALSE),"Product not found"))</f>
        <v/>
      </c>
      <c r="D84" s="4" t="n"/>
      <c r="E84" s="5">
        <f>IF(D84="","",IFERROR(VLOOKUP(D84,'Items'!$A$2:$L$201,2,FALSE),"Item not found"))</f>
        <v/>
      </c>
      <c r="F84" s="9" t="n"/>
      <c r="G84" s="4" t="n"/>
      <c r="H84" s="10">
        <f>IF(OR(F84="",G84=""),"",IFERROR(F84*VLOOKUP(G84,'Units'!$A$2:$D$13,4,FALSE),""))</f>
        <v/>
      </c>
      <c r="I84" s="5">
        <f>IF(D84="","",IFERROR(VLOOKUP(D84,'Items'!$A$2:$L$201,4,FALSE),""))</f>
        <v/>
      </c>
      <c r="J84" s="10">
        <f>IF(D84="","",IFERROR(VLOOKUP(D84,'Items'!$A$2:$L$201,10,FALSE),""))</f>
        <v/>
      </c>
      <c r="K84" s="10">
        <f>IF(OR(H84="",J84=""),"",H84*J84)</f>
        <v/>
      </c>
      <c r="L84" s="5">
        <f>IF(AND(B84="",D84=""),"",IF(B84="","Missing product",IF(D84="","Missing item",IF(C84="Product not found","Product not found",IF(E84="Item not found","Item not found",IF(OR(F84="",G84=""),"Missing quantity/unit",IF(IFERROR(VLOOKUP(G84,'Units'!$A$2:$D$13,3,FALSE),"")&lt;&gt;I84,"Unit mismatch",IF(J84="","Enter item cost","OK"))))))))</f>
        <v/>
      </c>
      <c r="M84" s="4" t="n"/>
    </row>
    <row r="85">
      <c r="A85" s="5">
        <f>IF(AND(B85="",D85=""),"",ROW()-1)</f>
        <v/>
      </c>
      <c r="B85" s="4" t="n"/>
      <c r="C85" s="5">
        <f>IF(B85="","",IFERROR(VLOOKUP(B85,'Products'!$A$2:$F$201,2,FALSE),"Product not found"))</f>
        <v/>
      </c>
      <c r="D85" s="4" t="n"/>
      <c r="E85" s="5">
        <f>IF(D85="","",IFERROR(VLOOKUP(D85,'Items'!$A$2:$L$201,2,FALSE),"Item not found"))</f>
        <v/>
      </c>
      <c r="F85" s="9" t="n"/>
      <c r="G85" s="4" t="n"/>
      <c r="H85" s="10">
        <f>IF(OR(F85="",G85=""),"",IFERROR(F85*VLOOKUP(G85,'Units'!$A$2:$D$13,4,FALSE),""))</f>
        <v/>
      </c>
      <c r="I85" s="5">
        <f>IF(D85="","",IFERROR(VLOOKUP(D85,'Items'!$A$2:$L$201,4,FALSE),""))</f>
        <v/>
      </c>
      <c r="J85" s="10">
        <f>IF(D85="","",IFERROR(VLOOKUP(D85,'Items'!$A$2:$L$201,10,FALSE),""))</f>
        <v/>
      </c>
      <c r="K85" s="10">
        <f>IF(OR(H85="",J85=""),"",H85*J85)</f>
        <v/>
      </c>
      <c r="L85" s="5">
        <f>IF(AND(B85="",D85=""),"",IF(B85="","Missing product",IF(D85="","Missing item",IF(C85="Product not found","Product not found",IF(E85="Item not found","Item not found",IF(OR(F85="",G85=""),"Missing quantity/unit",IF(IFERROR(VLOOKUP(G85,'Units'!$A$2:$D$13,3,FALSE),"")&lt;&gt;I85,"Unit mismatch",IF(J85="","Enter item cost","OK"))))))))</f>
        <v/>
      </c>
      <c r="M85" s="4" t="n"/>
    </row>
    <row r="86">
      <c r="A86" s="5">
        <f>IF(AND(B86="",D86=""),"",ROW()-1)</f>
        <v/>
      </c>
      <c r="B86" s="4" t="n"/>
      <c r="C86" s="5">
        <f>IF(B86="","",IFERROR(VLOOKUP(B86,'Products'!$A$2:$F$201,2,FALSE),"Product not found"))</f>
        <v/>
      </c>
      <c r="D86" s="4" t="n"/>
      <c r="E86" s="5">
        <f>IF(D86="","",IFERROR(VLOOKUP(D86,'Items'!$A$2:$L$201,2,FALSE),"Item not found"))</f>
        <v/>
      </c>
      <c r="F86" s="9" t="n"/>
      <c r="G86" s="4" t="n"/>
      <c r="H86" s="10">
        <f>IF(OR(F86="",G86=""),"",IFERROR(F86*VLOOKUP(G86,'Units'!$A$2:$D$13,4,FALSE),""))</f>
        <v/>
      </c>
      <c r="I86" s="5">
        <f>IF(D86="","",IFERROR(VLOOKUP(D86,'Items'!$A$2:$L$201,4,FALSE),""))</f>
        <v/>
      </c>
      <c r="J86" s="10">
        <f>IF(D86="","",IFERROR(VLOOKUP(D86,'Items'!$A$2:$L$201,10,FALSE),""))</f>
        <v/>
      </c>
      <c r="K86" s="10">
        <f>IF(OR(H86="",J86=""),"",H86*J86)</f>
        <v/>
      </c>
      <c r="L86" s="5">
        <f>IF(AND(B86="",D86=""),"",IF(B86="","Missing product",IF(D86="","Missing item",IF(C86="Product not found","Product not found",IF(E86="Item not found","Item not found",IF(OR(F86="",G86=""),"Missing quantity/unit",IF(IFERROR(VLOOKUP(G86,'Units'!$A$2:$D$13,3,FALSE),"")&lt;&gt;I86,"Unit mismatch",IF(J86="","Enter item cost","OK"))))))))</f>
        <v/>
      </c>
      <c r="M86" s="4" t="n"/>
    </row>
    <row r="87">
      <c r="A87" s="5">
        <f>IF(AND(B87="",D87=""),"",ROW()-1)</f>
        <v/>
      </c>
      <c r="B87" s="4" t="n"/>
      <c r="C87" s="5">
        <f>IF(B87="","",IFERROR(VLOOKUP(B87,'Products'!$A$2:$F$201,2,FALSE),"Product not found"))</f>
        <v/>
      </c>
      <c r="D87" s="4" t="n"/>
      <c r="E87" s="5">
        <f>IF(D87="","",IFERROR(VLOOKUP(D87,'Items'!$A$2:$L$201,2,FALSE),"Item not found"))</f>
        <v/>
      </c>
      <c r="F87" s="9" t="n"/>
      <c r="G87" s="4" t="n"/>
      <c r="H87" s="10">
        <f>IF(OR(F87="",G87=""),"",IFERROR(F87*VLOOKUP(G87,'Units'!$A$2:$D$13,4,FALSE),""))</f>
        <v/>
      </c>
      <c r="I87" s="5">
        <f>IF(D87="","",IFERROR(VLOOKUP(D87,'Items'!$A$2:$L$201,4,FALSE),""))</f>
        <v/>
      </c>
      <c r="J87" s="10">
        <f>IF(D87="","",IFERROR(VLOOKUP(D87,'Items'!$A$2:$L$201,10,FALSE),""))</f>
        <v/>
      </c>
      <c r="K87" s="10">
        <f>IF(OR(H87="",J87=""),"",H87*J87)</f>
        <v/>
      </c>
      <c r="L87" s="5">
        <f>IF(AND(B87="",D87=""),"",IF(B87="","Missing product",IF(D87="","Missing item",IF(C87="Product not found","Product not found",IF(E87="Item not found","Item not found",IF(OR(F87="",G87=""),"Missing quantity/unit",IF(IFERROR(VLOOKUP(G87,'Units'!$A$2:$D$13,3,FALSE),"")&lt;&gt;I87,"Unit mismatch",IF(J87="","Enter item cost","OK"))))))))</f>
        <v/>
      </c>
      <c r="M87" s="4" t="n"/>
    </row>
    <row r="88">
      <c r="A88" s="5">
        <f>IF(AND(B88="",D88=""),"",ROW()-1)</f>
        <v/>
      </c>
      <c r="B88" s="4" t="n"/>
      <c r="C88" s="5">
        <f>IF(B88="","",IFERROR(VLOOKUP(B88,'Products'!$A$2:$F$201,2,FALSE),"Product not found"))</f>
        <v/>
      </c>
      <c r="D88" s="4" t="n"/>
      <c r="E88" s="5">
        <f>IF(D88="","",IFERROR(VLOOKUP(D88,'Items'!$A$2:$L$201,2,FALSE),"Item not found"))</f>
        <v/>
      </c>
      <c r="F88" s="9" t="n"/>
      <c r="G88" s="4" t="n"/>
      <c r="H88" s="10">
        <f>IF(OR(F88="",G88=""),"",IFERROR(F88*VLOOKUP(G88,'Units'!$A$2:$D$13,4,FALSE),""))</f>
        <v/>
      </c>
      <c r="I88" s="5">
        <f>IF(D88="","",IFERROR(VLOOKUP(D88,'Items'!$A$2:$L$201,4,FALSE),""))</f>
        <v/>
      </c>
      <c r="J88" s="10">
        <f>IF(D88="","",IFERROR(VLOOKUP(D88,'Items'!$A$2:$L$201,10,FALSE),""))</f>
        <v/>
      </c>
      <c r="K88" s="10">
        <f>IF(OR(H88="",J88=""),"",H88*J88)</f>
        <v/>
      </c>
      <c r="L88" s="5">
        <f>IF(AND(B88="",D88=""),"",IF(B88="","Missing product",IF(D88="","Missing item",IF(C88="Product not found","Product not found",IF(E88="Item not found","Item not found",IF(OR(F88="",G88=""),"Missing quantity/unit",IF(IFERROR(VLOOKUP(G88,'Units'!$A$2:$D$13,3,FALSE),"")&lt;&gt;I88,"Unit mismatch",IF(J88="","Enter item cost","OK"))))))))</f>
        <v/>
      </c>
      <c r="M88" s="4" t="n"/>
    </row>
    <row r="89">
      <c r="A89" s="5">
        <f>IF(AND(B89="",D89=""),"",ROW()-1)</f>
        <v/>
      </c>
      <c r="B89" s="4" t="n"/>
      <c r="C89" s="5">
        <f>IF(B89="","",IFERROR(VLOOKUP(B89,'Products'!$A$2:$F$201,2,FALSE),"Product not found"))</f>
        <v/>
      </c>
      <c r="D89" s="4" t="n"/>
      <c r="E89" s="5">
        <f>IF(D89="","",IFERROR(VLOOKUP(D89,'Items'!$A$2:$L$201,2,FALSE),"Item not found"))</f>
        <v/>
      </c>
      <c r="F89" s="9" t="n"/>
      <c r="G89" s="4" t="n"/>
      <c r="H89" s="10">
        <f>IF(OR(F89="",G89=""),"",IFERROR(F89*VLOOKUP(G89,'Units'!$A$2:$D$13,4,FALSE),""))</f>
        <v/>
      </c>
      <c r="I89" s="5">
        <f>IF(D89="","",IFERROR(VLOOKUP(D89,'Items'!$A$2:$L$201,4,FALSE),""))</f>
        <v/>
      </c>
      <c r="J89" s="10">
        <f>IF(D89="","",IFERROR(VLOOKUP(D89,'Items'!$A$2:$L$201,10,FALSE),""))</f>
        <v/>
      </c>
      <c r="K89" s="10">
        <f>IF(OR(H89="",J89=""),"",H89*J89)</f>
        <v/>
      </c>
      <c r="L89" s="5">
        <f>IF(AND(B89="",D89=""),"",IF(B89="","Missing product",IF(D89="","Missing item",IF(C89="Product not found","Product not found",IF(E89="Item not found","Item not found",IF(OR(F89="",G89=""),"Missing quantity/unit",IF(IFERROR(VLOOKUP(G89,'Units'!$A$2:$D$13,3,FALSE),"")&lt;&gt;I89,"Unit mismatch",IF(J89="","Enter item cost","OK"))))))))</f>
        <v/>
      </c>
      <c r="M89" s="4" t="n"/>
    </row>
    <row r="90">
      <c r="A90" s="5">
        <f>IF(AND(B90="",D90=""),"",ROW()-1)</f>
        <v/>
      </c>
      <c r="B90" s="4" t="n"/>
      <c r="C90" s="5">
        <f>IF(B90="","",IFERROR(VLOOKUP(B90,'Products'!$A$2:$F$201,2,FALSE),"Product not found"))</f>
        <v/>
      </c>
      <c r="D90" s="4" t="n"/>
      <c r="E90" s="5">
        <f>IF(D90="","",IFERROR(VLOOKUP(D90,'Items'!$A$2:$L$201,2,FALSE),"Item not found"))</f>
        <v/>
      </c>
      <c r="F90" s="9" t="n"/>
      <c r="G90" s="4" t="n"/>
      <c r="H90" s="10">
        <f>IF(OR(F90="",G90=""),"",IFERROR(F90*VLOOKUP(G90,'Units'!$A$2:$D$13,4,FALSE),""))</f>
        <v/>
      </c>
      <c r="I90" s="5">
        <f>IF(D90="","",IFERROR(VLOOKUP(D90,'Items'!$A$2:$L$201,4,FALSE),""))</f>
        <v/>
      </c>
      <c r="J90" s="10">
        <f>IF(D90="","",IFERROR(VLOOKUP(D90,'Items'!$A$2:$L$201,10,FALSE),""))</f>
        <v/>
      </c>
      <c r="K90" s="10">
        <f>IF(OR(H90="",J90=""),"",H90*J90)</f>
        <v/>
      </c>
      <c r="L90" s="5">
        <f>IF(AND(B90="",D90=""),"",IF(B90="","Missing product",IF(D90="","Missing item",IF(C90="Product not found","Product not found",IF(E90="Item not found","Item not found",IF(OR(F90="",G90=""),"Missing quantity/unit",IF(IFERROR(VLOOKUP(G90,'Units'!$A$2:$D$13,3,FALSE),"")&lt;&gt;I90,"Unit mismatch",IF(J90="","Enter item cost","OK"))))))))</f>
        <v/>
      </c>
      <c r="M90" s="4" t="n"/>
    </row>
    <row r="91">
      <c r="A91" s="5">
        <f>IF(AND(B91="",D91=""),"",ROW()-1)</f>
        <v/>
      </c>
      <c r="B91" s="4" t="n"/>
      <c r="C91" s="5">
        <f>IF(B91="","",IFERROR(VLOOKUP(B91,'Products'!$A$2:$F$201,2,FALSE),"Product not found"))</f>
        <v/>
      </c>
      <c r="D91" s="4" t="n"/>
      <c r="E91" s="5">
        <f>IF(D91="","",IFERROR(VLOOKUP(D91,'Items'!$A$2:$L$201,2,FALSE),"Item not found"))</f>
        <v/>
      </c>
      <c r="F91" s="9" t="n"/>
      <c r="G91" s="4" t="n"/>
      <c r="H91" s="10">
        <f>IF(OR(F91="",G91=""),"",IFERROR(F91*VLOOKUP(G91,'Units'!$A$2:$D$13,4,FALSE),""))</f>
        <v/>
      </c>
      <c r="I91" s="5">
        <f>IF(D91="","",IFERROR(VLOOKUP(D91,'Items'!$A$2:$L$201,4,FALSE),""))</f>
        <v/>
      </c>
      <c r="J91" s="10">
        <f>IF(D91="","",IFERROR(VLOOKUP(D91,'Items'!$A$2:$L$201,10,FALSE),""))</f>
        <v/>
      </c>
      <c r="K91" s="10">
        <f>IF(OR(H91="",J91=""),"",H91*J91)</f>
        <v/>
      </c>
      <c r="L91" s="5">
        <f>IF(AND(B91="",D91=""),"",IF(B91="","Missing product",IF(D91="","Missing item",IF(C91="Product not found","Product not found",IF(E91="Item not found","Item not found",IF(OR(F91="",G91=""),"Missing quantity/unit",IF(IFERROR(VLOOKUP(G91,'Units'!$A$2:$D$13,3,FALSE),"")&lt;&gt;I91,"Unit mismatch",IF(J91="","Enter item cost","OK"))))))))</f>
        <v/>
      </c>
      <c r="M91" s="4" t="n"/>
    </row>
    <row r="92">
      <c r="A92" s="5">
        <f>IF(AND(B92="",D92=""),"",ROW()-1)</f>
        <v/>
      </c>
      <c r="B92" s="4" t="n"/>
      <c r="C92" s="5">
        <f>IF(B92="","",IFERROR(VLOOKUP(B92,'Products'!$A$2:$F$201,2,FALSE),"Product not found"))</f>
        <v/>
      </c>
      <c r="D92" s="4" t="n"/>
      <c r="E92" s="5">
        <f>IF(D92="","",IFERROR(VLOOKUP(D92,'Items'!$A$2:$L$201,2,FALSE),"Item not found"))</f>
        <v/>
      </c>
      <c r="F92" s="9" t="n"/>
      <c r="G92" s="4" t="n"/>
      <c r="H92" s="10">
        <f>IF(OR(F92="",G92=""),"",IFERROR(F92*VLOOKUP(G92,'Units'!$A$2:$D$13,4,FALSE),""))</f>
        <v/>
      </c>
      <c r="I92" s="5">
        <f>IF(D92="","",IFERROR(VLOOKUP(D92,'Items'!$A$2:$L$201,4,FALSE),""))</f>
        <v/>
      </c>
      <c r="J92" s="10">
        <f>IF(D92="","",IFERROR(VLOOKUP(D92,'Items'!$A$2:$L$201,10,FALSE),""))</f>
        <v/>
      </c>
      <c r="K92" s="10">
        <f>IF(OR(H92="",J92=""),"",H92*J92)</f>
        <v/>
      </c>
      <c r="L92" s="5">
        <f>IF(AND(B92="",D92=""),"",IF(B92="","Missing product",IF(D92="","Missing item",IF(C92="Product not found","Product not found",IF(E92="Item not found","Item not found",IF(OR(F92="",G92=""),"Missing quantity/unit",IF(IFERROR(VLOOKUP(G92,'Units'!$A$2:$D$13,3,FALSE),"")&lt;&gt;I92,"Unit mismatch",IF(J92="","Enter item cost","OK"))))))))</f>
        <v/>
      </c>
      <c r="M92" s="4" t="n"/>
    </row>
    <row r="93">
      <c r="A93" s="5">
        <f>IF(AND(B93="",D93=""),"",ROW()-1)</f>
        <v/>
      </c>
      <c r="B93" s="4" t="n"/>
      <c r="C93" s="5">
        <f>IF(B93="","",IFERROR(VLOOKUP(B93,'Products'!$A$2:$F$201,2,FALSE),"Product not found"))</f>
        <v/>
      </c>
      <c r="D93" s="4" t="n"/>
      <c r="E93" s="5">
        <f>IF(D93="","",IFERROR(VLOOKUP(D93,'Items'!$A$2:$L$201,2,FALSE),"Item not found"))</f>
        <v/>
      </c>
      <c r="F93" s="9" t="n"/>
      <c r="G93" s="4" t="n"/>
      <c r="H93" s="10">
        <f>IF(OR(F93="",G93=""),"",IFERROR(F93*VLOOKUP(G93,'Units'!$A$2:$D$13,4,FALSE),""))</f>
        <v/>
      </c>
      <c r="I93" s="5">
        <f>IF(D93="","",IFERROR(VLOOKUP(D93,'Items'!$A$2:$L$201,4,FALSE),""))</f>
        <v/>
      </c>
      <c r="J93" s="10">
        <f>IF(D93="","",IFERROR(VLOOKUP(D93,'Items'!$A$2:$L$201,10,FALSE),""))</f>
        <v/>
      </c>
      <c r="K93" s="10">
        <f>IF(OR(H93="",J93=""),"",H93*J93)</f>
        <v/>
      </c>
      <c r="L93" s="5">
        <f>IF(AND(B93="",D93=""),"",IF(B93="","Missing product",IF(D93="","Missing item",IF(C93="Product not found","Product not found",IF(E93="Item not found","Item not found",IF(OR(F93="",G93=""),"Missing quantity/unit",IF(IFERROR(VLOOKUP(G93,'Units'!$A$2:$D$13,3,FALSE),"")&lt;&gt;I93,"Unit mismatch",IF(J93="","Enter item cost","OK"))))))))</f>
        <v/>
      </c>
      <c r="M93" s="4" t="n"/>
    </row>
    <row r="94">
      <c r="A94" s="5">
        <f>IF(AND(B94="",D94=""),"",ROW()-1)</f>
        <v/>
      </c>
      <c r="B94" s="4" t="n"/>
      <c r="C94" s="5">
        <f>IF(B94="","",IFERROR(VLOOKUP(B94,'Products'!$A$2:$F$201,2,FALSE),"Product not found"))</f>
        <v/>
      </c>
      <c r="D94" s="4" t="n"/>
      <c r="E94" s="5">
        <f>IF(D94="","",IFERROR(VLOOKUP(D94,'Items'!$A$2:$L$201,2,FALSE),"Item not found"))</f>
        <v/>
      </c>
      <c r="F94" s="9" t="n"/>
      <c r="G94" s="4" t="n"/>
      <c r="H94" s="10">
        <f>IF(OR(F94="",G94=""),"",IFERROR(F94*VLOOKUP(G94,'Units'!$A$2:$D$13,4,FALSE),""))</f>
        <v/>
      </c>
      <c r="I94" s="5">
        <f>IF(D94="","",IFERROR(VLOOKUP(D94,'Items'!$A$2:$L$201,4,FALSE),""))</f>
        <v/>
      </c>
      <c r="J94" s="10">
        <f>IF(D94="","",IFERROR(VLOOKUP(D94,'Items'!$A$2:$L$201,10,FALSE),""))</f>
        <v/>
      </c>
      <c r="K94" s="10">
        <f>IF(OR(H94="",J94=""),"",H94*J94)</f>
        <v/>
      </c>
      <c r="L94" s="5">
        <f>IF(AND(B94="",D94=""),"",IF(B94="","Missing product",IF(D94="","Missing item",IF(C94="Product not found","Product not found",IF(E94="Item not found","Item not found",IF(OR(F94="",G94=""),"Missing quantity/unit",IF(IFERROR(VLOOKUP(G94,'Units'!$A$2:$D$13,3,FALSE),"")&lt;&gt;I94,"Unit mismatch",IF(J94="","Enter item cost","OK"))))))))</f>
        <v/>
      </c>
      <c r="M94" s="4" t="n"/>
    </row>
    <row r="95">
      <c r="A95" s="5">
        <f>IF(AND(B95="",D95=""),"",ROW()-1)</f>
        <v/>
      </c>
      <c r="B95" s="4" t="n"/>
      <c r="C95" s="5">
        <f>IF(B95="","",IFERROR(VLOOKUP(B95,'Products'!$A$2:$F$201,2,FALSE),"Product not found"))</f>
        <v/>
      </c>
      <c r="D95" s="4" t="n"/>
      <c r="E95" s="5">
        <f>IF(D95="","",IFERROR(VLOOKUP(D95,'Items'!$A$2:$L$201,2,FALSE),"Item not found"))</f>
        <v/>
      </c>
      <c r="F95" s="9" t="n"/>
      <c r="G95" s="4" t="n"/>
      <c r="H95" s="10">
        <f>IF(OR(F95="",G95=""),"",IFERROR(F95*VLOOKUP(G95,'Units'!$A$2:$D$13,4,FALSE),""))</f>
        <v/>
      </c>
      <c r="I95" s="5">
        <f>IF(D95="","",IFERROR(VLOOKUP(D95,'Items'!$A$2:$L$201,4,FALSE),""))</f>
        <v/>
      </c>
      <c r="J95" s="10">
        <f>IF(D95="","",IFERROR(VLOOKUP(D95,'Items'!$A$2:$L$201,10,FALSE),""))</f>
        <v/>
      </c>
      <c r="K95" s="10">
        <f>IF(OR(H95="",J95=""),"",H95*J95)</f>
        <v/>
      </c>
      <c r="L95" s="5">
        <f>IF(AND(B95="",D95=""),"",IF(B95="","Missing product",IF(D95="","Missing item",IF(C95="Product not found","Product not found",IF(E95="Item not found","Item not found",IF(OR(F95="",G95=""),"Missing quantity/unit",IF(IFERROR(VLOOKUP(G95,'Units'!$A$2:$D$13,3,FALSE),"")&lt;&gt;I95,"Unit mismatch",IF(J95="","Enter item cost","OK"))))))))</f>
        <v/>
      </c>
      <c r="M95" s="4" t="n"/>
    </row>
    <row r="96">
      <c r="A96" s="5">
        <f>IF(AND(B96="",D96=""),"",ROW()-1)</f>
        <v/>
      </c>
      <c r="B96" s="4" t="n"/>
      <c r="C96" s="5">
        <f>IF(B96="","",IFERROR(VLOOKUP(B96,'Products'!$A$2:$F$201,2,FALSE),"Product not found"))</f>
        <v/>
      </c>
      <c r="D96" s="4" t="n"/>
      <c r="E96" s="5">
        <f>IF(D96="","",IFERROR(VLOOKUP(D96,'Items'!$A$2:$L$201,2,FALSE),"Item not found"))</f>
        <v/>
      </c>
      <c r="F96" s="9" t="n"/>
      <c r="G96" s="4" t="n"/>
      <c r="H96" s="10">
        <f>IF(OR(F96="",G96=""),"",IFERROR(F96*VLOOKUP(G96,'Units'!$A$2:$D$13,4,FALSE),""))</f>
        <v/>
      </c>
      <c r="I96" s="5">
        <f>IF(D96="","",IFERROR(VLOOKUP(D96,'Items'!$A$2:$L$201,4,FALSE),""))</f>
        <v/>
      </c>
      <c r="J96" s="10">
        <f>IF(D96="","",IFERROR(VLOOKUP(D96,'Items'!$A$2:$L$201,10,FALSE),""))</f>
        <v/>
      </c>
      <c r="K96" s="10">
        <f>IF(OR(H96="",J96=""),"",H96*J96)</f>
        <v/>
      </c>
      <c r="L96" s="5">
        <f>IF(AND(B96="",D96=""),"",IF(B96="","Missing product",IF(D96="","Missing item",IF(C96="Product not found","Product not found",IF(E96="Item not found","Item not found",IF(OR(F96="",G96=""),"Missing quantity/unit",IF(IFERROR(VLOOKUP(G96,'Units'!$A$2:$D$13,3,FALSE),"")&lt;&gt;I96,"Unit mismatch",IF(J96="","Enter item cost","OK"))))))))</f>
        <v/>
      </c>
      <c r="M96" s="4" t="n"/>
    </row>
    <row r="97">
      <c r="A97" s="5">
        <f>IF(AND(B97="",D97=""),"",ROW()-1)</f>
        <v/>
      </c>
      <c r="B97" s="4" t="n"/>
      <c r="C97" s="5">
        <f>IF(B97="","",IFERROR(VLOOKUP(B97,'Products'!$A$2:$F$201,2,FALSE),"Product not found"))</f>
        <v/>
      </c>
      <c r="D97" s="4" t="n"/>
      <c r="E97" s="5">
        <f>IF(D97="","",IFERROR(VLOOKUP(D97,'Items'!$A$2:$L$201,2,FALSE),"Item not found"))</f>
        <v/>
      </c>
      <c r="F97" s="9" t="n"/>
      <c r="G97" s="4" t="n"/>
      <c r="H97" s="10">
        <f>IF(OR(F97="",G97=""),"",IFERROR(F97*VLOOKUP(G97,'Units'!$A$2:$D$13,4,FALSE),""))</f>
        <v/>
      </c>
      <c r="I97" s="5">
        <f>IF(D97="","",IFERROR(VLOOKUP(D97,'Items'!$A$2:$L$201,4,FALSE),""))</f>
        <v/>
      </c>
      <c r="J97" s="10">
        <f>IF(D97="","",IFERROR(VLOOKUP(D97,'Items'!$A$2:$L$201,10,FALSE),""))</f>
        <v/>
      </c>
      <c r="K97" s="10">
        <f>IF(OR(H97="",J97=""),"",H97*J97)</f>
        <v/>
      </c>
      <c r="L97" s="5">
        <f>IF(AND(B97="",D97=""),"",IF(B97="","Missing product",IF(D97="","Missing item",IF(C97="Product not found","Product not found",IF(E97="Item not found","Item not found",IF(OR(F97="",G97=""),"Missing quantity/unit",IF(IFERROR(VLOOKUP(G97,'Units'!$A$2:$D$13,3,FALSE),"")&lt;&gt;I97,"Unit mismatch",IF(J97="","Enter item cost","OK"))))))))</f>
        <v/>
      </c>
      <c r="M97" s="4" t="n"/>
    </row>
    <row r="98">
      <c r="A98" s="5">
        <f>IF(AND(B98="",D98=""),"",ROW()-1)</f>
        <v/>
      </c>
      <c r="B98" s="4" t="n"/>
      <c r="C98" s="5">
        <f>IF(B98="","",IFERROR(VLOOKUP(B98,'Products'!$A$2:$F$201,2,FALSE),"Product not found"))</f>
        <v/>
      </c>
      <c r="D98" s="4" t="n"/>
      <c r="E98" s="5">
        <f>IF(D98="","",IFERROR(VLOOKUP(D98,'Items'!$A$2:$L$201,2,FALSE),"Item not found"))</f>
        <v/>
      </c>
      <c r="F98" s="9" t="n"/>
      <c r="G98" s="4" t="n"/>
      <c r="H98" s="10">
        <f>IF(OR(F98="",G98=""),"",IFERROR(F98*VLOOKUP(G98,'Units'!$A$2:$D$13,4,FALSE),""))</f>
        <v/>
      </c>
      <c r="I98" s="5">
        <f>IF(D98="","",IFERROR(VLOOKUP(D98,'Items'!$A$2:$L$201,4,FALSE),""))</f>
        <v/>
      </c>
      <c r="J98" s="10">
        <f>IF(D98="","",IFERROR(VLOOKUP(D98,'Items'!$A$2:$L$201,10,FALSE),""))</f>
        <v/>
      </c>
      <c r="K98" s="10">
        <f>IF(OR(H98="",J98=""),"",H98*J98)</f>
        <v/>
      </c>
      <c r="L98" s="5">
        <f>IF(AND(B98="",D98=""),"",IF(B98="","Missing product",IF(D98="","Missing item",IF(C98="Product not found","Product not found",IF(E98="Item not found","Item not found",IF(OR(F98="",G98=""),"Missing quantity/unit",IF(IFERROR(VLOOKUP(G98,'Units'!$A$2:$D$13,3,FALSE),"")&lt;&gt;I98,"Unit mismatch",IF(J98="","Enter item cost","OK"))))))))</f>
        <v/>
      </c>
      <c r="M98" s="4" t="n"/>
    </row>
    <row r="99">
      <c r="A99" s="5">
        <f>IF(AND(B99="",D99=""),"",ROW()-1)</f>
        <v/>
      </c>
      <c r="B99" s="4" t="n"/>
      <c r="C99" s="5">
        <f>IF(B99="","",IFERROR(VLOOKUP(B99,'Products'!$A$2:$F$201,2,FALSE),"Product not found"))</f>
        <v/>
      </c>
      <c r="D99" s="4" t="n"/>
      <c r="E99" s="5">
        <f>IF(D99="","",IFERROR(VLOOKUP(D99,'Items'!$A$2:$L$201,2,FALSE),"Item not found"))</f>
        <v/>
      </c>
      <c r="F99" s="9" t="n"/>
      <c r="G99" s="4" t="n"/>
      <c r="H99" s="10">
        <f>IF(OR(F99="",G99=""),"",IFERROR(F99*VLOOKUP(G99,'Units'!$A$2:$D$13,4,FALSE),""))</f>
        <v/>
      </c>
      <c r="I99" s="5">
        <f>IF(D99="","",IFERROR(VLOOKUP(D99,'Items'!$A$2:$L$201,4,FALSE),""))</f>
        <v/>
      </c>
      <c r="J99" s="10">
        <f>IF(D99="","",IFERROR(VLOOKUP(D99,'Items'!$A$2:$L$201,10,FALSE),""))</f>
        <v/>
      </c>
      <c r="K99" s="10">
        <f>IF(OR(H99="",J99=""),"",H99*J99)</f>
        <v/>
      </c>
      <c r="L99" s="5">
        <f>IF(AND(B99="",D99=""),"",IF(B99="","Missing product",IF(D99="","Missing item",IF(C99="Product not found","Product not found",IF(E99="Item not found","Item not found",IF(OR(F99="",G99=""),"Missing quantity/unit",IF(IFERROR(VLOOKUP(G99,'Units'!$A$2:$D$13,3,FALSE),"")&lt;&gt;I99,"Unit mismatch",IF(J99="","Enter item cost","OK"))))))))</f>
        <v/>
      </c>
      <c r="M99" s="4" t="n"/>
    </row>
    <row r="100">
      <c r="A100" s="5">
        <f>IF(AND(B100="",D100=""),"",ROW()-1)</f>
        <v/>
      </c>
      <c r="B100" s="4" t="n"/>
      <c r="C100" s="5">
        <f>IF(B100="","",IFERROR(VLOOKUP(B100,'Products'!$A$2:$F$201,2,FALSE),"Product not found"))</f>
        <v/>
      </c>
      <c r="D100" s="4" t="n"/>
      <c r="E100" s="5">
        <f>IF(D100="","",IFERROR(VLOOKUP(D100,'Items'!$A$2:$L$201,2,FALSE),"Item not found"))</f>
        <v/>
      </c>
      <c r="F100" s="9" t="n"/>
      <c r="G100" s="4" t="n"/>
      <c r="H100" s="10">
        <f>IF(OR(F100="",G100=""),"",IFERROR(F100*VLOOKUP(G100,'Units'!$A$2:$D$13,4,FALSE),""))</f>
        <v/>
      </c>
      <c r="I100" s="5">
        <f>IF(D100="","",IFERROR(VLOOKUP(D100,'Items'!$A$2:$L$201,4,FALSE),""))</f>
        <v/>
      </c>
      <c r="J100" s="10">
        <f>IF(D100="","",IFERROR(VLOOKUP(D100,'Items'!$A$2:$L$201,10,FALSE),""))</f>
        <v/>
      </c>
      <c r="K100" s="10">
        <f>IF(OR(H100="",J100=""),"",H100*J100)</f>
        <v/>
      </c>
      <c r="L100" s="5">
        <f>IF(AND(B100="",D100=""),"",IF(B100="","Missing product",IF(D100="","Missing item",IF(C100="Product not found","Product not found",IF(E100="Item not found","Item not found",IF(OR(F100="",G100=""),"Missing quantity/unit",IF(IFERROR(VLOOKUP(G100,'Units'!$A$2:$D$13,3,FALSE),"")&lt;&gt;I100,"Unit mismatch",IF(J100="","Enter item cost","OK"))))))))</f>
        <v/>
      </c>
      <c r="M100" s="4" t="n"/>
    </row>
    <row r="101">
      <c r="A101" s="5">
        <f>IF(AND(B101="",D101=""),"",ROW()-1)</f>
        <v/>
      </c>
      <c r="B101" s="4" t="n"/>
      <c r="C101" s="5">
        <f>IF(B101="","",IFERROR(VLOOKUP(B101,'Products'!$A$2:$F$201,2,FALSE),"Product not found"))</f>
        <v/>
      </c>
      <c r="D101" s="4" t="n"/>
      <c r="E101" s="5">
        <f>IF(D101="","",IFERROR(VLOOKUP(D101,'Items'!$A$2:$L$201,2,FALSE),"Item not found"))</f>
        <v/>
      </c>
      <c r="F101" s="9" t="n"/>
      <c r="G101" s="4" t="n"/>
      <c r="H101" s="10">
        <f>IF(OR(F101="",G101=""),"",IFERROR(F101*VLOOKUP(G101,'Units'!$A$2:$D$13,4,FALSE),""))</f>
        <v/>
      </c>
      <c r="I101" s="5">
        <f>IF(D101="","",IFERROR(VLOOKUP(D101,'Items'!$A$2:$L$201,4,FALSE),""))</f>
        <v/>
      </c>
      <c r="J101" s="10">
        <f>IF(D101="","",IFERROR(VLOOKUP(D101,'Items'!$A$2:$L$201,10,FALSE),""))</f>
        <v/>
      </c>
      <c r="K101" s="10">
        <f>IF(OR(H101="",J101=""),"",H101*J101)</f>
        <v/>
      </c>
      <c r="L101" s="5">
        <f>IF(AND(B101="",D101=""),"",IF(B101="","Missing product",IF(D101="","Missing item",IF(C101="Product not found","Product not found",IF(E101="Item not found","Item not found",IF(OR(F101="",G101=""),"Missing quantity/unit",IF(IFERROR(VLOOKUP(G101,'Units'!$A$2:$D$13,3,FALSE),"")&lt;&gt;I101,"Unit mismatch",IF(J101="","Enter item cost","OK"))))))))</f>
        <v/>
      </c>
      <c r="M101" s="4" t="n"/>
    </row>
    <row r="102">
      <c r="A102" s="5">
        <f>IF(AND(B102="",D102=""),"",ROW()-1)</f>
        <v/>
      </c>
      <c r="B102" s="4" t="n"/>
      <c r="C102" s="5">
        <f>IF(B102="","",IFERROR(VLOOKUP(B102,'Products'!$A$2:$F$201,2,FALSE),"Product not found"))</f>
        <v/>
      </c>
      <c r="D102" s="4" t="n"/>
      <c r="E102" s="5">
        <f>IF(D102="","",IFERROR(VLOOKUP(D102,'Items'!$A$2:$L$201,2,FALSE),"Item not found"))</f>
        <v/>
      </c>
      <c r="F102" s="9" t="n"/>
      <c r="G102" s="4" t="n"/>
      <c r="H102" s="10">
        <f>IF(OR(F102="",G102=""),"",IFERROR(F102*VLOOKUP(G102,'Units'!$A$2:$D$13,4,FALSE),""))</f>
        <v/>
      </c>
      <c r="I102" s="5">
        <f>IF(D102="","",IFERROR(VLOOKUP(D102,'Items'!$A$2:$L$201,4,FALSE),""))</f>
        <v/>
      </c>
      <c r="J102" s="10">
        <f>IF(D102="","",IFERROR(VLOOKUP(D102,'Items'!$A$2:$L$201,10,FALSE),""))</f>
        <v/>
      </c>
      <c r="K102" s="10">
        <f>IF(OR(H102="",J102=""),"",H102*J102)</f>
        <v/>
      </c>
      <c r="L102" s="5">
        <f>IF(AND(B102="",D102=""),"",IF(B102="","Missing product",IF(D102="","Missing item",IF(C102="Product not found","Product not found",IF(E102="Item not found","Item not found",IF(OR(F102="",G102=""),"Missing quantity/unit",IF(IFERROR(VLOOKUP(G102,'Units'!$A$2:$D$13,3,FALSE),"")&lt;&gt;I102,"Unit mismatch",IF(J102="","Enter item cost","OK"))))))))</f>
        <v/>
      </c>
      <c r="M102" s="4" t="n"/>
    </row>
    <row r="103">
      <c r="A103" s="5">
        <f>IF(AND(B103="",D103=""),"",ROW()-1)</f>
        <v/>
      </c>
      <c r="B103" s="4" t="n"/>
      <c r="C103" s="5">
        <f>IF(B103="","",IFERROR(VLOOKUP(B103,'Products'!$A$2:$F$201,2,FALSE),"Product not found"))</f>
        <v/>
      </c>
      <c r="D103" s="4" t="n"/>
      <c r="E103" s="5">
        <f>IF(D103="","",IFERROR(VLOOKUP(D103,'Items'!$A$2:$L$201,2,FALSE),"Item not found"))</f>
        <v/>
      </c>
      <c r="F103" s="9" t="n"/>
      <c r="G103" s="4" t="n"/>
      <c r="H103" s="10">
        <f>IF(OR(F103="",G103=""),"",IFERROR(F103*VLOOKUP(G103,'Units'!$A$2:$D$13,4,FALSE),""))</f>
        <v/>
      </c>
      <c r="I103" s="5">
        <f>IF(D103="","",IFERROR(VLOOKUP(D103,'Items'!$A$2:$L$201,4,FALSE),""))</f>
        <v/>
      </c>
      <c r="J103" s="10">
        <f>IF(D103="","",IFERROR(VLOOKUP(D103,'Items'!$A$2:$L$201,10,FALSE),""))</f>
        <v/>
      </c>
      <c r="K103" s="10">
        <f>IF(OR(H103="",J103=""),"",H103*J103)</f>
        <v/>
      </c>
      <c r="L103" s="5">
        <f>IF(AND(B103="",D103=""),"",IF(B103="","Missing product",IF(D103="","Missing item",IF(C103="Product not found","Product not found",IF(E103="Item not found","Item not found",IF(OR(F103="",G103=""),"Missing quantity/unit",IF(IFERROR(VLOOKUP(G103,'Units'!$A$2:$D$13,3,FALSE),"")&lt;&gt;I103,"Unit mismatch",IF(J103="","Enter item cost","OK"))))))))</f>
        <v/>
      </c>
      <c r="M103" s="4" t="n"/>
    </row>
    <row r="104">
      <c r="A104" s="5">
        <f>IF(AND(B104="",D104=""),"",ROW()-1)</f>
        <v/>
      </c>
      <c r="B104" s="4" t="n"/>
      <c r="C104" s="5">
        <f>IF(B104="","",IFERROR(VLOOKUP(B104,'Products'!$A$2:$F$201,2,FALSE),"Product not found"))</f>
        <v/>
      </c>
      <c r="D104" s="4" t="n"/>
      <c r="E104" s="5">
        <f>IF(D104="","",IFERROR(VLOOKUP(D104,'Items'!$A$2:$L$201,2,FALSE),"Item not found"))</f>
        <v/>
      </c>
      <c r="F104" s="9" t="n"/>
      <c r="G104" s="4" t="n"/>
      <c r="H104" s="10">
        <f>IF(OR(F104="",G104=""),"",IFERROR(F104*VLOOKUP(G104,'Units'!$A$2:$D$13,4,FALSE),""))</f>
        <v/>
      </c>
      <c r="I104" s="5">
        <f>IF(D104="","",IFERROR(VLOOKUP(D104,'Items'!$A$2:$L$201,4,FALSE),""))</f>
        <v/>
      </c>
      <c r="J104" s="10">
        <f>IF(D104="","",IFERROR(VLOOKUP(D104,'Items'!$A$2:$L$201,10,FALSE),""))</f>
        <v/>
      </c>
      <c r="K104" s="10">
        <f>IF(OR(H104="",J104=""),"",H104*J104)</f>
        <v/>
      </c>
      <c r="L104" s="5">
        <f>IF(AND(B104="",D104=""),"",IF(B104="","Missing product",IF(D104="","Missing item",IF(C104="Product not found","Product not found",IF(E104="Item not found","Item not found",IF(OR(F104="",G104=""),"Missing quantity/unit",IF(IFERROR(VLOOKUP(G104,'Units'!$A$2:$D$13,3,FALSE),"")&lt;&gt;I104,"Unit mismatch",IF(J104="","Enter item cost","OK"))))))))</f>
        <v/>
      </c>
      <c r="M104" s="4" t="n"/>
    </row>
    <row r="105">
      <c r="A105" s="5">
        <f>IF(AND(B105="",D105=""),"",ROW()-1)</f>
        <v/>
      </c>
      <c r="B105" s="4" t="n"/>
      <c r="C105" s="5">
        <f>IF(B105="","",IFERROR(VLOOKUP(B105,'Products'!$A$2:$F$201,2,FALSE),"Product not found"))</f>
        <v/>
      </c>
      <c r="D105" s="4" t="n"/>
      <c r="E105" s="5">
        <f>IF(D105="","",IFERROR(VLOOKUP(D105,'Items'!$A$2:$L$201,2,FALSE),"Item not found"))</f>
        <v/>
      </c>
      <c r="F105" s="9" t="n"/>
      <c r="G105" s="4" t="n"/>
      <c r="H105" s="10">
        <f>IF(OR(F105="",G105=""),"",IFERROR(F105*VLOOKUP(G105,'Units'!$A$2:$D$13,4,FALSE),""))</f>
        <v/>
      </c>
      <c r="I105" s="5">
        <f>IF(D105="","",IFERROR(VLOOKUP(D105,'Items'!$A$2:$L$201,4,FALSE),""))</f>
        <v/>
      </c>
      <c r="J105" s="10">
        <f>IF(D105="","",IFERROR(VLOOKUP(D105,'Items'!$A$2:$L$201,10,FALSE),""))</f>
        <v/>
      </c>
      <c r="K105" s="10">
        <f>IF(OR(H105="",J105=""),"",H105*J105)</f>
        <v/>
      </c>
      <c r="L105" s="5">
        <f>IF(AND(B105="",D105=""),"",IF(B105="","Missing product",IF(D105="","Missing item",IF(C105="Product not found","Product not found",IF(E105="Item not found","Item not found",IF(OR(F105="",G105=""),"Missing quantity/unit",IF(IFERROR(VLOOKUP(G105,'Units'!$A$2:$D$13,3,FALSE),"")&lt;&gt;I105,"Unit mismatch",IF(J105="","Enter item cost","OK"))))))))</f>
        <v/>
      </c>
      <c r="M105" s="4" t="n"/>
    </row>
    <row r="106">
      <c r="A106" s="5">
        <f>IF(AND(B106="",D106=""),"",ROW()-1)</f>
        <v/>
      </c>
      <c r="B106" s="4" t="n"/>
      <c r="C106" s="5">
        <f>IF(B106="","",IFERROR(VLOOKUP(B106,'Products'!$A$2:$F$201,2,FALSE),"Product not found"))</f>
        <v/>
      </c>
      <c r="D106" s="4" t="n"/>
      <c r="E106" s="5">
        <f>IF(D106="","",IFERROR(VLOOKUP(D106,'Items'!$A$2:$L$201,2,FALSE),"Item not found"))</f>
        <v/>
      </c>
      <c r="F106" s="9" t="n"/>
      <c r="G106" s="4" t="n"/>
      <c r="H106" s="10">
        <f>IF(OR(F106="",G106=""),"",IFERROR(F106*VLOOKUP(G106,'Units'!$A$2:$D$13,4,FALSE),""))</f>
        <v/>
      </c>
      <c r="I106" s="5">
        <f>IF(D106="","",IFERROR(VLOOKUP(D106,'Items'!$A$2:$L$201,4,FALSE),""))</f>
        <v/>
      </c>
      <c r="J106" s="10">
        <f>IF(D106="","",IFERROR(VLOOKUP(D106,'Items'!$A$2:$L$201,10,FALSE),""))</f>
        <v/>
      </c>
      <c r="K106" s="10">
        <f>IF(OR(H106="",J106=""),"",H106*J106)</f>
        <v/>
      </c>
      <c r="L106" s="5">
        <f>IF(AND(B106="",D106=""),"",IF(B106="","Missing product",IF(D106="","Missing item",IF(C106="Product not found","Product not found",IF(E106="Item not found","Item not found",IF(OR(F106="",G106=""),"Missing quantity/unit",IF(IFERROR(VLOOKUP(G106,'Units'!$A$2:$D$13,3,FALSE),"")&lt;&gt;I106,"Unit mismatch",IF(J106="","Enter item cost","OK"))))))))</f>
        <v/>
      </c>
      <c r="M106" s="4" t="n"/>
    </row>
    <row r="107">
      <c r="A107" s="5">
        <f>IF(AND(B107="",D107=""),"",ROW()-1)</f>
        <v/>
      </c>
      <c r="B107" s="4" t="n"/>
      <c r="C107" s="5">
        <f>IF(B107="","",IFERROR(VLOOKUP(B107,'Products'!$A$2:$F$201,2,FALSE),"Product not found"))</f>
        <v/>
      </c>
      <c r="D107" s="4" t="n"/>
      <c r="E107" s="5">
        <f>IF(D107="","",IFERROR(VLOOKUP(D107,'Items'!$A$2:$L$201,2,FALSE),"Item not found"))</f>
        <v/>
      </c>
      <c r="F107" s="9" t="n"/>
      <c r="G107" s="4" t="n"/>
      <c r="H107" s="10">
        <f>IF(OR(F107="",G107=""),"",IFERROR(F107*VLOOKUP(G107,'Units'!$A$2:$D$13,4,FALSE),""))</f>
        <v/>
      </c>
      <c r="I107" s="5">
        <f>IF(D107="","",IFERROR(VLOOKUP(D107,'Items'!$A$2:$L$201,4,FALSE),""))</f>
        <v/>
      </c>
      <c r="J107" s="10">
        <f>IF(D107="","",IFERROR(VLOOKUP(D107,'Items'!$A$2:$L$201,10,FALSE),""))</f>
        <v/>
      </c>
      <c r="K107" s="10">
        <f>IF(OR(H107="",J107=""),"",H107*J107)</f>
        <v/>
      </c>
      <c r="L107" s="5">
        <f>IF(AND(B107="",D107=""),"",IF(B107="","Missing product",IF(D107="","Missing item",IF(C107="Product not found","Product not found",IF(E107="Item not found","Item not found",IF(OR(F107="",G107=""),"Missing quantity/unit",IF(IFERROR(VLOOKUP(G107,'Units'!$A$2:$D$13,3,FALSE),"")&lt;&gt;I107,"Unit mismatch",IF(J107="","Enter item cost","OK"))))))))</f>
        <v/>
      </c>
      <c r="M107" s="4" t="n"/>
    </row>
    <row r="108">
      <c r="A108" s="5">
        <f>IF(AND(B108="",D108=""),"",ROW()-1)</f>
        <v/>
      </c>
      <c r="B108" s="4" t="n"/>
      <c r="C108" s="5">
        <f>IF(B108="","",IFERROR(VLOOKUP(B108,'Products'!$A$2:$F$201,2,FALSE),"Product not found"))</f>
        <v/>
      </c>
      <c r="D108" s="4" t="n"/>
      <c r="E108" s="5">
        <f>IF(D108="","",IFERROR(VLOOKUP(D108,'Items'!$A$2:$L$201,2,FALSE),"Item not found"))</f>
        <v/>
      </c>
      <c r="F108" s="9" t="n"/>
      <c r="G108" s="4" t="n"/>
      <c r="H108" s="10">
        <f>IF(OR(F108="",G108=""),"",IFERROR(F108*VLOOKUP(G108,'Units'!$A$2:$D$13,4,FALSE),""))</f>
        <v/>
      </c>
      <c r="I108" s="5">
        <f>IF(D108="","",IFERROR(VLOOKUP(D108,'Items'!$A$2:$L$201,4,FALSE),""))</f>
        <v/>
      </c>
      <c r="J108" s="10">
        <f>IF(D108="","",IFERROR(VLOOKUP(D108,'Items'!$A$2:$L$201,10,FALSE),""))</f>
        <v/>
      </c>
      <c r="K108" s="10">
        <f>IF(OR(H108="",J108=""),"",H108*J108)</f>
        <v/>
      </c>
      <c r="L108" s="5">
        <f>IF(AND(B108="",D108=""),"",IF(B108="","Missing product",IF(D108="","Missing item",IF(C108="Product not found","Product not found",IF(E108="Item not found","Item not found",IF(OR(F108="",G108=""),"Missing quantity/unit",IF(IFERROR(VLOOKUP(G108,'Units'!$A$2:$D$13,3,FALSE),"")&lt;&gt;I108,"Unit mismatch",IF(J108="","Enter item cost","OK"))))))))</f>
        <v/>
      </c>
      <c r="M108" s="4" t="n"/>
    </row>
    <row r="109">
      <c r="A109" s="5">
        <f>IF(AND(B109="",D109=""),"",ROW()-1)</f>
        <v/>
      </c>
      <c r="B109" s="4" t="n"/>
      <c r="C109" s="5">
        <f>IF(B109="","",IFERROR(VLOOKUP(B109,'Products'!$A$2:$F$201,2,FALSE),"Product not found"))</f>
        <v/>
      </c>
      <c r="D109" s="4" t="n"/>
      <c r="E109" s="5">
        <f>IF(D109="","",IFERROR(VLOOKUP(D109,'Items'!$A$2:$L$201,2,FALSE),"Item not found"))</f>
        <v/>
      </c>
      <c r="F109" s="9" t="n"/>
      <c r="G109" s="4" t="n"/>
      <c r="H109" s="10">
        <f>IF(OR(F109="",G109=""),"",IFERROR(F109*VLOOKUP(G109,'Units'!$A$2:$D$13,4,FALSE),""))</f>
        <v/>
      </c>
      <c r="I109" s="5">
        <f>IF(D109="","",IFERROR(VLOOKUP(D109,'Items'!$A$2:$L$201,4,FALSE),""))</f>
        <v/>
      </c>
      <c r="J109" s="10">
        <f>IF(D109="","",IFERROR(VLOOKUP(D109,'Items'!$A$2:$L$201,10,FALSE),""))</f>
        <v/>
      </c>
      <c r="K109" s="10">
        <f>IF(OR(H109="",J109=""),"",H109*J109)</f>
        <v/>
      </c>
      <c r="L109" s="5">
        <f>IF(AND(B109="",D109=""),"",IF(B109="","Missing product",IF(D109="","Missing item",IF(C109="Product not found","Product not found",IF(E109="Item not found","Item not found",IF(OR(F109="",G109=""),"Missing quantity/unit",IF(IFERROR(VLOOKUP(G109,'Units'!$A$2:$D$13,3,FALSE),"")&lt;&gt;I109,"Unit mismatch",IF(J109="","Enter item cost","OK"))))))))</f>
        <v/>
      </c>
      <c r="M109" s="4" t="n"/>
    </row>
    <row r="110">
      <c r="A110" s="5">
        <f>IF(AND(B110="",D110=""),"",ROW()-1)</f>
        <v/>
      </c>
      <c r="B110" s="4" t="n"/>
      <c r="C110" s="5">
        <f>IF(B110="","",IFERROR(VLOOKUP(B110,'Products'!$A$2:$F$201,2,FALSE),"Product not found"))</f>
        <v/>
      </c>
      <c r="D110" s="4" t="n"/>
      <c r="E110" s="5">
        <f>IF(D110="","",IFERROR(VLOOKUP(D110,'Items'!$A$2:$L$201,2,FALSE),"Item not found"))</f>
        <v/>
      </c>
      <c r="F110" s="9" t="n"/>
      <c r="G110" s="4" t="n"/>
      <c r="H110" s="10">
        <f>IF(OR(F110="",G110=""),"",IFERROR(F110*VLOOKUP(G110,'Units'!$A$2:$D$13,4,FALSE),""))</f>
        <v/>
      </c>
      <c r="I110" s="5">
        <f>IF(D110="","",IFERROR(VLOOKUP(D110,'Items'!$A$2:$L$201,4,FALSE),""))</f>
        <v/>
      </c>
      <c r="J110" s="10">
        <f>IF(D110="","",IFERROR(VLOOKUP(D110,'Items'!$A$2:$L$201,10,FALSE),""))</f>
        <v/>
      </c>
      <c r="K110" s="10">
        <f>IF(OR(H110="",J110=""),"",H110*J110)</f>
        <v/>
      </c>
      <c r="L110" s="5">
        <f>IF(AND(B110="",D110=""),"",IF(B110="","Missing product",IF(D110="","Missing item",IF(C110="Product not found","Product not found",IF(E110="Item not found","Item not found",IF(OR(F110="",G110=""),"Missing quantity/unit",IF(IFERROR(VLOOKUP(G110,'Units'!$A$2:$D$13,3,FALSE),"")&lt;&gt;I110,"Unit mismatch",IF(J110="","Enter item cost","OK"))))))))</f>
        <v/>
      </c>
      <c r="M110" s="4" t="n"/>
    </row>
    <row r="111">
      <c r="A111" s="5">
        <f>IF(AND(B111="",D111=""),"",ROW()-1)</f>
        <v/>
      </c>
      <c r="B111" s="4" t="n"/>
      <c r="C111" s="5">
        <f>IF(B111="","",IFERROR(VLOOKUP(B111,'Products'!$A$2:$F$201,2,FALSE),"Product not found"))</f>
        <v/>
      </c>
      <c r="D111" s="4" t="n"/>
      <c r="E111" s="5">
        <f>IF(D111="","",IFERROR(VLOOKUP(D111,'Items'!$A$2:$L$201,2,FALSE),"Item not found"))</f>
        <v/>
      </c>
      <c r="F111" s="9" t="n"/>
      <c r="G111" s="4" t="n"/>
      <c r="H111" s="10">
        <f>IF(OR(F111="",G111=""),"",IFERROR(F111*VLOOKUP(G111,'Units'!$A$2:$D$13,4,FALSE),""))</f>
        <v/>
      </c>
      <c r="I111" s="5">
        <f>IF(D111="","",IFERROR(VLOOKUP(D111,'Items'!$A$2:$L$201,4,FALSE),""))</f>
        <v/>
      </c>
      <c r="J111" s="10">
        <f>IF(D111="","",IFERROR(VLOOKUP(D111,'Items'!$A$2:$L$201,10,FALSE),""))</f>
        <v/>
      </c>
      <c r="K111" s="10">
        <f>IF(OR(H111="",J111=""),"",H111*J111)</f>
        <v/>
      </c>
      <c r="L111" s="5">
        <f>IF(AND(B111="",D111=""),"",IF(B111="","Missing product",IF(D111="","Missing item",IF(C111="Product not found","Product not found",IF(E111="Item not found","Item not found",IF(OR(F111="",G111=""),"Missing quantity/unit",IF(IFERROR(VLOOKUP(G111,'Units'!$A$2:$D$13,3,FALSE),"")&lt;&gt;I111,"Unit mismatch",IF(J111="","Enter item cost","OK"))))))))</f>
        <v/>
      </c>
      <c r="M111" s="4" t="n"/>
    </row>
    <row r="112">
      <c r="A112" s="5">
        <f>IF(AND(B112="",D112=""),"",ROW()-1)</f>
        <v/>
      </c>
      <c r="B112" s="4" t="n"/>
      <c r="C112" s="5">
        <f>IF(B112="","",IFERROR(VLOOKUP(B112,'Products'!$A$2:$F$201,2,FALSE),"Product not found"))</f>
        <v/>
      </c>
      <c r="D112" s="4" t="n"/>
      <c r="E112" s="5">
        <f>IF(D112="","",IFERROR(VLOOKUP(D112,'Items'!$A$2:$L$201,2,FALSE),"Item not found"))</f>
        <v/>
      </c>
      <c r="F112" s="9" t="n"/>
      <c r="G112" s="4" t="n"/>
      <c r="H112" s="10">
        <f>IF(OR(F112="",G112=""),"",IFERROR(F112*VLOOKUP(G112,'Units'!$A$2:$D$13,4,FALSE),""))</f>
        <v/>
      </c>
      <c r="I112" s="5">
        <f>IF(D112="","",IFERROR(VLOOKUP(D112,'Items'!$A$2:$L$201,4,FALSE),""))</f>
        <v/>
      </c>
      <c r="J112" s="10">
        <f>IF(D112="","",IFERROR(VLOOKUP(D112,'Items'!$A$2:$L$201,10,FALSE),""))</f>
        <v/>
      </c>
      <c r="K112" s="10">
        <f>IF(OR(H112="",J112=""),"",H112*J112)</f>
        <v/>
      </c>
      <c r="L112" s="5">
        <f>IF(AND(B112="",D112=""),"",IF(B112="","Missing product",IF(D112="","Missing item",IF(C112="Product not found","Product not found",IF(E112="Item not found","Item not found",IF(OR(F112="",G112=""),"Missing quantity/unit",IF(IFERROR(VLOOKUP(G112,'Units'!$A$2:$D$13,3,FALSE),"")&lt;&gt;I112,"Unit mismatch",IF(J112="","Enter item cost","OK"))))))))</f>
        <v/>
      </c>
      <c r="M112" s="4" t="n"/>
    </row>
    <row r="113">
      <c r="A113" s="5">
        <f>IF(AND(B113="",D113=""),"",ROW()-1)</f>
        <v/>
      </c>
      <c r="B113" s="4" t="n"/>
      <c r="C113" s="5">
        <f>IF(B113="","",IFERROR(VLOOKUP(B113,'Products'!$A$2:$F$201,2,FALSE),"Product not found"))</f>
        <v/>
      </c>
      <c r="D113" s="4" t="n"/>
      <c r="E113" s="5">
        <f>IF(D113="","",IFERROR(VLOOKUP(D113,'Items'!$A$2:$L$201,2,FALSE),"Item not found"))</f>
        <v/>
      </c>
      <c r="F113" s="9" t="n"/>
      <c r="G113" s="4" t="n"/>
      <c r="H113" s="10">
        <f>IF(OR(F113="",G113=""),"",IFERROR(F113*VLOOKUP(G113,'Units'!$A$2:$D$13,4,FALSE),""))</f>
        <v/>
      </c>
      <c r="I113" s="5">
        <f>IF(D113="","",IFERROR(VLOOKUP(D113,'Items'!$A$2:$L$201,4,FALSE),""))</f>
        <v/>
      </c>
      <c r="J113" s="10">
        <f>IF(D113="","",IFERROR(VLOOKUP(D113,'Items'!$A$2:$L$201,10,FALSE),""))</f>
        <v/>
      </c>
      <c r="K113" s="10">
        <f>IF(OR(H113="",J113=""),"",H113*J113)</f>
        <v/>
      </c>
      <c r="L113" s="5">
        <f>IF(AND(B113="",D113=""),"",IF(B113="","Missing product",IF(D113="","Missing item",IF(C113="Product not found","Product not found",IF(E113="Item not found","Item not found",IF(OR(F113="",G113=""),"Missing quantity/unit",IF(IFERROR(VLOOKUP(G113,'Units'!$A$2:$D$13,3,FALSE),"")&lt;&gt;I113,"Unit mismatch",IF(J113="","Enter item cost","OK"))))))))</f>
        <v/>
      </c>
      <c r="M113" s="4" t="n"/>
    </row>
    <row r="114">
      <c r="A114" s="5">
        <f>IF(AND(B114="",D114=""),"",ROW()-1)</f>
        <v/>
      </c>
      <c r="B114" s="4" t="n"/>
      <c r="C114" s="5">
        <f>IF(B114="","",IFERROR(VLOOKUP(B114,'Products'!$A$2:$F$201,2,FALSE),"Product not found"))</f>
        <v/>
      </c>
      <c r="D114" s="4" t="n"/>
      <c r="E114" s="5">
        <f>IF(D114="","",IFERROR(VLOOKUP(D114,'Items'!$A$2:$L$201,2,FALSE),"Item not found"))</f>
        <v/>
      </c>
      <c r="F114" s="9" t="n"/>
      <c r="G114" s="4" t="n"/>
      <c r="H114" s="10">
        <f>IF(OR(F114="",G114=""),"",IFERROR(F114*VLOOKUP(G114,'Units'!$A$2:$D$13,4,FALSE),""))</f>
        <v/>
      </c>
      <c r="I114" s="5">
        <f>IF(D114="","",IFERROR(VLOOKUP(D114,'Items'!$A$2:$L$201,4,FALSE),""))</f>
        <v/>
      </c>
      <c r="J114" s="10">
        <f>IF(D114="","",IFERROR(VLOOKUP(D114,'Items'!$A$2:$L$201,10,FALSE),""))</f>
        <v/>
      </c>
      <c r="K114" s="10">
        <f>IF(OR(H114="",J114=""),"",H114*J114)</f>
        <v/>
      </c>
      <c r="L114" s="5">
        <f>IF(AND(B114="",D114=""),"",IF(B114="","Missing product",IF(D114="","Missing item",IF(C114="Product not found","Product not found",IF(E114="Item not found","Item not found",IF(OR(F114="",G114=""),"Missing quantity/unit",IF(IFERROR(VLOOKUP(G114,'Units'!$A$2:$D$13,3,FALSE),"")&lt;&gt;I114,"Unit mismatch",IF(J114="","Enter item cost","OK"))))))))</f>
        <v/>
      </c>
      <c r="M114" s="4" t="n"/>
    </row>
    <row r="115">
      <c r="A115" s="5">
        <f>IF(AND(B115="",D115=""),"",ROW()-1)</f>
        <v/>
      </c>
      <c r="B115" s="4" t="n"/>
      <c r="C115" s="5">
        <f>IF(B115="","",IFERROR(VLOOKUP(B115,'Products'!$A$2:$F$201,2,FALSE),"Product not found"))</f>
        <v/>
      </c>
      <c r="D115" s="4" t="n"/>
      <c r="E115" s="5">
        <f>IF(D115="","",IFERROR(VLOOKUP(D115,'Items'!$A$2:$L$201,2,FALSE),"Item not found"))</f>
        <v/>
      </c>
      <c r="F115" s="9" t="n"/>
      <c r="G115" s="4" t="n"/>
      <c r="H115" s="10">
        <f>IF(OR(F115="",G115=""),"",IFERROR(F115*VLOOKUP(G115,'Units'!$A$2:$D$13,4,FALSE),""))</f>
        <v/>
      </c>
      <c r="I115" s="5">
        <f>IF(D115="","",IFERROR(VLOOKUP(D115,'Items'!$A$2:$L$201,4,FALSE),""))</f>
        <v/>
      </c>
      <c r="J115" s="10">
        <f>IF(D115="","",IFERROR(VLOOKUP(D115,'Items'!$A$2:$L$201,10,FALSE),""))</f>
        <v/>
      </c>
      <c r="K115" s="10">
        <f>IF(OR(H115="",J115=""),"",H115*J115)</f>
        <v/>
      </c>
      <c r="L115" s="5">
        <f>IF(AND(B115="",D115=""),"",IF(B115="","Missing product",IF(D115="","Missing item",IF(C115="Product not found","Product not found",IF(E115="Item not found","Item not found",IF(OR(F115="",G115=""),"Missing quantity/unit",IF(IFERROR(VLOOKUP(G115,'Units'!$A$2:$D$13,3,FALSE),"")&lt;&gt;I115,"Unit mismatch",IF(J115="","Enter item cost","OK"))))))))</f>
        <v/>
      </c>
      <c r="M115" s="4" t="n"/>
    </row>
    <row r="116">
      <c r="A116" s="5">
        <f>IF(AND(B116="",D116=""),"",ROW()-1)</f>
        <v/>
      </c>
      <c r="B116" s="4" t="n"/>
      <c r="C116" s="5">
        <f>IF(B116="","",IFERROR(VLOOKUP(B116,'Products'!$A$2:$F$201,2,FALSE),"Product not found"))</f>
        <v/>
      </c>
      <c r="D116" s="4" t="n"/>
      <c r="E116" s="5">
        <f>IF(D116="","",IFERROR(VLOOKUP(D116,'Items'!$A$2:$L$201,2,FALSE),"Item not found"))</f>
        <v/>
      </c>
      <c r="F116" s="9" t="n"/>
      <c r="G116" s="4" t="n"/>
      <c r="H116" s="10">
        <f>IF(OR(F116="",G116=""),"",IFERROR(F116*VLOOKUP(G116,'Units'!$A$2:$D$13,4,FALSE),""))</f>
        <v/>
      </c>
      <c r="I116" s="5">
        <f>IF(D116="","",IFERROR(VLOOKUP(D116,'Items'!$A$2:$L$201,4,FALSE),""))</f>
        <v/>
      </c>
      <c r="J116" s="10">
        <f>IF(D116="","",IFERROR(VLOOKUP(D116,'Items'!$A$2:$L$201,10,FALSE),""))</f>
        <v/>
      </c>
      <c r="K116" s="10">
        <f>IF(OR(H116="",J116=""),"",H116*J116)</f>
        <v/>
      </c>
      <c r="L116" s="5">
        <f>IF(AND(B116="",D116=""),"",IF(B116="","Missing product",IF(D116="","Missing item",IF(C116="Product not found","Product not found",IF(E116="Item not found","Item not found",IF(OR(F116="",G116=""),"Missing quantity/unit",IF(IFERROR(VLOOKUP(G116,'Units'!$A$2:$D$13,3,FALSE),"")&lt;&gt;I116,"Unit mismatch",IF(J116="","Enter item cost","OK"))))))))</f>
        <v/>
      </c>
      <c r="M116" s="4" t="n"/>
    </row>
    <row r="117">
      <c r="A117" s="5">
        <f>IF(AND(B117="",D117=""),"",ROW()-1)</f>
        <v/>
      </c>
      <c r="B117" s="4" t="n"/>
      <c r="C117" s="5">
        <f>IF(B117="","",IFERROR(VLOOKUP(B117,'Products'!$A$2:$F$201,2,FALSE),"Product not found"))</f>
        <v/>
      </c>
      <c r="D117" s="4" t="n"/>
      <c r="E117" s="5">
        <f>IF(D117="","",IFERROR(VLOOKUP(D117,'Items'!$A$2:$L$201,2,FALSE),"Item not found"))</f>
        <v/>
      </c>
      <c r="F117" s="9" t="n"/>
      <c r="G117" s="4" t="n"/>
      <c r="H117" s="10">
        <f>IF(OR(F117="",G117=""),"",IFERROR(F117*VLOOKUP(G117,'Units'!$A$2:$D$13,4,FALSE),""))</f>
        <v/>
      </c>
      <c r="I117" s="5">
        <f>IF(D117="","",IFERROR(VLOOKUP(D117,'Items'!$A$2:$L$201,4,FALSE),""))</f>
        <v/>
      </c>
      <c r="J117" s="10">
        <f>IF(D117="","",IFERROR(VLOOKUP(D117,'Items'!$A$2:$L$201,10,FALSE),""))</f>
        <v/>
      </c>
      <c r="K117" s="10">
        <f>IF(OR(H117="",J117=""),"",H117*J117)</f>
        <v/>
      </c>
      <c r="L117" s="5">
        <f>IF(AND(B117="",D117=""),"",IF(B117="","Missing product",IF(D117="","Missing item",IF(C117="Product not found","Product not found",IF(E117="Item not found","Item not found",IF(OR(F117="",G117=""),"Missing quantity/unit",IF(IFERROR(VLOOKUP(G117,'Units'!$A$2:$D$13,3,FALSE),"")&lt;&gt;I117,"Unit mismatch",IF(J117="","Enter item cost","OK"))))))))</f>
        <v/>
      </c>
      <c r="M117" s="4" t="n"/>
    </row>
    <row r="118">
      <c r="A118" s="5">
        <f>IF(AND(B118="",D118=""),"",ROW()-1)</f>
        <v/>
      </c>
      <c r="B118" s="4" t="n"/>
      <c r="C118" s="5">
        <f>IF(B118="","",IFERROR(VLOOKUP(B118,'Products'!$A$2:$F$201,2,FALSE),"Product not found"))</f>
        <v/>
      </c>
      <c r="D118" s="4" t="n"/>
      <c r="E118" s="5">
        <f>IF(D118="","",IFERROR(VLOOKUP(D118,'Items'!$A$2:$L$201,2,FALSE),"Item not found"))</f>
        <v/>
      </c>
      <c r="F118" s="9" t="n"/>
      <c r="G118" s="4" t="n"/>
      <c r="H118" s="10">
        <f>IF(OR(F118="",G118=""),"",IFERROR(F118*VLOOKUP(G118,'Units'!$A$2:$D$13,4,FALSE),""))</f>
        <v/>
      </c>
      <c r="I118" s="5">
        <f>IF(D118="","",IFERROR(VLOOKUP(D118,'Items'!$A$2:$L$201,4,FALSE),""))</f>
        <v/>
      </c>
      <c r="J118" s="10">
        <f>IF(D118="","",IFERROR(VLOOKUP(D118,'Items'!$A$2:$L$201,10,FALSE),""))</f>
        <v/>
      </c>
      <c r="K118" s="10">
        <f>IF(OR(H118="",J118=""),"",H118*J118)</f>
        <v/>
      </c>
      <c r="L118" s="5">
        <f>IF(AND(B118="",D118=""),"",IF(B118="","Missing product",IF(D118="","Missing item",IF(C118="Product not found","Product not found",IF(E118="Item not found","Item not found",IF(OR(F118="",G118=""),"Missing quantity/unit",IF(IFERROR(VLOOKUP(G118,'Units'!$A$2:$D$13,3,FALSE),"")&lt;&gt;I118,"Unit mismatch",IF(J118="","Enter item cost","OK"))))))))</f>
        <v/>
      </c>
      <c r="M118" s="4" t="n"/>
    </row>
    <row r="119">
      <c r="A119" s="5">
        <f>IF(AND(B119="",D119=""),"",ROW()-1)</f>
        <v/>
      </c>
      <c r="B119" s="4" t="n"/>
      <c r="C119" s="5">
        <f>IF(B119="","",IFERROR(VLOOKUP(B119,'Products'!$A$2:$F$201,2,FALSE),"Product not found"))</f>
        <v/>
      </c>
      <c r="D119" s="4" t="n"/>
      <c r="E119" s="5">
        <f>IF(D119="","",IFERROR(VLOOKUP(D119,'Items'!$A$2:$L$201,2,FALSE),"Item not found"))</f>
        <v/>
      </c>
      <c r="F119" s="9" t="n"/>
      <c r="G119" s="4" t="n"/>
      <c r="H119" s="10">
        <f>IF(OR(F119="",G119=""),"",IFERROR(F119*VLOOKUP(G119,'Units'!$A$2:$D$13,4,FALSE),""))</f>
        <v/>
      </c>
      <c r="I119" s="5">
        <f>IF(D119="","",IFERROR(VLOOKUP(D119,'Items'!$A$2:$L$201,4,FALSE),""))</f>
        <v/>
      </c>
      <c r="J119" s="10">
        <f>IF(D119="","",IFERROR(VLOOKUP(D119,'Items'!$A$2:$L$201,10,FALSE),""))</f>
        <v/>
      </c>
      <c r="K119" s="10">
        <f>IF(OR(H119="",J119=""),"",H119*J119)</f>
        <v/>
      </c>
      <c r="L119" s="5">
        <f>IF(AND(B119="",D119=""),"",IF(B119="","Missing product",IF(D119="","Missing item",IF(C119="Product not found","Product not found",IF(E119="Item not found","Item not found",IF(OR(F119="",G119=""),"Missing quantity/unit",IF(IFERROR(VLOOKUP(G119,'Units'!$A$2:$D$13,3,FALSE),"")&lt;&gt;I119,"Unit mismatch",IF(J119="","Enter item cost","OK"))))))))</f>
        <v/>
      </c>
      <c r="M119" s="4" t="n"/>
    </row>
    <row r="120">
      <c r="A120" s="5">
        <f>IF(AND(B120="",D120=""),"",ROW()-1)</f>
        <v/>
      </c>
      <c r="B120" s="4" t="n"/>
      <c r="C120" s="5">
        <f>IF(B120="","",IFERROR(VLOOKUP(B120,'Products'!$A$2:$F$201,2,FALSE),"Product not found"))</f>
        <v/>
      </c>
      <c r="D120" s="4" t="n"/>
      <c r="E120" s="5">
        <f>IF(D120="","",IFERROR(VLOOKUP(D120,'Items'!$A$2:$L$201,2,FALSE),"Item not found"))</f>
        <v/>
      </c>
      <c r="F120" s="9" t="n"/>
      <c r="G120" s="4" t="n"/>
      <c r="H120" s="10">
        <f>IF(OR(F120="",G120=""),"",IFERROR(F120*VLOOKUP(G120,'Units'!$A$2:$D$13,4,FALSE),""))</f>
        <v/>
      </c>
      <c r="I120" s="5">
        <f>IF(D120="","",IFERROR(VLOOKUP(D120,'Items'!$A$2:$L$201,4,FALSE),""))</f>
        <v/>
      </c>
      <c r="J120" s="10">
        <f>IF(D120="","",IFERROR(VLOOKUP(D120,'Items'!$A$2:$L$201,10,FALSE),""))</f>
        <v/>
      </c>
      <c r="K120" s="10">
        <f>IF(OR(H120="",J120=""),"",H120*J120)</f>
        <v/>
      </c>
      <c r="L120" s="5">
        <f>IF(AND(B120="",D120=""),"",IF(B120="","Missing product",IF(D120="","Missing item",IF(C120="Product not found","Product not found",IF(E120="Item not found","Item not found",IF(OR(F120="",G120=""),"Missing quantity/unit",IF(IFERROR(VLOOKUP(G120,'Units'!$A$2:$D$13,3,FALSE),"")&lt;&gt;I120,"Unit mismatch",IF(J120="","Enter item cost","OK"))))))))</f>
        <v/>
      </c>
      <c r="M120" s="4" t="n"/>
    </row>
    <row r="121">
      <c r="A121" s="5">
        <f>IF(AND(B121="",D121=""),"",ROW()-1)</f>
        <v/>
      </c>
      <c r="B121" s="4" t="n"/>
      <c r="C121" s="5">
        <f>IF(B121="","",IFERROR(VLOOKUP(B121,'Products'!$A$2:$F$201,2,FALSE),"Product not found"))</f>
        <v/>
      </c>
      <c r="D121" s="4" t="n"/>
      <c r="E121" s="5">
        <f>IF(D121="","",IFERROR(VLOOKUP(D121,'Items'!$A$2:$L$201,2,FALSE),"Item not found"))</f>
        <v/>
      </c>
      <c r="F121" s="9" t="n"/>
      <c r="G121" s="4" t="n"/>
      <c r="H121" s="10">
        <f>IF(OR(F121="",G121=""),"",IFERROR(F121*VLOOKUP(G121,'Units'!$A$2:$D$13,4,FALSE),""))</f>
        <v/>
      </c>
      <c r="I121" s="5">
        <f>IF(D121="","",IFERROR(VLOOKUP(D121,'Items'!$A$2:$L$201,4,FALSE),""))</f>
        <v/>
      </c>
      <c r="J121" s="10">
        <f>IF(D121="","",IFERROR(VLOOKUP(D121,'Items'!$A$2:$L$201,10,FALSE),""))</f>
        <v/>
      </c>
      <c r="K121" s="10">
        <f>IF(OR(H121="",J121=""),"",H121*J121)</f>
        <v/>
      </c>
      <c r="L121" s="5">
        <f>IF(AND(B121="",D121=""),"",IF(B121="","Missing product",IF(D121="","Missing item",IF(C121="Product not found","Product not found",IF(E121="Item not found","Item not found",IF(OR(F121="",G121=""),"Missing quantity/unit",IF(IFERROR(VLOOKUP(G121,'Units'!$A$2:$D$13,3,FALSE),"")&lt;&gt;I121,"Unit mismatch",IF(J121="","Enter item cost","OK"))))))))</f>
        <v/>
      </c>
      <c r="M121" s="4" t="n"/>
    </row>
    <row r="122">
      <c r="A122" s="5">
        <f>IF(AND(B122="",D122=""),"",ROW()-1)</f>
        <v/>
      </c>
      <c r="B122" s="4" t="n"/>
      <c r="C122" s="5">
        <f>IF(B122="","",IFERROR(VLOOKUP(B122,'Products'!$A$2:$F$201,2,FALSE),"Product not found"))</f>
        <v/>
      </c>
      <c r="D122" s="4" t="n"/>
      <c r="E122" s="5">
        <f>IF(D122="","",IFERROR(VLOOKUP(D122,'Items'!$A$2:$L$201,2,FALSE),"Item not found"))</f>
        <v/>
      </c>
      <c r="F122" s="9" t="n"/>
      <c r="G122" s="4" t="n"/>
      <c r="H122" s="10">
        <f>IF(OR(F122="",G122=""),"",IFERROR(F122*VLOOKUP(G122,'Units'!$A$2:$D$13,4,FALSE),""))</f>
        <v/>
      </c>
      <c r="I122" s="5">
        <f>IF(D122="","",IFERROR(VLOOKUP(D122,'Items'!$A$2:$L$201,4,FALSE),""))</f>
        <v/>
      </c>
      <c r="J122" s="10">
        <f>IF(D122="","",IFERROR(VLOOKUP(D122,'Items'!$A$2:$L$201,10,FALSE),""))</f>
        <v/>
      </c>
      <c r="K122" s="10">
        <f>IF(OR(H122="",J122=""),"",H122*J122)</f>
        <v/>
      </c>
      <c r="L122" s="5">
        <f>IF(AND(B122="",D122=""),"",IF(B122="","Missing product",IF(D122="","Missing item",IF(C122="Product not found","Product not found",IF(E122="Item not found","Item not found",IF(OR(F122="",G122=""),"Missing quantity/unit",IF(IFERROR(VLOOKUP(G122,'Units'!$A$2:$D$13,3,FALSE),"")&lt;&gt;I122,"Unit mismatch",IF(J122="","Enter item cost","OK"))))))))</f>
        <v/>
      </c>
      <c r="M122" s="4" t="n"/>
    </row>
    <row r="123">
      <c r="A123" s="5">
        <f>IF(AND(B123="",D123=""),"",ROW()-1)</f>
        <v/>
      </c>
      <c r="B123" s="4" t="n"/>
      <c r="C123" s="5">
        <f>IF(B123="","",IFERROR(VLOOKUP(B123,'Products'!$A$2:$F$201,2,FALSE),"Product not found"))</f>
        <v/>
      </c>
      <c r="D123" s="4" t="n"/>
      <c r="E123" s="5">
        <f>IF(D123="","",IFERROR(VLOOKUP(D123,'Items'!$A$2:$L$201,2,FALSE),"Item not found"))</f>
        <v/>
      </c>
      <c r="F123" s="9" t="n"/>
      <c r="G123" s="4" t="n"/>
      <c r="H123" s="10">
        <f>IF(OR(F123="",G123=""),"",IFERROR(F123*VLOOKUP(G123,'Units'!$A$2:$D$13,4,FALSE),""))</f>
        <v/>
      </c>
      <c r="I123" s="5">
        <f>IF(D123="","",IFERROR(VLOOKUP(D123,'Items'!$A$2:$L$201,4,FALSE),""))</f>
        <v/>
      </c>
      <c r="J123" s="10">
        <f>IF(D123="","",IFERROR(VLOOKUP(D123,'Items'!$A$2:$L$201,10,FALSE),""))</f>
        <v/>
      </c>
      <c r="K123" s="10">
        <f>IF(OR(H123="",J123=""),"",H123*J123)</f>
        <v/>
      </c>
      <c r="L123" s="5">
        <f>IF(AND(B123="",D123=""),"",IF(B123="","Missing product",IF(D123="","Missing item",IF(C123="Product not found","Product not found",IF(E123="Item not found","Item not found",IF(OR(F123="",G123=""),"Missing quantity/unit",IF(IFERROR(VLOOKUP(G123,'Units'!$A$2:$D$13,3,FALSE),"")&lt;&gt;I123,"Unit mismatch",IF(J123="","Enter item cost","OK"))))))))</f>
        <v/>
      </c>
      <c r="M123" s="4" t="n"/>
    </row>
    <row r="124">
      <c r="A124" s="5">
        <f>IF(AND(B124="",D124=""),"",ROW()-1)</f>
        <v/>
      </c>
      <c r="B124" s="4" t="n"/>
      <c r="C124" s="5">
        <f>IF(B124="","",IFERROR(VLOOKUP(B124,'Products'!$A$2:$F$201,2,FALSE),"Product not found"))</f>
        <v/>
      </c>
      <c r="D124" s="4" t="n"/>
      <c r="E124" s="5">
        <f>IF(D124="","",IFERROR(VLOOKUP(D124,'Items'!$A$2:$L$201,2,FALSE),"Item not found"))</f>
        <v/>
      </c>
      <c r="F124" s="9" t="n"/>
      <c r="G124" s="4" t="n"/>
      <c r="H124" s="10">
        <f>IF(OR(F124="",G124=""),"",IFERROR(F124*VLOOKUP(G124,'Units'!$A$2:$D$13,4,FALSE),""))</f>
        <v/>
      </c>
      <c r="I124" s="5">
        <f>IF(D124="","",IFERROR(VLOOKUP(D124,'Items'!$A$2:$L$201,4,FALSE),""))</f>
        <v/>
      </c>
      <c r="J124" s="10">
        <f>IF(D124="","",IFERROR(VLOOKUP(D124,'Items'!$A$2:$L$201,10,FALSE),""))</f>
        <v/>
      </c>
      <c r="K124" s="10">
        <f>IF(OR(H124="",J124=""),"",H124*J124)</f>
        <v/>
      </c>
      <c r="L124" s="5">
        <f>IF(AND(B124="",D124=""),"",IF(B124="","Missing product",IF(D124="","Missing item",IF(C124="Product not found","Product not found",IF(E124="Item not found","Item not found",IF(OR(F124="",G124=""),"Missing quantity/unit",IF(IFERROR(VLOOKUP(G124,'Units'!$A$2:$D$13,3,FALSE),"")&lt;&gt;I124,"Unit mismatch",IF(J124="","Enter item cost","OK"))))))))</f>
        <v/>
      </c>
      <c r="M124" s="4" t="n"/>
    </row>
    <row r="125">
      <c r="A125" s="5">
        <f>IF(AND(B125="",D125=""),"",ROW()-1)</f>
        <v/>
      </c>
      <c r="B125" s="4" t="n"/>
      <c r="C125" s="5">
        <f>IF(B125="","",IFERROR(VLOOKUP(B125,'Products'!$A$2:$F$201,2,FALSE),"Product not found"))</f>
        <v/>
      </c>
      <c r="D125" s="4" t="n"/>
      <c r="E125" s="5">
        <f>IF(D125="","",IFERROR(VLOOKUP(D125,'Items'!$A$2:$L$201,2,FALSE),"Item not found"))</f>
        <v/>
      </c>
      <c r="F125" s="9" t="n"/>
      <c r="G125" s="4" t="n"/>
      <c r="H125" s="10">
        <f>IF(OR(F125="",G125=""),"",IFERROR(F125*VLOOKUP(G125,'Units'!$A$2:$D$13,4,FALSE),""))</f>
        <v/>
      </c>
      <c r="I125" s="5">
        <f>IF(D125="","",IFERROR(VLOOKUP(D125,'Items'!$A$2:$L$201,4,FALSE),""))</f>
        <v/>
      </c>
      <c r="J125" s="10">
        <f>IF(D125="","",IFERROR(VLOOKUP(D125,'Items'!$A$2:$L$201,10,FALSE),""))</f>
        <v/>
      </c>
      <c r="K125" s="10">
        <f>IF(OR(H125="",J125=""),"",H125*J125)</f>
        <v/>
      </c>
      <c r="L125" s="5">
        <f>IF(AND(B125="",D125=""),"",IF(B125="","Missing product",IF(D125="","Missing item",IF(C125="Product not found","Product not found",IF(E125="Item not found","Item not found",IF(OR(F125="",G125=""),"Missing quantity/unit",IF(IFERROR(VLOOKUP(G125,'Units'!$A$2:$D$13,3,FALSE),"")&lt;&gt;I125,"Unit mismatch",IF(J125="","Enter item cost","OK"))))))))</f>
        <v/>
      </c>
      <c r="M125" s="4" t="n"/>
    </row>
    <row r="126">
      <c r="A126" s="5">
        <f>IF(AND(B126="",D126=""),"",ROW()-1)</f>
        <v/>
      </c>
      <c r="B126" s="4" t="n"/>
      <c r="C126" s="5">
        <f>IF(B126="","",IFERROR(VLOOKUP(B126,'Products'!$A$2:$F$201,2,FALSE),"Product not found"))</f>
        <v/>
      </c>
      <c r="D126" s="4" t="n"/>
      <c r="E126" s="5">
        <f>IF(D126="","",IFERROR(VLOOKUP(D126,'Items'!$A$2:$L$201,2,FALSE),"Item not found"))</f>
        <v/>
      </c>
      <c r="F126" s="9" t="n"/>
      <c r="G126" s="4" t="n"/>
      <c r="H126" s="10">
        <f>IF(OR(F126="",G126=""),"",IFERROR(F126*VLOOKUP(G126,'Units'!$A$2:$D$13,4,FALSE),""))</f>
        <v/>
      </c>
      <c r="I126" s="5">
        <f>IF(D126="","",IFERROR(VLOOKUP(D126,'Items'!$A$2:$L$201,4,FALSE),""))</f>
        <v/>
      </c>
      <c r="J126" s="10">
        <f>IF(D126="","",IFERROR(VLOOKUP(D126,'Items'!$A$2:$L$201,10,FALSE),""))</f>
        <v/>
      </c>
      <c r="K126" s="10">
        <f>IF(OR(H126="",J126=""),"",H126*J126)</f>
        <v/>
      </c>
      <c r="L126" s="5">
        <f>IF(AND(B126="",D126=""),"",IF(B126="","Missing product",IF(D126="","Missing item",IF(C126="Product not found","Product not found",IF(E126="Item not found","Item not found",IF(OR(F126="",G126=""),"Missing quantity/unit",IF(IFERROR(VLOOKUP(G126,'Units'!$A$2:$D$13,3,FALSE),"")&lt;&gt;I126,"Unit mismatch",IF(J126="","Enter item cost","OK"))))))))</f>
        <v/>
      </c>
      <c r="M126" s="4" t="n"/>
    </row>
    <row r="127">
      <c r="A127" s="5">
        <f>IF(AND(B127="",D127=""),"",ROW()-1)</f>
        <v/>
      </c>
      <c r="B127" s="4" t="n"/>
      <c r="C127" s="5">
        <f>IF(B127="","",IFERROR(VLOOKUP(B127,'Products'!$A$2:$F$201,2,FALSE),"Product not found"))</f>
        <v/>
      </c>
      <c r="D127" s="4" t="n"/>
      <c r="E127" s="5">
        <f>IF(D127="","",IFERROR(VLOOKUP(D127,'Items'!$A$2:$L$201,2,FALSE),"Item not found"))</f>
        <v/>
      </c>
      <c r="F127" s="9" t="n"/>
      <c r="G127" s="4" t="n"/>
      <c r="H127" s="10">
        <f>IF(OR(F127="",G127=""),"",IFERROR(F127*VLOOKUP(G127,'Units'!$A$2:$D$13,4,FALSE),""))</f>
        <v/>
      </c>
      <c r="I127" s="5">
        <f>IF(D127="","",IFERROR(VLOOKUP(D127,'Items'!$A$2:$L$201,4,FALSE),""))</f>
        <v/>
      </c>
      <c r="J127" s="10">
        <f>IF(D127="","",IFERROR(VLOOKUP(D127,'Items'!$A$2:$L$201,10,FALSE),""))</f>
        <v/>
      </c>
      <c r="K127" s="10">
        <f>IF(OR(H127="",J127=""),"",H127*J127)</f>
        <v/>
      </c>
      <c r="L127" s="5">
        <f>IF(AND(B127="",D127=""),"",IF(B127="","Missing product",IF(D127="","Missing item",IF(C127="Product not found","Product not found",IF(E127="Item not found","Item not found",IF(OR(F127="",G127=""),"Missing quantity/unit",IF(IFERROR(VLOOKUP(G127,'Units'!$A$2:$D$13,3,FALSE),"")&lt;&gt;I127,"Unit mismatch",IF(J127="","Enter item cost","OK"))))))))</f>
        <v/>
      </c>
      <c r="M127" s="4" t="n"/>
    </row>
    <row r="128">
      <c r="A128" s="5">
        <f>IF(AND(B128="",D128=""),"",ROW()-1)</f>
        <v/>
      </c>
      <c r="B128" s="4" t="n"/>
      <c r="C128" s="5">
        <f>IF(B128="","",IFERROR(VLOOKUP(B128,'Products'!$A$2:$F$201,2,FALSE),"Product not found"))</f>
        <v/>
      </c>
      <c r="D128" s="4" t="n"/>
      <c r="E128" s="5">
        <f>IF(D128="","",IFERROR(VLOOKUP(D128,'Items'!$A$2:$L$201,2,FALSE),"Item not found"))</f>
        <v/>
      </c>
      <c r="F128" s="9" t="n"/>
      <c r="G128" s="4" t="n"/>
      <c r="H128" s="10">
        <f>IF(OR(F128="",G128=""),"",IFERROR(F128*VLOOKUP(G128,'Units'!$A$2:$D$13,4,FALSE),""))</f>
        <v/>
      </c>
      <c r="I128" s="5">
        <f>IF(D128="","",IFERROR(VLOOKUP(D128,'Items'!$A$2:$L$201,4,FALSE),""))</f>
        <v/>
      </c>
      <c r="J128" s="10">
        <f>IF(D128="","",IFERROR(VLOOKUP(D128,'Items'!$A$2:$L$201,10,FALSE),""))</f>
        <v/>
      </c>
      <c r="K128" s="10">
        <f>IF(OR(H128="",J128=""),"",H128*J128)</f>
        <v/>
      </c>
      <c r="L128" s="5">
        <f>IF(AND(B128="",D128=""),"",IF(B128="","Missing product",IF(D128="","Missing item",IF(C128="Product not found","Product not found",IF(E128="Item not found","Item not found",IF(OR(F128="",G128=""),"Missing quantity/unit",IF(IFERROR(VLOOKUP(G128,'Units'!$A$2:$D$13,3,FALSE),"")&lt;&gt;I128,"Unit mismatch",IF(J128="","Enter item cost","OK"))))))))</f>
        <v/>
      </c>
      <c r="M128" s="4" t="n"/>
    </row>
    <row r="129">
      <c r="A129" s="5">
        <f>IF(AND(B129="",D129=""),"",ROW()-1)</f>
        <v/>
      </c>
      <c r="B129" s="4" t="n"/>
      <c r="C129" s="5">
        <f>IF(B129="","",IFERROR(VLOOKUP(B129,'Products'!$A$2:$F$201,2,FALSE),"Product not found"))</f>
        <v/>
      </c>
      <c r="D129" s="4" t="n"/>
      <c r="E129" s="5">
        <f>IF(D129="","",IFERROR(VLOOKUP(D129,'Items'!$A$2:$L$201,2,FALSE),"Item not found"))</f>
        <v/>
      </c>
      <c r="F129" s="9" t="n"/>
      <c r="G129" s="4" t="n"/>
      <c r="H129" s="10">
        <f>IF(OR(F129="",G129=""),"",IFERROR(F129*VLOOKUP(G129,'Units'!$A$2:$D$13,4,FALSE),""))</f>
        <v/>
      </c>
      <c r="I129" s="5">
        <f>IF(D129="","",IFERROR(VLOOKUP(D129,'Items'!$A$2:$L$201,4,FALSE),""))</f>
        <v/>
      </c>
      <c r="J129" s="10">
        <f>IF(D129="","",IFERROR(VLOOKUP(D129,'Items'!$A$2:$L$201,10,FALSE),""))</f>
        <v/>
      </c>
      <c r="K129" s="10">
        <f>IF(OR(H129="",J129=""),"",H129*J129)</f>
        <v/>
      </c>
      <c r="L129" s="5">
        <f>IF(AND(B129="",D129=""),"",IF(B129="","Missing product",IF(D129="","Missing item",IF(C129="Product not found","Product not found",IF(E129="Item not found","Item not found",IF(OR(F129="",G129=""),"Missing quantity/unit",IF(IFERROR(VLOOKUP(G129,'Units'!$A$2:$D$13,3,FALSE),"")&lt;&gt;I129,"Unit mismatch",IF(J129="","Enter item cost","OK"))))))))</f>
        <v/>
      </c>
      <c r="M129" s="4" t="n"/>
    </row>
    <row r="130">
      <c r="A130" s="5">
        <f>IF(AND(B130="",D130=""),"",ROW()-1)</f>
        <v/>
      </c>
      <c r="B130" s="4" t="n"/>
      <c r="C130" s="5">
        <f>IF(B130="","",IFERROR(VLOOKUP(B130,'Products'!$A$2:$F$201,2,FALSE),"Product not found"))</f>
        <v/>
      </c>
      <c r="D130" s="4" t="n"/>
      <c r="E130" s="5">
        <f>IF(D130="","",IFERROR(VLOOKUP(D130,'Items'!$A$2:$L$201,2,FALSE),"Item not found"))</f>
        <v/>
      </c>
      <c r="F130" s="9" t="n"/>
      <c r="G130" s="4" t="n"/>
      <c r="H130" s="10">
        <f>IF(OR(F130="",G130=""),"",IFERROR(F130*VLOOKUP(G130,'Units'!$A$2:$D$13,4,FALSE),""))</f>
        <v/>
      </c>
      <c r="I130" s="5">
        <f>IF(D130="","",IFERROR(VLOOKUP(D130,'Items'!$A$2:$L$201,4,FALSE),""))</f>
        <v/>
      </c>
      <c r="J130" s="10">
        <f>IF(D130="","",IFERROR(VLOOKUP(D130,'Items'!$A$2:$L$201,10,FALSE),""))</f>
        <v/>
      </c>
      <c r="K130" s="10">
        <f>IF(OR(H130="",J130=""),"",H130*J130)</f>
        <v/>
      </c>
      <c r="L130" s="5">
        <f>IF(AND(B130="",D130=""),"",IF(B130="","Missing product",IF(D130="","Missing item",IF(C130="Product not found","Product not found",IF(E130="Item not found","Item not found",IF(OR(F130="",G130=""),"Missing quantity/unit",IF(IFERROR(VLOOKUP(G130,'Units'!$A$2:$D$13,3,FALSE),"")&lt;&gt;I130,"Unit mismatch",IF(J130="","Enter item cost","OK"))))))))</f>
        <v/>
      </c>
      <c r="M130" s="4" t="n"/>
    </row>
    <row r="131">
      <c r="A131" s="5">
        <f>IF(AND(B131="",D131=""),"",ROW()-1)</f>
        <v/>
      </c>
      <c r="B131" s="4" t="n"/>
      <c r="C131" s="5">
        <f>IF(B131="","",IFERROR(VLOOKUP(B131,'Products'!$A$2:$F$201,2,FALSE),"Product not found"))</f>
        <v/>
      </c>
      <c r="D131" s="4" t="n"/>
      <c r="E131" s="5">
        <f>IF(D131="","",IFERROR(VLOOKUP(D131,'Items'!$A$2:$L$201,2,FALSE),"Item not found"))</f>
        <v/>
      </c>
      <c r="F131" s="9" t="n"/>
      <c r="G131" s="4" t="n"/>
      <c r="H131" s="10">
        <f>IF(OR(F131="",G131=""),"",IFERROR(F131*VLOOKUP(G131,'Units'!$A$2:$D$13,4,FALSE),""))</f>
        <v/>
      </c>
      <c r="I131" s="5">
        <f>IF(D131="","",IFERROR(VLOOKUP(D131,'Items'!$A$2:$L$201,4,FALSE),""))</f>
        <v/>
      </c>
      <c r="J131" s="10">
        <f>IF(D131="","",IFERROR(VLOOKUP(D131,'Items'!$A$2:$L$201,10,FALSE),""))</f>
        <v/>
      </c>
      <c r="K131" s="10">
        <f>IF(OR(H131="",J131=""),"",H131*J131)</f>
        <v/>
      </c>
      <c r="L131" s="5">
        <f>IF(AND(B131="",D131=""),"",IF(B131="","Missing product",IF(D131="","Missing item",IF(C131="Product not found","Product not found",IF(E131="Item not found","Item not found",IF(OR(F131="",G131=""),"Missing quantity/unit",IF(IFERROR(VLOOKUP(G131,'Units'!$A$2:$D$13,3,FALSE),"")&lt;&gt;I131,"Unit mismatch",IF(J131="","Enter item cost","OK"))))))))</f>
        <v/>
      </c>
      <c r="M131" s="4" t="n"/>
    </row>
    <row r="132">
      <c r="A132" s="5">
        <f>IF(AND(B132="",D132=""),"",ROW()-1)</f>
        <v/>
      </c>
      <c r="B132" s="4" t="n"/>
      <c r="C132" s="5">
        <f>IF(B132="","",IFERROR(VLOOKUP(B132,'Products'!$A$2:$F$201,2,FALSE),"Product not found"))</f>
        <v/>
      </c>
      <c r="D132" s="4" t="n"/>
      <c r="E132" s="5">
        <f>IF(D132="","",IFERROR(VLOOKUP(D132,'Items'!$A$2:$L$201,2,FALSE),"Item not found"))</f>
        <v/>
      </c>
      <c r="F132" s="9" t="n"/>
      <c r="G132" s="4" t="n"/>
      <c r="H132" s="10">
        <f>IF(OR(F132="",G132=""),"",IFERROR(F132*VLOOKUP(G132,'Units'!$A$2:$D$13,4,FALSE),""))</f>
        <v/>
      </c>
      <c r="I132" s="5">
        <f>IF(D132="","",IFERROR(VLOOKUP(D132,'Items'!$A$2:$L$201,4,FALSE),""))</f>
        <v/>
      </c>
      <c r="J132" s="10">
        <f>IF(D132="","",IFERROR(VLOOKUP(D132,'Items'!$A$2:$L$201,10,FALSE),""))</f>
        <v/>
      </c>
      <c r="K132" s="10">
        <f>IF(OR(H132="",J132=""),"",H132*J132)</f>
        <v/>
      </c>
      <c r="L132" s="5">
        <f>IF(AND(B132="",D132=""),"",IF(B132="","Missing product",IF(D132="","Missing item",IF(C132="Product not found","Product not found",IF(E132="Item not found","Item not found",IF(OR(F132="",G132=""),"Missing quantity/unit",IF(IFERROR(VLOOKUP(G132,'Units'!$A$2:$D$13,3,FALSE),"")&lt;&gt;I132,"Unit mismatch",IF(J132="","Enter item cost","OK"))))))))</f>
        <v/>
      </c>
      <c r="M132" s="4" t="n"/>
    </row>
    <row r="133">
      <c r="A133" s="5">
        <f>IF(AND(B133="",D133=""),"",ROW()-1)</f>
        <v/>
      </c>
      <c r="B133" s="4" t="n"/>
      <c r="C133" s="5">
        <f>IF(B133="","",IFERROR(VLOOKUP(B133,'Products'!$A$2:$F$201,2,FALSE),"Product not found"))</f>
        <v/>
      </c>
      <c r="D133" s="4" t="n"/>
      <c r="E133" s="5">
        <f>IF(D133="","",IFERROR(VLOOKUP(D133,'Items'!$A$2:$L$201,2,FALSE),"Item not found"))</f>
        <v/>
      </c>
      <c r="F133" s="9" t="n"/>
      <c r="G133" s="4" t="n"/>
      <c r="H133" s="10">
        <f>IF(OR(F133="",G133=""),"",IFERROR(F133*VLOOKUP(G133,'Units'!$A$2:$D$13,4,FALSE),""))</f>
        <v/>
      </c>
      <c r="I133" s="5">
        <f>IF(D133="","",IFERROR(VLOOKUP(D133,'Items'!$A$2:$L$201,4,FALSE),""))</f>
        <v/>
      </c>
      <c r="J133" s="10">
        <f>IF(D133="","",IFERROR(VLOOKUP(D133,'Items'!$A$2:$L$201,10,FALSE),""))</f>
        <v/>
      </c>
      <c r="K133" s="10">
        <f>IF(OR(H133="",J133=""),"",H133*J133)</f>
        <v/>
      </c>
      <c r="L133" s="5">
        <f>IF(AND(B133="",D133=""),"",IF(B133="","Missing product",IF(D133="","Missing item",IF(C133="Product not found","Product not found",IF(E133="Item not found","Item not found",IF(OR(F133="",G133=""),"Missing quantity/unit",IF(IFERROR(VLOOKUP(G133,'Units'!$A$2:$D$13,3,FALSE),"")&lt;&gt;I133,"Unit mismatch",IF(J133="","Enter item cost","OK"))))))))</f>
        <v/>
      </c>
      <c r="M133" s="4" t="n"/>
    </row>
    <row r="134">
      <c r="A134" s="5">
        <f>IF(AND(B134="",D134=""),"",ROW()-1)</f>
        <v/>
      </c>
      <c r="B134" s="4" t="n"/>
      <c r="C134" s="5">
        <f>IF(B134="","",IFERROR(VLOOKUP(B134,'Products'!$A$2:$F$201,2,FALSE),"Product not found"))</f>
        <v/>
      </c>
      <c r="D134" s="4" t="n"/>
      <c r="E134" s="5">
        <f>IF(D134="","",IFERROR(VLOOKUP(D134,'Items'!$A$2:$L$201,2,FALSE),"Item not found"))</f>
        <v/>
      </c>
      <c r="F134" s="9" t="n"/>
      <c r="G134" s="4" t="n"/>
      <c r="H134" s="10">
        <f>IF(OR(F134="",G134=""),"",IFERROR(F134*VLOOKUP(G134,'Units'!$A$2:$D$13,4,FALSE),""))</f>
        <v/>
      </c>
      <c r="I134" s="5">
        <f>IF(D134="","",IFERROR(VLOOKUP(D134,'Items'!$A$2:$L$201,4,FALSE),""))</f>
        <v/>
      </c>
      <c r="J134" s="10">
        <f>IF(D134="","",IFERROR(VLOOKUP(D134,'Items'!$A$2:$L$201,10,FALSE),""))</f>
        <v/>
      </c>
      <c r="K134" s="10">
        <f>IF(OR(H134="",J134=""),"",H134*J134)</f>
        <v/>
      </c>
      <c r="L134" s="5">
        <f>IF(AND(B134="",D134=""),"",IF(B134="","Missing product",IF(D134="","Missing item",IF(C134="Product not found","Product not found",IF(E134="Item not found","Item not found",IF(OR(F134="",G134=""),"Missing quantity/unit",IF(IFERROR(VLOOKUP(G134,'Units'!$A$2:$D$13,3,FALSE),"")&lt;&gt;I134,"Unit mismatch",IF(J134="","Enter item cost","OK"))))))))</f>
        <v/>
      </c>
      <c r="M134" s="4" t="n"/>
    </row>
    <row r="135">
      <c r="A135" s="5">
        <f>IF(AND(B135="",D135=""),"",ROW()-1)</f>
        <v/>
      </c>
      <c r="B135" s="4" t="n"/>
      <c r="C135" s="5">
        <f>IF(B135="","",IFERROR(VLOOKUP(B135,'Products'!$A$2:$F$201,2,FALSE),"Product not found"))</f>
        <v/>
      </c>
      <c r="D135" s="4" t="n"/>
      <c r="E135" s="5">
        <f>IF(D135="","",IFERROR(VLOOKUP(D135,'Items'!$A$2:$L$201,2,FALSE),"Item not found"))</f>
        <v/>
      </c>
      <c r="F135" s="9" t="n"/>
      <c r="G135" s="4" t="n"/>
      <c r="H135" s="10">
        <f>IF(OR(F135="",G135=""),"",IFERROR(F135*VLOOKUP(G135,'Units'!$A$2:$D$13,4,FALSE),""))</f>
        <v/>
      </c>
      <c r="I135" s="5">
        <f>IF(D135="","",IFERROR(VLOOKUP(D135,'Items'!$A$2:$L$201,4,FALSE),""))</f>
        <v/>
      </c>
      <c r="J135" s="10">
        <f>IF(D135="","",IFERROR(VLOOKUP(D135,'Items'!$A$2:$L$201,10,FALSE),""))</f>
        <v/>
      </c>
      <c r="K135" s="10">
        <f>IF(OR(H135="",J135=""),"",H135*J135)</f>
        <v/>
      </c>
      <c r="L135" s="5">
        <f>IF(AND(B135="",D135=""),"",IF(B135="","Missing product",IF(D135="","Missing item",IF(C135="Product not found","Product not found",IF(E135="Item not found","Item not found",IF(OR(F135="",G135=""),"Missing quantity/unit",IF(IFERROR(VLOOKUP(G135,'Units'!$A$2:$D$13,3,FALSE),"")&lt;&gt;I135,"Unit mismatch",IF(J135="","Enter item cost","OK"))))))))</f>
        <v/>
      </c>
      <c r="M135" s="4" t="n"/>
    </row>
    <row r="136">
      <c r="A136" s="5">
        <f>IF(AND(B136="",D136=""),"",ROW()-1)</f>
        <v/>
      </c>
      <c r="B136" s="4" t="n"/>
      <c r="C136" s="5">
        <f>IF(B136="","",IFERROR(VLOOKUP(B136,'Products'!$A$2:$F$201,2,FALSE),"Product not found"))</f>
        <v/>
      </c>
      <c r="D136" s="4" t="n"/>
      <c r="E136" s="5">
        <f>IF(D136="","",IFERROR(VLOOKUP(D136,'Items'!$A$2:$L$201,2,FALSE),"Item not found"))</f>
        <v/>
      </c>
      <c r="F136" s="9" t="n"/>
      <c r="G136" s="4" t="n"/>
      <c r="H136" s="10">
        <f>IF(OR(F136="",G136=""),"",IFERROR(F136*VLOOKUP(G136,'Units'!$A$2:$D$13,4,FALSE),""))</f>
        <v/>
      </c>
      <c r="I136" s="5">
        <f>IF(D136="","",IFERROR(VLOOKUP(D136,'Items'!$A$2:$L$201,4,FALSE),""))</f>
        <v/>
      </c>
      <c r="J136" s="10">
        <f>IF(D136="","",IFERROR(VLOOKUP(D136,'Items'!$A$2:$L$201,10,FALSE),""))</f>
        <v/>
      </c>
      <c r="K136" s="10">
        <f>IF(OR(H136="",J136=""),"",H136*J136)</f>
        <v/>
      </c>
      <c r="L136" s="5">
        <f>IF(AND(B136="",D136=""),"",IF(B136="","Missing product",IF(D136="","Missing item",IF(C136="Product not found","Product not found",IF(E136="Item not found","Item not found",IF(OR(F136="",G136=""),"Missing quantity/unit",IF(IFERROR(VLOOKUP(G136,'Units'!$A$2:$D$13,3,FALSE),"")&lt;&gt;I136,"Unit mismatch",IF(J136="","Enter item cost","OK"))))))))</f>
        <v/>
      </c>
      <c r="M136" s="4" t="n"/>
    </row>
    <row r="137">
      <c r="A137" s="5">
        <f>IF(AND(B137="",D137=""),"",ROW()-1)</f>
        <v/>
      </c>
      <c r="B137" s="4" t="n"/>
      <c r="C137" s="5">
        <f>IF(B137="","",IFERROR(VLOOKUP(B137,'Products'!$A$2:$F$201,2,FALSE),"Product not found"))</f>
        <v/>
      </c>
      <c r="D137" s="4" t="n"/>
      <c r="E137" s="5">
        <f>IF(D137="","",IFERROR(VLOOKUP(D137,'Items'!$A$2:$L$201,2,FALSE),"Item not found"))</f>
        <v/>
      </c>
      <c r="F137" s="9" t="n"/>
      <c r="G137" s="4" t="n"/>
      <c r="H137" s="10">
        <f>IF(OR(F137="",G137=""),"",IFERROR(F137*VLOOKUP(G137,'Units'!$A$2:$D$13,4,FALSE),""))</f>
        <v/>
      </c>
      <c r="I137" s="5">
        <f>IF(D137="","",IFERROR(VLOOKUP(D137,'Items'!$A$2:$L$201,4,FALSE),""))</f>
        <v/>
      </c>
      <c r="J137" s="10">
        <f>IF(D137="","",IFERROR(VLOOKUP(D137,'Items'!$A$2:$L$201,10,FALSE),""))</f>
        <v/>
      </c>
      <c r="K137" s="10">
        <f>IF(OR(H137="",J137=""),"",H137*J137)</f>
        <v/>
      </c>
      <c r="L137" s="5">
        <f>IF(AND(B137="",D137=""),"",IF(B137="","Missing product",IF(D137="","Missing item",IF(C137="Product not found","Product not found",IF(E137="Item not found","Item not found",IF(OR(F137="",G137=""),"Missing quantity/unit",IF(IFERROR(VLOOKUP(G137,'Units'!$A$2:$D$13,3,FALSE),"")&lt;&gt;I137,"Unit mismatch",IF(J137="","Enter item cost","OK"))))))))</f>
        <v/>
      </c>
      <c r="M137" s="4" t="n"/>
    </row>
    <row r="138">
      <c r="A138" s="5">
        <f>IF(AND(B138="",D138=""),"",ROW()-1)</f>
        <v/>
      </c>
      <c r="B138" s="4" t="n"/>
      <c r="C138" s="5">
        <f>IF(B138="","",IFERROR(VLOOKUP(B138,'Products'!$A$2:$F$201,2,FALSE),"Product not found"))</f>
        <v/>
      </c>
      <c r="D138" s="4" t="n"/>
      <c r="E138" s="5">
        <f>IF(D138="","",IFERROR(VLOOKUP(D138,'Items'!$A$2:$L$201,2,FALSE),"Item not found"))</f>
        <v/>
      </c>
      <c r="F138" s="9" t="n"/>
      <c r="G138" s="4" t="n"/>
      <c r="H138" s="10">
        <f>IF(OR(F138="",G138=""),"",IFERROR(F138*VLOOKUP(G138,'Units'!$A$2:$D$13,4,FALSE),""))</f>
        <v/>
      </c>
      <c r="I138" s="5">
        <f>IF(D138="","",IFERROR(VLOOKUP(D138,'Items'!$A$2:$L$201,4,FALSE),""))</f>
        <v/>
      </c>
      <c r="J138" s="10">
        <f>IF(D138="","",IFERROR(VLOOKUP(D138,'Items'!$A$2:$L$201,10,FALSE),""))</f>
        <v/>
      </c>
      <c r="K138" s="10">
        <f>IF(OR(H138="",J138=""),"",H138*J138)</f>
        <v/>
      </c>
      <c r="L138" s="5">
        <f>IF(AND(B138="",D138=""),"",IF(B138="","Missing product",IF(D138="","Missing item",IF(C138="Product not found","Product not found",IF(E138="Item not found","Item not found",IF(OR(F138="",G138=""),"Missing quantity/unit",IF(IFERROR(VLOOKUP(G138,'Units'!$A$2:$D$13,3,FALSE),"")&lt;&gt;I138,"Unit mismatch",IF(J138="","Enter item cost","OK"))))))))</f>
        <v/>
      </c>
      <c r="M138" s="4" t="n"/>
    </row>
    <row r="139">
      <c r="A139" s="5">
        <f>IF(AND(B139="",D139=""),"",ROW()-1)</f>
        <v/>
      </c>
      <c r="B139" s="4" t="n"/>
      <c r="C139" s="5">
        <f>IF(B139="","",IFERROR(VLOOKUP(B139,'Products'!$A$2:$F$201,2,FALSE),"Product not found"))</f>
        <v/>
      </c>
      <c r="D139" s="4" t="n"/>
      <c r="E139" s="5">
        <f>IF(D139="","",IFERROR(VLOOKUP(D139,'Items'!$A$2:$L$201,2,FALSE),"Item not found"))</f>
        <v/>
      </c>
      <c r="F139" s="9" t="n"/>
      <c r="G139" s="4" t="n"/>
      <c r="H139" s="10">
        <f>IF(OR(F139="",G139=""),"",IFERROR(F139*VLOOKUP(G139,'Units'!$A$2:$D$13,4,FALSE),""))</f>
        <v/>
      </c>
      <c r="I139" s="5">
        <f>IF(D139="","",IFERROR(VLOOKUP(D139,'Items'!$A$2:$L$201,4,FALSE),""))</f>
        <v/>
      </c>
      <c r="J139" s="10">
        <f>IF(D139="","",IFERROR(VLOOKUP(D139,'Items'!$A$2:$L$201,10,FALSE),""))</f>
        <v/>
      </c>
      <c r="K139" s="10">
        <f>IF(OR(H139="",J139=""),"",H139*J139)</f>
        <v/>
      </c>
      <c r="L139" s="5">
        <f>IF(AND(B139="",D139=""),"",IF(B139="","Missing product",IF(D139="","Missing item",IF(C139="Product not found","Product not found",IF(E139="Item not found","Item not found",IF(OR(F139="",G139=""),"Missing quantity/unit",IF(IFERROR(VLOOKUP(G139,'Units'!$A$2:$D$13,3,FALSE),"")&lt;&gt;I139,"Unit mismatch",IF(J139="","Enter item cost","OK"))))))))</f>
        <v/>
      </c>
      <c r="M139" s="4" t="n"/>
    </row>
    <row r="140">
      <c r="A140" s="5">
        <f>IF(AND(B140="",D140=""),"",ROW()-1)</f>
        <v/>
      </c>
      <c r="B140" s="4" t="n"/>
      <c r="C140" s="5">
        <f>IF(B140="","",IFERROR(VLOOKUP(B140,'Products'!$A$2:$F$201,2,FALSE),"Product not found"))</f>
        <v/>
      </c>
      <c r="D140" s="4" t="n"/>
      <c r="E140" s="5">
        <f>IF(D140="","",IFERROR(VLOOKUP(D140,'Items'!$A$2:$L$201,2,FALSE),"Item not found"))</f>
        <v/>
      </c>
      <c r="F140" s="9" t="n"/>
      <c r="G140" s="4" t="n"/>
      <c r="H140" s="10">
        <f>IF(OR(F140="",G140=""),"",IFERROR(F140*VLOOKUP(G140,'Units'!$A$2:$D$13,4,FALSE),""))</f>
        <v/>
      </c>
      <c r="I140" s="5">
        <f>IF(D140="","",IFERROR(VLOOKUP(D140,'Items'!$A$2:$L$201,4,FALSE),""))</f>
        <v/>
      </c>
      <c r="J140" s="10">
        <f>IF(D140="","",IFERROR(VLOOKUP(D140,'Items'!$A$2:$L$201,10,FALSE),""))</f>
        <v/>
      </c>
      <c r="K140" s="10">
        <f>IF(OR(H140="",J140=""),"",H140*J140)</f>
        <v/>
      </c>
      <c r="L140" s="5">
        <f>IF(AND(B140="",D140=""),"",IF(B140="","Missing product",IF(D140="","Missing item",IF(C140="Product not found","Product not found",IF(E140="Item not found","Item not found",IF(OR(F140="",G140=""),"Missing quantity/unit",IF(IFERROR(VLOOKUP(G140,'Units'!$A$2:$D$13,3,FALSE),"")&lt;&gt;I140,"Unit mismatch",IF(J140="","Enter item cost","OK"))))))))</f>
        <v/>
      </c>
      <c r="M140" s="4" t="n"/>
    </row>
    <row r="141">
      <c r="A141" s="5">
        <f>IF(AND(B141="",D141=""),"",ROW()-1)</f>
        <v/>
      </c>
      <c r="B141" s="4" t="n"/>
      <c r="C141" s="5">
        <f>IF(B141="","",IFERROR(VLOOKUP(B141,'Products'!$A$2:$F$201,2,FALSE),"Product not found"))</f>
        <v/>
      </c>
      <c r="D141" s="4" t="n"/>
      <c r="E141" s="5">
        <f>IF(D141="","",IFERROR(VLOOKUP(D141,'Items'!$A$2:$L$201,2,FALSE),"Item not found"))</f>
        <v/>
      </c>
      <c r="F141" s="9" t="n"/>
      <c r="G141" s="4" t="n"/>
      <c r="H141" s="10">
        <f>IF(OR(F141="",G141=""),"",IFERROR(F141*VLOOKUP(G141,'Units'!$A$2:$D$13,4,FALSE),""))</f>
        <v/>
      </c>
      <c r="I141" s="5">
        <f>IF(D141="","",IFERROR(VLOOKUP(D141,'Items'!$A$2:$L$201,4,FALSE),""))</f>
        <v/>
      </c>
      <c r="J141" s="10">
        <f>IF(D141="","",IFERROR(VLOOKUP(D141,'Items'!$A$2:$L$201,10,FALSE),""))</f>
        <v/>
      </c>
      <c r="K141" s="10">
        <f>IF(OR(H141="",J141=""),"",H141*J141)</f>
        <v/>
      </c>
      <c r="L141" s="5">
        <f>IF(AND(B141="",D141=""),"",IF(B141="","Missing product",IF(D141="","Missing item",IF(C141="Product not found","Product not found",IF(E141="Item not found","Item not found",IF(OR(F141="",G141=""),"Missing quantity/unit",IF(IFERROR(VLOOKUP(G141,'Units'!$A$2:$D$13,3,FALSE),"")&lt;&gt;I141,"Unit mismatch",IF(J141="","Enter item cost","OK"))))))))</f>
        <v/>
      </c>
      <c r="M141" s="4" t="n"/>
    </row>
    <row r="142">
      <c r="A142" s="5">
        <f>IF(AND(B142="",D142=""),"",ROW()-1)</f>
        <v/>
      </c>
      <c r="B142" s="4" t="n"/>
      <c r="C142" s="5">
        <f>IF(B142="","",IFERROR(VLOOKUP(B142,'Products'!$A$2:$F$201,2,FALSE),"Product not found"))</f>
        <v/>
      </c>
      <c r="D142" s="4" t="n"/>
      <c r="E142" s="5">
        <f>IF(D142="","",IFERROR(VLOOKUP(D142,'Items'!$A$2:$L$201,2,FALSE),"Item not found"))</f>
        <v/>
      </c>
      <c r="F142" s="9" t="n"/>
      <c r="G142" s="4" t="n"/>
      <c r="H142" s="10">
        <f>IF(OR(F142="",G142=""),"",IFERROR(F142*VLOOKUP(G142,'Units'!$A$2:$D$13,4,FALSE),""))</f>
        <v/>
      </c>
      <c r="I142" s="5">
        <f>IF(D142="","",IFERROR(VLOOKUP(D142,'Items'!$A$2:$L$201,4,FALSE),""))</f>
        <v/>
      </c>
      <c r="J142" s="10">
        <f>IF(D142="","",IFERROR(VLOOKUP(D142,'Items'!$A$2:$L$201,10,FALSE),""))</f>
        <v/>
      </c>
      <c r="K142" s="10">
        <f>IF(OR(H142="",J142=""),"",H142*J142)</f>
        <v/>
      </c>
      <c r="L142" s="5">
        <f>IF(AND(B142="",D142=""),"",IF(B142="","Missing product",IF(D142="","Missing item",IF(C142="Product not found","Product not found",IF(E142="Item not found","Item not found",IF(OR(F142="",G142=""),"Missing quantity/unit",IF(IFERROR(VLOOKUP(G142,'Units'!$A$2:$D$13,3,FALSE),"")&lt;&gt;I142,"Unit mismatch",IF(J142="","Enter item cost","OK"))))))))</f>
        <v/>
      </c>
      <c r="M142" s="4" t="n"/>
    </row>
    <row r="143">
      <c r="A143" s="5">
        <f>IF(AND(B143="",D143=""),"",ROW()-1)</f>
        <v/>
      </c>
      <c r="B143" s="4" t="n"/>
      <c r="C143" s="5">
        <f>IF(B143="","",IFERROR(VLOOKUP(B143,'Products'!$A$2:$F$201,2,FALSE),"Product not found"))</f>
        <v/>
      </c>
      <c r="D143" s="4" t="n"/>
      <c r="E143" s="5">
        <f>IF(D143="","",IFERROR(VLOOKUP(D143,'Items'!$A$2:$L$201,2,FALSE),"Item not found"))</f>
        <v/>
      </c>
      <c r="F143" s="9" t="n"/>
      <c r="G143" s="4" t="n"/>
      <c r="H143" s="10">
        <f>IF(OR(F143="",G143=""),"",IFERROR(F143*VLOOKUP(G143,'Units'!$A$2:$D$13,4,FALSE),""))</f>
        <v/>
      </c>
      <c r="I143" s="5">
        <f>IF(D143="","",IFERROR(VLOOKUP(D143,'Items'!$A$2:$L$201,4,FALSE),""))</f>
        <v/>
      </c>
      <c r="J143" s="10">
        <f>IF(D143="","",IFERROR(VLOOKUP(D143,'Items'!$A$2:$L$201,10,FALSE),""))</f>
        <v/>
      </c>
      <c r="K143" s="10">
        <f>IF(OR(H143="",J143=""),"",H143*J143)</f>
        <v/>
      </c>
      <c r="L143" s="5">
        <f>IF(AND(B143="",D143=""),"",IF(B143="","Missing product",IF(D143="","Missing item",IF(C143="Product not found","Product not found",IF(E143="Item not found","Item not found",IF(OR(F143="",G143=""),"Missing quantity/unit",IF(IFERROR(VLOOKUP(G143,'Units'!$A$2:$D$13,3,FALSE),"")&lt;&gt;I143,"Unit mismatch",IF(J143="","Enter item cost","OK"))))))))</f>
        <v/>
      </c>
      <c r="M143" s="4" t="n"/>
    </row>
    <row r="144">
      <c r="A144" s="5">
        <f>IF(AND(B144="",D144=""),"",ROW()-1)</f>
        <v/>
      </c>
      <c r="B144" s="4" t="n"/>
      <c r="C144" s="5">
        <f>IF(B144="","",IFERROR(VLOOKUP(B144,'Products'!$A$2:$F$201,2,FALSE),"Product not found"))</f>
        <v/>
      </c>
      <c r="D144" s="4" t="n"/>
      <c r="E144" s="5">
        <f>IF(D144="","",IFERROR(VLOOKUP(D144,'Items'!$A$2:$L$201,2,FALSE),"Item not found"))</f>
        <v/>
      </c>
      <c r="F144" s="9" t="n"/>
      <c r="G144" s="4" t="n"/>
      <c r="H144" s="10">
        <f>IF(OR(F144="",G144=""),"",IFERROR(F144*VLOOKUP(G144,'Units'!$A$2:$D$13,4,FALSE),""))</f>
        <v/>
      </c>
      <c r="I144" s="5">
        <f>IF(D144="","",IFERROR(VLOOKUP(D144,'Items'!$A$2:$L$201,4,FALSE),""))</f>
        <v/>
      </c>
      <c r="J144" s="10">
        <f>IF(D144="","",IFERROR(VLOOKUP(D144,'Items'!$A$2:$L$201,10,FALSE),""))</f>
        <v/>
      </c>
      <c r="K144" s="10">
        <f>IF(OR(H144="",J144=""),"",H144*J144)</f>
        <v/>
      </c>
      <c r="L144" s="5">
        <f>IF(AND(B144="",D144=""),"",IF(B144="","Missing product",IF(D144="","Missing item",IF(C144="Product not found","Product not found",IF(E144="Item not found","Item not found",IF(OR(F144="",G144=""),"Missing quantity/unit",IF(IFERROR(VLOOKUP(G144,'Units'!$A$2:$D$13,3,FALSE),"")&lt;&gt;I144,"Unit mismatch",IF(J144="","Enter item cost","OK"))))))))</f>
        <v/>
      </c>
      <c r="M144" s="4" t="n"/>
    </row>
    <row r="145">
      <c r="A145" s="5">
        <f>IF(AND(B145="",D145=""),"",ROW()-1)</f>
        <v/>
      </c>
      <c r="B145" s="4" t="n"/>
      <c r="C145" s="5">
        <f>IF(B145="","",IFERROR(VLOOKUP(B145,'Products'!$A$2:$F$201,2,FALSE),"Product not found"))</f>
        <v/>
      </c>
      <c r="D145" s="4" t="n"/>
      <c r="E145" s="5">
        <f>IF(D145="","",IFERROR(VLOOKUP(D145,'Items'!$A$2:$L$201,2,FALSE),"Item not found"))</f>
        <v/>
      </c>
      <c r="F145" s="9" t="n"/>
      <c r="G145" s="4" t="n"/>
      <c r="H145" s="10">
        <f>IF(OR(F145="",G145=""),"",IFERROR(F145*VLOOKUP(G145,'Units'!$A$2:$D$13,4,FALSE),""))</f>
        <v/>
      </c>
      <c r="I145" s="5">
        <f>IF(D145="","",IFERROR(VLOOKUP(D145,'Items'!$A$2:$L$201,4,FALSE),""))</f>
        <v/>
      </c>
      <c r="J145" s="10">
        <f>IF(D145="","",IFERROR(VLOOKUP(D145,'Items'!$A$2:$L$201,10,FALSE),""))</f>
        <v/>
      </c>
      <c r="K145" s="10">
        <f>IF(OR(H145="",J145=""),"",H145*J145)</f>
        <v/>
      </c>
      <c r="L145" s="5">
        <f>IF(AND(B145="",D145=""),"",IF(B145="","Missing product",IF(D145="","Missing item",IF(C145="Product not found","Product not found",IF(E145="Item not found","Item not found",IF(OR(F145="",G145=""),"Missing quantity/unit",IF(IFERROR(VLOOKUP(G145,'Units'!$A$2:$D$13,3,FALSE),"")&lt;&gt;I145,"Unit mismatch",IF(J145="","Enter item cost","OK"))))))))</f>
        <v/>
      </c>
      <c r="M145" s="4" t="n"/>
    </row>
    <row r="146">
      <c r="A146" s="5">
        <f>IF(AND(B146="",D146=""),"",ROW()-1)</f>
        <v/>
      </c>
      <c r="B146" s="4" t="n"/>
      <c r="C146" s="5">
        <f>IF(B146="","",IFERROR(VLOOKUP(B146,'Products'!$A$2:$F$201,2,FALSE),"Product not found"))</f>
        <v/>
      </c>
      <c r="D146" s="4" t="n"/>
      <c r="E146" s="5">
        <f>IF(D146="","",IFERROR(VLOOKUP(D146,'Items'!$A$2:$L$201,2,FALSE),"Item not found"))</f>
        <v/>
      </c>
      <c r="F146" s="9" t="n"/>
      <c r="G146" s="4" t="n"/>
      <c r="H146" s="10">
        <f>IF(OR(F146="",G146=""),"",IFERROR(F146*VLOOKUP(G146,'Units'!$A$2:$D$13,4,FALSE),""))</f>
        <v/>
      </c>
      <c r="I146" s="5">
        <f>IF(D146="","",IFERROR(VLOOKUP(D146,'Items'!$A$2:$L$201,4,FALSE),""))</f>
        <v/>
      </c>
      <c r="J146" s="10">
        <f>IF(D146="","",IFERROR(VLOOKUP(D146,'Items'!$A$2:$L$201,10,FALSE),""))</f>
        <v/>
      </c>
      <c r="K146" s="10">
        <f>IF(OR(H146="",J146=""),"",H146*J146)</f>
        <v/>
      </c>
      <c r="L146" s="5">
        <f>IF(AND(B146="",D146=""),"",IF(B146="","Missing product",IF(D146="","Missing item",IF(C146="Product not found","Product not found",IF(E146="Item not found","Item not found",IF(OR(F146="",G146=""),"Missing quantity/unit",IF(IFERROR(VLOOKUP(G146,'Units'!$A$2:$D$13,3,FALSE),"")&lt;&gt;I146,"Unit mismatch",IF(J146="","Enter item cost","OK"))))))))</f>
        <v/>
      </c>
      <c r="M146" s="4" t="n"/>
    </row>
    <row r="147">
      <c r="A147" s="5">
        <f>IF(AND(B147="",D147=""),"",ROW()-1)</f>
        <v/>
      </c>
      <c r="B147" s="4" t="n"/>
      <c r="C147" s="5">
        <f>IF(B147="","",IFERROR(VLOOKUP(B147,'Products'!$A$2:$F$201,2,FALSE),"Product not found"))</f>
        <v/>
      </c>
      <c r="D147" s="4" t="n"/>
      <c r="E147" s="5">
        <f>IF(D147="","",IFERROR(VLOOKUP(D147,'Items'!$A$2:$L$201,2,FALSE),"Item not found"))</f>
        <v/>
      </c>
      <c r="F147" s="9" t="n"/>
      <c r="G147" s="4" t="n"/>
      <c r="H147" s="10">
        <f>IF(OR(F147="",G147=""),"",IFERROR(F147*VLOOKUP(G147,'Units'!$A$2:$D$13,4,FALSE),""))</f>
        <v/>
      </c>
      <c r="I147" s="5">
        <f>IF(D147="","",IFERROR(VLOOKUP(D147,'Items'!$A$2:$L$201,4,FALSE),""))</f>
        <v/>
      </c>
      <c r="J147" s="10">
        <f>IF(D147="","",IFERROR(VLOOKUP(D147,'Items'!$A$2:$L$201,10,FALSE),""))</f>
        <v/>
      </c>
      <c r="K147" s="10">
        <f>IF(OR(H147="",J147=""),"",H147*J147)</f>
        <v/>
      </c>
      <c r="L147" s="5">
        <f>IF(AND(B147="",D147=""),"",IF(B147="","Missing product",IF(D147="","Missing item",IF(C147="Product not found","Product not found",IF(E147="Item not found","Item not found",IF(OR(F147="",G147=""),"Missing quantity/unit",IF(IFERROR(VLOOKUP(G147,'Units'!$A$2:$D$13,3,FALSE),"")&lt;&gt;I147,"Unit mismatch",IF(J147="","Enter item cost","OK"))))))))</f>
        <v/>
      </c>
      <c r="M147" s="4" t="n"/>
    </row>
    <row r="148">
      <c r="A148" s="5">
        <f>IF(AND(B148="",D148=""),"",ROW()-1)</f>
        <v/>
      </c>
      <c r="B148" s="4" t="n"/>
      <c r="C148" s="5">
        <f>IF(B148="","",IFERROR(VLOOKUP(B148,'Products'!$A$2:$F$201,2,FALSE),"Product not found"))</f>
        <v/>
      </c>
      <c r="D148" s="4" t="n"/>
      <c r="E148" s="5">
        <f>IF(D148="","",IFERROR(VLOOKUP(D148,'Items'!$A$2:$L$201,2,FALSE),"Item not found"))</f>
        <v/>
      </c>
      <c r="F148" s="9" t="n"/>
      <c r="G148" s="4" t="n"/>
      <c r="H148" s="10">
        <f>IF(OR(F148="",G148=""),"",IFERROR(F148*VLOOKUP(G148,'Units'!$A$2:$D$13,4,FALSE),""))</f>
        <v/>
      </c>
      <c r="I148" s="5">
        <f>IF(D148="","",IFERROR(VLOOKUP(D148,'Items'!$A$2:$L$201,4,FALSE),""))</f>
        <v/>
      </c>
      <c r="J148" s="10">
        <f>IF(D148="","",IFERROR(VLOOKUP(D148,'Items'!$A$2:$L$201,10,FALSE),""))</f>
        <v/>
      </c>
      <c r="K148" s="10">
        <f>IF(OR(H148="",J148=""),"",H148*J148)</f>
        <v/>
      </c>
      <c r="L148" s="5">
        <f>IF(AND(B148="",D148=""),"",IF(B148="","Missing product",IF(D148="","Missing item",IF(C148="Product not found","Product not found",IF(E148="Item not found","Item not found",IF(OR(F148="",G148=""),"Missing quantity/unit",IF(IFERROR(VLOOKUP(G148,'Units'!$A$2:$D$13,3,FALSE),"")&lt;&gt;I148,"Unit mismatch",IF(J148="","Enter item cost","OK"))))))))</f>
        <v/>
      </c>
      <c r="M148" s="4" t="n"/>
    </row>
    <row r="149">
      <c r="A149" s="5">
        <f>IF(AND(B149="",D149=""),"",ROW()-1)</f>
        <v/>
      </c>
      <c r="B149" s="4" t="n"/>
      <c r="C149" s="5">
        <f>IF(B149="","",IFERROR(VLOOKUP(B149,'Products'!$A$2:$F$201,2,FALSE),"Product not found"))</f>
        <v/>
      </c>
      <c r="D149" s="4" t="n"/>
      <c r="E149" s="5">
        <f>IF(D149="","",IFERROR(VLOOKUP(D149,'Items'!$A$2:$L$201,2,FALSE),"Item not found"))</f>
        <v/>
      </c>
      <c r="F149" s="9" t="n"/>
      <c r="G149" s="4" t="n"/>
      <c r="H149" s="10">
        <f>IF(OR(F149="",G149=""),"",IFERROR(F149*VLOOKUP(G149,'Units'!$A$2:$D$13,4,FALSE),""))</f>
        <v/>
      </c>
      <c r="I149" s="5">
        <f>IF(D149="","",IFERROR(VLOOKUP(D149,'Items'!$A$2:$L$201,4,FALSE),""))</f>
        <v/>
      </c>
      <c r="J149" s="10">
        <f>IF(D149="","",IFERROR(VLOOKUP(D149,'Items'!$A$2:$L$201,10,FALSE),""))</f>
        <v/>
      </c>
      <c r="K149" s="10">
        <f>IF(OR(H149="",J149=""),"",H149*J149)</f>
        <v/>
      </c>
      <c r="L149" s="5">
        <f>IF(AND(B149="",D149=""),"",IF(B149="","Missing product",IF(D149="","Missing item",IF(C149="Product not found","Product not found",IF(E149="Item not found","Item not found",IF(OR(F149="",G149=""),"Missing quantity/unit",IF(IFERROR(VLOOKUP(G149,'Units'!$A$2:$D$13,3,FALSE),"")&lt;&gt;I149,"Unit mismatch",IF(J149="","Enter item cost","OK"))))))))</f>
        <v/>
      </c>
      <c r="M149" s="4" t="n"/>
    </row>
    <row r="150">
      <c r="A150" s="5">
        <f>IF(AND(B150="",D150=""),"",ROW()-1)</f>
        <v/>
      </c>
      <c r="B150" s="4" t="n"/>
      <c r="C150" s="5">
        <f>IF(B150="","",IFERROR(VLOOKUP(B150,'Products'!$A$2:$F$201,2,FALSE),"Product not found"))</f>
        <v/>
      </c>
      <c r="D150" s="4" t="n"/>
      <c r="E150" s="5">
        <f>IF(D150="","",IFERROR(VLOOKUP(D150,'Items'!$A$2:$L$201,2,FALSE),"Item not found"))</f>
        <v/>
      </c>
      <c r="F150" s="9" t="n"/>
      <c r="G150" s="4" t="n"/>
      <c r="H150" s="10">
        <f>IF(OR(F150="",G150=""),"",IFERROR(F150*VLOOKUP(G150,'Units'!$A$2:$D$13,4,FALSE),""))</f>
        <v/>
      </c>
      <c r="I150" s="5">
        <f>IF(D150="","",IFERROR(VLOOKUP(D150,'Items'!$A$2:$L$201,4,FALSE),""))</f>
        <v/>
      </c>
      <c r="J150" s="10">
        <f>IF(D150="","",IFERROR(VLOOKUP(D150,'Items'!$A$2:$L$201,10,FALSE),""))</f>
        <v/>
      </c>
      <c r="K150" s="10">
        <f>IF(OR(H150="",J150=""),"",H150*J150)</f>
        <v/>
      </c>
      <c r="L150" s="5">
        <f>IF(AND(B150="",D150=""),"",IF(B150="","Missing product",IF(D150="","Missing item",IF(C150="Product not found","Product not found",IF(E150="Item not found","Item not found",IF(OR(F150="",G150=""),"Missing quantity/unit",IF(IFERROR(VLOOKUP(G150,'Units'!$A$2:$D$13,3,FALSE),"")&lt;&gt;I150,"Unit mismatch",IF(J150="","Enter item cost","OK"))))))))</f>
        <v/>
      </c>
      <c r="M150" s="4" t="n"/>
    </row>
    <row r="151">
      <c r="A151" s="5">
        <f>IF(AND(B151="",D151=""),"",ROW()-1)</f>
        <v/>
      </c>
      <c r="B151" s="4" t="n"/>
      <c r="C151" s="5">
        <f>IF(B151="","",IFERROR(VLOOKUP(B151,'Products'!$A$2:$F$201,2,FALSE),"Product not found"))</f>
        <v/>
      </c>
      <c r="D151" s="4" t="n"/>
      <c r="E151" s="5">
        <f>IF(D151="","",IFERROR(VLOOKUP(D151,'Items'!$A$2:$L$201,2,FALSE),"Item not found"))</f>
        <v/>
      </c>
      <c r="F151" s="9" t="n"/>
      <c r="G151" s="4" t="n"/>
      <c r="H151" s="10">
        <f>IF(OR(F151="",G151=""),"",IFERROR(F151*VLOOKUP(G151,'Units'!$A$2:$D$13,4,FALSE),""))</f>
        <v/>
      </c>
      <c r="I151" s="5">
        <f>IF(D151="","",IFERROR(VLOOKUP(D151,'Items'!$A$2:$L$201,4,FALSE),""))</f>
        <v/>
      </c>
      <c r="J151" s="10">
        <f>IF(D151="","",IFERROR(VLOOKUP(D151,'Items'!$A$2:$L$201,10,FALSE),""))</f>
        <v/>
      </c>
      <c r="K151" s="10">
        <f>IF(OR(H151="",J151=""),"",H151*J151)</f>
        <v/>
      </c>
      <c r="L151" s="5">
        <f>IF(AND(B151="",D151=""),"",IF(B151="","Missing product",IF(D151="","Missing item",IF(C151="Product not found","Product not found",IF(E151="Item not found","Item not found",IF(OR(F151="",G151=""),"Missing quantity/unit",IF(IFERROR(VLOOKUP(G151,'Units'!$A$2:$D$13,3,FALSE),"")&lt;&gt;I151,"Unit mismatch",IF(J151="","Enter item cost","OK"))))))))</f>
        <v/>
      </c>
      <c r="M151" s="4" t="n"/>
    </row>
    <row r="152">
      <c r="A152" s="5">
        <f>IF(AND(B152="",D152=""),"",ROW()-1)</f>
        <v/>
      </c>
      <c r="B152" s="4" t="n"/>
      <c r="C152" s="5">
        <f>IF(B152="","",IFERROR(VLOOKUP(B152,'Products'!$A$2:$F$201,2,FALSE),"Product not found"))</f>
        <v/>
      </c>
      <c r="D152" s="4" t="n"/>
      <c r="E152" s="5">
        <f>IF(D152="","",IFERROR(VLOOKUP(D152,'Items'!$A$2:$L$201,2,FALSE),"Item not found"))</f>
        <v/>
      </c>
      <c r="F152" s="9" t="n"/>
      <c r="G152" s="4" t="n"/>
      <c r="H152" s="10">
        <f>IF(OR(F152="",G152=""),"",IFERROR(F152*VLOOKUP(G152,'Units'!$A$2:$D$13,4,FALSE),""))</f>
        <v/>
      </c>
      <c r="I152" s="5">
        <f>IF(D152="","",IFERROR(VLOOKUP(D152,'Items'!$A$2:$L$201,4,FALSE),""))</f>
        <v/>
      </c>
      <c r="J152" s="10">
        <f>IF(D152="","",IFERROR(VLOOKUP(D152,'Items'!$A$2:$L$201,10,FALSE),""))</f>
        <v/>
      </c>
      <c r="K152" s="10">
        <f>IF(OR(H152="",J152=""),"",H152*J152)</f>
        <v/>
      </c>
      <c r="L152" s="5">
        <f>IF(AND(B152="",D152=""),"",IF(B152="","Missing product",IF(D152="","Missing item",IF(C152="Product not found","Product not found",IF(E152="Item not found","Item not found",IF(OR(F152="",G152=""),"Missing quantity/unit",IF(IFERROR(VLOOKUP(G152,'Units'!$A$2:$D$13,3,FALSE),"")&lt;&gt;I152,"Unit mismatch",IF(J152="","Enter item cost","OK"))))))))</f>
        <v/>
      </c>
      <c r="M152" s="4" t="n"/>
    </row>
    <row r="153">
      <c r="A153" s="5">
        <f>IF(AND(B153="",D153=""),"",ROW()-1)</f>
        <v/>
      </c>
      <c r="B153" s="4" t="n"/>
      <c r="C153" s="5">
        <f>IF(B153="","",IFERROR(VLOOKUP(B153,'Products'!$A$2:$F$201,2,FALSE),"Product not found"))</f>
        <v/>
      </c>
      <c r="D153" s="4" t="n"/>
      <c r="E153" s="5">
        <f>IF(D153="","",IFERROR(VLOOKUP(D153,'Items'!$A$2:$L$201,2,FALSE),"Item not found"))</f>
        <v/>
      </c>
      <c r="F153" s="9" t="n"/>
      <c r="G153" s="4" t="n"/>
      <c r="H153" s="10">
        <f>IF(OR(F153="",G153=""),"",IFERROR(F153*VLOOKUP(G153,'Units'!$A$2:$D$13,4,FALSE),""))</f>
        <v/>
      </c>
      <c r="I153" s="5">
        <f>IF(D153="","",IFERROR(VLOOKUP(D153,'Items'!$A$2:$L$201,4,FALSE),""))</f>
        <v/>
      </c>
      <c r="J153" s="10">
        <f>IF(D153="","",IFERROR(VLOOKUP(D153,'Items'!$A$2:$L$201,10,FALSE),""))</f>
        <v/>
      </c>
      <c r="K153" s="10">
        <f>IF(OR(H153="",J153=""),"",H153*J153)</f>
        <v/>
      </c>
      <c r="L153" s="5">
        <f>IF(AND(B153="",D153=""),"",IF(B153="","Missing product",IF(D153="","Missing item",IF(C153="Product not found","Product not found",IF(E153="Item not found","Item not found",IF(OR(F153="",G153=""),"Missing quantity/unit",IF(IFERROR(VLOOKUP(G153,'Units'!$A$2:$D$13,3,FALSE),"")&lt;&gt;I153,"Unit mismatch",IF(J153="","Enter item cost","OK"))))))))</f>
        <v/>
      </c>
      <c r="M153" s="4" t="n"/>
    </row>
    <row r="154">
      <c r="A154" s="5">
        <f>IF(AND(B154="",D154=""),"",ROW()-1)</f>
        <v/>
      </c>
      <c r="B154" s="4" t="n"/>
      <c r="C154" s="5">
        <f>IF(B154="","",IFERROR(VLOOKUP(B154,'Products'!$A$2:$F$201,2,FALSE),"Product not found"))</f>
        <v/>
      </c>
      <c r="D154" s="4" t="n"/>
      <c r="E154" s="5">
        <f>IF(D154="","",IFERROR(VLOOKUP(D154,'Items'!$A$2:$L$201,2,FALSE),"Item not found"))</f>
        <v/>
      </c>
      <c r="F154" s="9" t="n"/>
      <c r="G154" s="4" t="n"/>
      <c r="H154" s="10">
        <f>IF(OR(F154="",G154=""),"",IFERROR(F154*VLOOKUP(G154,'Units'!$A$2:$D$13,4,FALSE),""))</f>
        <v/>
      </c>
      <c r="I154" s="5">
        <f>IF(D154="","",IFERROR(VLOOKUP(D154,'Items'!$A$2:$L$201,4,FALSE),""))</f>
        <v/>
      </c>
      <c r="J154" s="10">
        <f>IF(D154="","",IFERROR(VLOOKUP(D154,'Items'!$A$2:$L$201,10,FALSE),""))</f>
        <v/>
      </c>
      <c r="K154" s="10">
        <f>IF(OR(H154="",J154=""),"",H154*J154)</f>
        <v/>
      </c>
      <c r="L154" s="5">
        <f>IF(AND(B154="",D154=""),"",IF(B154="","Missing product",IF(D154="","Missing item",IF(C154="Product not found","Product not found",IF(E154="Item not found","Item not found",IF(OR(F154="",G154=""),"Missing quantity/unit",IF(IFERROR(VLOOKUP(G154,'Units'!$A$2:$D$13,3,FALSE),"")&lt;&gt;I154,"Unit mismatch",IF(J154="","Enter item cost","OK"))))))))</f>
        <v/>
      </c>
      <c r="M154" s="4" t="n"/>
    </row>
    <row r="155">
      <c r="A155" s="5">
        <f>IF(AND(B155="",D155=""),"",ROW()-1)</f>
        <v/>
      </c>
      <c r="B155" s="4" t="n"/>
      <c r="C155" s="5">
        <f>IF(B155="","",IFERROR(VLOOKUP(B155,'Products'!$A$2:$F$201,2,FALSE),"Product not found"))</f>
        <v/>
      </c>
      <c r="D155" s="4" t="n"/>
      <c r="E155" s="5">
        <f>IF(D155="","",IFERROR(VLOOKUP(D155,'Items'!$A$2:$L$201,2,FALSE),"Item not found"))</f>
        <v/>
      </c>
      <c r="F155" s="9" t="n"/>
      <c r="G155" s="4" t="n"/>
      <c r="H155" s="10">
        <f>IF(OR(F155="",G155=""),"",IFERROR(F155*VLOOKUP(G155,'Units'!$A$2:$D$13,4,FALSE),""))</f>
        <v/>
      </c>
      <c r="I155" s="5">
        <f>IF(D155="","",IFERROR(VLOOKUP(D155,'Items'!$A$2:$L$201,4,FALSE),""))</f>
        <v/>
      </c>
      <c r="J155" s="10">
        <f>IF(D155="","",IFERROR(VLOOKUP(D155,'Items'!$A$2:$L$201,10,FALSE),""))</f>
        <v/>
      </c>
      <c r="K155" s="10">
        <f>IF(OR(H155="",J155=""),"",H155*J155)</f>
        <v/>
      </c>
      <c r="L155" s="5">
        <f>IF(AND(B155="",D155=""),"",IF(B155="","Missing product",IF(D155="","Missing item",IF(C155="Product not found","Product not found",IF(E155="Item not found","Item not found",IF(OR(F155="",G155=""),"Missing quantity/unit",IF(IFERROR(VLOOKUP(G155,'Units'!$A$2:$D$13,3,FALSE),"")&lt;&gt;I155,"Unit mismatch",IF(J155="","Enter item cost","OK"))))))))</f>
        <v/>
      </c>
      <c r="M155" s="4" t="n"/>
    </row>
    <row r="156">
      <c r="A156" s="5">
        <f>IF(AND(B156="",D156=""),"",ROW()-1)</f>
        <v/>
      </c>
      <c r="B156" s="4" t="n"/>
      <c r="C156" s="5">
        <f>IF(B156="","",IFERROR(VLOOKUP(B156,'Products'!$A$2:$F$201,2,FALSE),"Product not found"))</f>
        <v/>
      </c>
      <c r="D156" s="4" t="n"/>
      <c r="E156" s="5">
        <f>IF(D156="","",IFERROR(VLOOKUP(D156,'Items'!$A$2:$L$201,2,FALSE),"Item not found"))</f>
        <v/>
      </c>
      <c r="F156" s="9" t="n"/>
      <c r="G156" s="4" t="n"/>
      <c r="H156" s="10">
        <f>IF(OR(F156="",G156=""),"",IFERROR(F156*VLOOKUP(G156,'Units'!$A$2:$D$13,4,FALSE),""))</f>
        <v/>
      </c>
      <c r="I156" s="5">
        <f>IF(D156="","",IFERROR(VLOOKUP(D156,'Items'!$A$2:$L$201,4,FALSE),""))</f>
        <v/>
      </c>
      <c r="J156" s="10">
        <f>IF(D156="","",IFERROR(VLOOKUP(D156,'Items'!$A$2:$L$201,10,FALSE),""))</f>
        <v/>
      </c>
      <c r="K156" s="10">
        <f>IF(OR(H156="",J156=""),"",H156*J156)</f>
        <v/>
      </c>
      <c r="L156" s="5">
        <f>IF(AND(B156="",D156=""),"",IF(B156="","Missing product",IF(D156="","Missing item",IF(C156="Product not found","Product not found",IF(E156="Item not found","Item not found",IF(OR(F156="",G156=""),"Missing quantity/unit",IF(IFERROR(VLOOKUP(G156,'Units'!$A$2:$D$13,3,FALSE),"")&lt;&gt;I156,"Unit mismatch",IF(J156="","Enter item cost","OK"))))))))</f>
        <v/>
      </c>
      <c r="M156" s="4" t="n"/>
    </row>
    <row r="157">
      <c r="A157" s="5">
        <f>IF(AND(B157="",D157=""),"",ROW()-1)</f>
        <v/>
      </c>
      <c r="B157" s="4" t="n"/>
      <c r="C157" s="5">
        <f>IF(B157="","",IFERROR(VLOOKUP(B157,'Products'!$A$2:$F$201,2,FALSE),"Product not found"))</f>
        <v/>
      </c>
      <c r="D157" s="4" t="n"/>
      <c r="E157" s="5">
        <f>IF(D157="","",IFERROR(VLOOKUP(D157,'Items'!$A$2:$L$201,2,FALSE),"Item not found"))</f>
        <v/>
      </c>
      <c r="F157" s="9" t="n"/>
      <c r="G157" s="4" t="n"/>
      <c r="H157" s="10">
        <f>IF(OR(F157="",G157=""),"",IFERROR(F157*VLOOKUP(G157,'Units'!$A$2:$D$13,4,FALSE),""))</f>
        <v/>
      </c>
      <c r="I157" s="5">
        <f>IF(D157="","",IFERROR(VLOOKUP(D157,'Items'!$A$2:$L$201,4,FALSE),""))</f>
        <v/>
      </c>
      <c r="J157" s="10">
        <f>IF(D157="","",IFERROR(VLOOKUP(D157,'Items'!$A$2:$L$201,10,FALSE),""))</f>
        <v/>
      </c>
      <c r="K157" s="10">
        <f>IF(OR(H157="",J157=""),"",H157*J157)</f>
        <v/>
      </c>
      <c r="L157" s="5">
        <f>IF(AND(B157="",D157=""),"",IF(B157="","Missing product",IF(D157="","Missing item",IF(C157="Product not found","Product not found",IF(E157="Item not found","Item not found",IF(OR(F157="",G157=""),"Missing quantity/unit",IF(IFERROR(VLOOKUP(G157,'Units'!$A$2:$D$13,3,FALSE),"")&lt;&gt;I157,"Unit mismatch",IF(J157="","Enter item cost","OK"))))))))</f>
        <v/>
      </c>
      <c r="M157" s="4" t="n"/>
    </row>
    <row r="158">
      <c r="A158" s="5">
        <f>IF(AND(B158="",D158=""),"",ROW()-1)</f>
        <v/>
      </c>
      <c r="B158" s="4" t="n"/>
      <c r="C158" s="5">
        <f>IF(B158="","",IFERROR(VLOOKUP(B158,'Products'!$A$2:$F$201,2,FALSE),"Product not found"))</f>
        <v/>
      </c>
      <c r="D158" s="4" t="n"/>
      <c r="E158" s="5">
        <f>IF(D158="","",IFERROR(VLOOKUP(D158,'Items'!$A$2:$L$201,2,FALSE),"Item not found"))</f>
        <v/>
      </c>
      <c r="F158" s="9" t="n"/>
      <c r="G158" s="4" t="n"/>
      <c r="H158" s="10">
        <f>IF(OR(F158="",G158=""),"",IFERROR(F158*VLOOKUP(G158,'Units'!$A$2:$D$13,4,FALSE),""))</f>
        <v/>
      </c>
      <c r="I158" s="5">
        <f>IF(D158="","",IFERROR(VLOOKUP(D158,'Items'!$A$2:$L$201,4,FALSE),""))</f>
        <v/>
      </c>
      <c r="J158" s="10">
        <f>IF(D158="","",IFERROR(VLOOKUP(D158,'Items'!$A$2:$L$201,10,FALSE),""))</f>
        <v/>
      </c>
      <c r="K158" s="10">
        <f>IF(OR(H158="",J158=""),"",H158*J158)</f>
        <v/>
      </c>
      <c r="L158" s="5">
        <f>IF(AND(B158="",D158=""),"",IF(B158="","Missing product",IF(D158="","Missing item",IF(C158="Product not found","Product not found",IF(E158="Item not found","Item not found",IF(OR(F158="",G158=""),"Missing quantity/unit",IF(IFERROR(VLOOKUP(G158,'Units'!$A$2:$D$13,3,FALSE),"")&lt;&gt;I158,"Unit mismatch",IF(J158="","Enter item cost","OK"))))))))</f>
        <v/>
      </c>
      <c r="M158" s="4" t="n"/>
    </row>
    <row r="159">
      <c r="A159" s="5">
        <f>IF(AND(B159="",D159=""),"",ROW()-1)</f>
        <v/>
      </c>
      <c r="B159" s="4" t="n"/>
      <c r="C159" s="5">
        <f>IF(B159="","",IFERROR(VLOOKUP(B159,'Products'!$A$2:$F$201,2,FALSE),"Product not found"))</f>
        <v/>
      </c>
      <c r="D159" s="4" t="n"/>
      <c r="E159" s="5">
        <f>IF(D159="","",IFERROR(VLOOKUP(D159,'Items'!$A$2:$L$201,2,FALSE),"Item not found"))</f>
        <v/>
      </c>
      <c r="F159" s="9" t="n"/>
      <c r="G159" s="4" t="n"/>
      <c r="H159" s="10">
        <f>IF(OR(F159="",G159=""),"",IFERROR(F159*VLOOKUP(G159,'Units'!$A$2:$D$13,4,FALSE),""))</f>
        <v/>
      </c>
      <c r="I159" s="5">
        <f>IF(D159="","",IFERROR(VLOOKUP(D159,'Items'!$A$2:$L$201,4,FALSE),""))</f>
        <v/>
      </c>
      <c r="J159" s="10">
        <f>IF(D159="","",IFERROR(VLOOKUP(D159,'Items'!$A$2:$L$201,10,FALSE),""))</f>
        <v/>
      </c>
      <c r="K159" s="10">
        <f>IF(OR(H159="",J159=""),"",H159*J159)</f>
        <v/>
      </c>
      <c r="L159" s="5">
        <f>IF(AND(B159="",D159=""),"",IF(B159="","Missing product",IF(D159="","Missing item",IF(C159="Product not found","Product not found",IF(E159="Item not found","Item not found",IF(OR(F159="",G159=""),"Missing quantity/unit",IF(IFERROR(VLOOKUP(G159,'Units'!$A$2:$D$13,3,FALSE),"")&lt;&gt;I159,"Unit mismatch",IF(J159="","Enter item cost","OK"))))))))</f>
        <v/>
      </c>
      <c r="M159" s="4" t="n"/>
    </row>
    <row r="160">
      <c r="A160" s="5">
        <f>IF(AND(B160="",D160=""),"",ROW()-1)</f>
        <v/>
      </c>
      <c r="B160" s="4" t="n"/>
      <c r="C160" s="5">
        <f>IF(B160="","",IFERROR(VLOOKUP(B160,'Products'!$A$2:$F$201,2,FALSE),"Product not found"))</f>
        <v/>
      </c>
      <c r="D160" s="4" t="n"/>
      <c r="E160" s="5">
        <f>IF(D160="","",IFERROR(VLOOKUP(D160,'Items'!$A$2:$L$201,2,FALSE),"Item not found"))</f>
        <v/>
      </c>
      <c r="F160" s="9" t="n"/>
      <c r="G160" s="4" t="n"/>
      <c r="H160" s="10">
        <f>IF(OR(F160="",G160=""),"",IFERROR(F160*VLOOKUP(G160,'Units'!$A$2:$D$13,4,FALSE),""))</f>
        <v/>
      </c>
      <c r="I160" s="5">
        <f>IF(D160="","",IFERROR(VLOOKUP(D160,'Items'!$A$2:$L$201,4,FALSE),""))</f>
        <v/>
      </c>
      <c r="J160" s="10">
        <f>IF(D160="","",IFERROR(VLOOKUP(D160,'Items'!$A$2:$L$201,10,FALSE),""))</f>
        <v/>
      </c>
      <c r="K160" s="10">
        <f>IF(OR(H160="",J160=""),"",H160*J160)</f>
        <v/>
      </c>
      <c r="L160" s="5">
        <f>IF(AND(B160="",D160=""),"",IF(B160="","Missing product",IF(D160="","Missing item",IF(C160="Product not found","Product not found",IF(E160="Item not found","Item not found",IF(OR(F160="",G160=""),"Missing quantity/unit",IF(IFERROR(VLOOKUP(G160,'Units'!$A$2:$D$13,3,FALSE),"")&lt;&gt;I160,"Unit mismatch",IF(J160="","Enter item cost","OK"))))))))</f>
        <v/>
      </c>
      <c r="M160" s="4" t="n"/>
    </row>
    <row r="161">
      <c r="A161" s="5">
        <f>IF(AND(B161="",D161=""),"",ROW()-1)</f>
        <v/>
      </c>
      <c r="B161" s="4" t="n"/>
      <c r="C161" s="5">
        <f>IF(B161="","",IFERROR(VLOOKUP(B161,'Products'!$A$2:$F$201,2,FALSE),"Product not found"))</f>
        <v/>
      </c>
      <c r="D161" s="4" t="n"/>
      <c r="E161" s="5">
        <f>IF(D161="","",IFERROR(VLOOKUP(D161,'Items'!$A$2:$L$201,2,FALSE),"Item not found"))</f>
        <v/>
      </c>
      <c r="F161" s="9" t="n"/>
      <c r="G161" s="4" t="n"/>
      <c r="H161" s="10">
        <f>IF(OR(F161="",G161=""),"",IFERROR(F161*VLOOKUP(G161,'Units'!$A$2:$D$13,4,FALSE),""))</f>
        <v/>
      </c>
      <c r="I161" s="5">
        <f>IF(D161="","",IFERROR(VLOOKUP(D161,'Items'!$A$2:$L$201,4,FALSE),""))</f>
        <v/>
      </c>
      <c r="J161" s="10">
        <f>IF(D161="","",IFERROR(VLOOKUP(D161,'Items'!$A$2:$L$201,10,FALSE),""))</f>
        <v/>
      </c>
      <c r="K161" s="10">
        <f>IF(OR(H161="",J161=""),"",H161*J161)</f>
        <v/>
      </c>
      <c r="L161" s="5">
        <f>IF(AND(B161="",D161=""),"",IF(B161="","Missing product",IF(D161="","Missing item",IF(C161="Product not found","Product not found",IF(E161="Item not found","Item not found",IF(OR(F161="",G161=""),"Missing quantity/unit",IF(IFERROR(VLOOKUP(G161,'Units'!$A$2:$D$13,3,FALSE),"")&lt;&gt;I161,"Unit mismatch",IF(J161="","Enter item cost","OK"))))))))</f>
        <v/>
      </c>
      <c r="M161" s="4" t="n"/>
    </row>
    <row r="162">
      <c r="A162" s="5">
        <f>IF(AND(B162="",D162=""),"",ROW()-1)</f>
        <v/>
      </c>
      <c r="B162" s="4" t="n"/>
      <c r="C162" s="5">
        <f>IF(B162="","",IFERROR(VLOOKUP(B162,'Products'!$A$2:$F$201,2,FALSE),"Product not found"))</f>
        <v/>
      </c>
      <c r="D162" s="4" t="n"/>
      <c r="E162" s="5">
        <f>IF(D162="","",IFERROR(VLOOKUP(D162,'Items'!$A$2:$L$201,2,FALSE),"Item not found"))</f>
        <v/>
      </c>
      <c r="F162" s="9" t="n"/>
      <c r="G162" s="4" t="n"/>
      <c r="H162" s="10">
        <f>IF(OR(F162="",G162=""),"",IFERROR(F162*VLOOKUP(G162,'Units'!$A$2:$D$13,4,FALSE),""))</f>
        <v/>
      </c>
      <c r="I162" s="5">
        <f>IF(D162="","",IFERROR(VLOOKUP(D162,'Items'!$A$2:$L$201,4,FALSE),""))</f>
        <v/>
      </c>
      <c r="J162" s="10">
        <f>IF(D162="","",IFERROR(VLOOKUP(D162,'Items'!$A$2:$L$201,10,FALSE),""))</f>
        <v/>
      </c>
      <c r="K162" s="10">
        <f>IF(OR(H162="",J162=""),"",H162*J162)</f>
        <v/>
      </c>
      <c r="L162" s="5">
        <f>IF(AND(B162="",D162=""),"",IF(B162="","Missing product",IF(D162="","Missing item",IF(C162="Product not found","Product not found",IF(E162="Item not found","Item not found",IF(OR(F162="",G162=""),"Missing quantity/unit",IF(IFERROR(VLOOKUP(G162,'Units'!$A$2:$D$13,3,FALSE),"")&lt;&gt;I162,"Unit mismatch",IF(J162="","Enter item cost","OK"))))))))</f>
        <v/>
      </c>
      <c r="M162" s="4" t="n"/>
    </row>
    <row r="163">
      <c r="A163" s="5">
        <f>IF(AND(B163="",D163=""),"",ROW()-1)</f>
        <v/>
      </c>
      <c r="B163" s="4" t="n"/>
      <c r="C163" s="5">
        <f>IF(B163="","",IFERROR(VLOOKUP(B163,'Products'!$A$2:$F$201,2,FALSE),"Product not found"))</f>
        <v/>
      </c>
      <c r="D163" s="4" t="n"/>
      <c r="E163" s="5">
        <f>IF(D163="","",IFERROR(VLOOKUP(D163,'Items'!$A$2:$L$201,2,FALSE),"Item not found"))</f>
        <v/>
      </c>
      <c r="F163" s="9" t="n"/>
      <c r="G163" s="4" t="n"/>
      <c r="H163" s="10">
        <f>IF(OR(F163="",G163=""),"",IFERROR(F163*VLOOKUP(G163,'Units'!$A$2:$D$13,4,FALSE),""))</f>
        <v/>
      </c>
      <c r="I163" s="5">
        <f>IF(D163="","",IFERROR(VLOOKUP(D163,'Items'!$A$2:$L$201,4,FALSE),""))</f>
        <v/>
      </c>
      <c r="J163" s="10">
        <f>IF(D163="","",IFERROR(VLOOKUP(D163,'Items'!$A$2:$L$201,10,FALSE),""))</f>
        <v/>
      </c>
      <c r="K163" s="10">
        <f>IF(OR(H163="",J163=""),"",H163*J163)</f>
        <v/>
      </c>
      <c r="L163" s="5">
        <f>IF(AND(B163="",D163=""),"",IF(B163="","Missing product",IF(D163="","Missing item",IF(C163="Product not found","Product not found",IF(E163="Item not found","Item not found",IF(OR(F163="",G163=""),"Missing quantity/unit",IF(IFERROR(VLOOKUP(G163,'Units'!$A$2:$D$13,3,FALSE),"")&lt;&gt;I163,"Unit mismatch",IF(J163="","Enter item cost","OK"))))))))</f>
        <v/>
      </c>
      <c r="M163" s="4" t="n"/>
    </row>
    <row r="164">
      <c r="A164" s="5">
        <f>IF(AND(B164="",D164=""),"",ROW()-1)</f>
        <v/>
      </c>
      <c r="B164" s="4" t="n"/>
      <c r="C164" s="5">
        <f>IF(B164="","",IFERROR(VLOOKUP(B164,'Products'!$A$2:$F$201,2,FALSE),"Product not found"))</f>
        <v/>
      </c>
      <c r="D164" s="4" t="n"/>
      <c r="E164" s="5">
        <f>IF(D164="","",IFERROR(VLOOKUP(D164,'Items'!$A$2:$L$201,2,FALSE),"Item not found"))</f>
        <v/>
      </c>
      <c r="F164" s="9" t="n"/>
      <c r="G164" s="4" t="n"/>
      <c r="H164" s="10">
        <f>IF(OR(F164="",G164=""),"",IFERROR(F164*VLOOKUP(G164,'Units'!$A$2:$D$13,4,FALSE),""))</f>
        <v/>
      </c>
      <c r="I164" s="5">
        <f>IF(D164="","",IFERROR(VLOOKUP(D164,'Items'!$A$2:$L$201,4,FALSE),""))</f>
        <v/>
      </c>
      <c r="J164" s="10">
        <f>IF(D164="","",IFERROR(VLOOKUP(D164,'Items'!$A$2:$L$201,10,FALSE),""))</f>
        <v/>
      </c>
      <c r="K164" s="10">
        <f>IF(OR(H164="",J164=""),"",H164*J164)</f>
        <v/>
      </c>
      <c r="L164" s="5">
        <f>IF(AND(B164="",D164=""),"",IF(B164="","Missing product",IF(D164="","Missing item",IF(C164="Product not found","Product not found",IF(E164="Item not found","Item not found",IF(OR(F164="",G164=""),"Missing quantity/unit",IF(IFERROR(VLOOKUP(G164,'Units'!$A$2:$D$13,3,FALSE),"")&lt;&gt;I164,"Unit mismatch",IF(J164="","Enter item cost","OK"))))))))</f>
        <v/>
      </c>
      <c r="M164" s="4" t="n"/>
    </row>
    <row r="165">
      <c r="A165" s="5">
        <f>IF(AND(B165="",D165=""),"",ROW()-1)</f>
        <v/>
      </c>
      <c r="B165" s="4" t="n"/>
      <c r="C165" s="5">
        <f>IF(B165="","",IFERROR(VLOOKUP(B165,'Products'!$A$2:$F$201,2,FALSE),"Product not found"))</f>
        <v/>
      </c>
      <c r="D165" s="4" t="n"/>
      <c r="E165" s="5">
        <f>IF(D165="","",IFERROR(VLOOKUP(D165,'Items'!$A$2:$L$201,2,FALSE),"Item not found"))</f>
        <v/>
      </c>
      <c r="F165" s="9" t="n"/>
      <c r="G165" s="4" t="n"/>
      <c r="H165" s="10">
        <f>IF(OR(F165="",G165=""),"",IFERROR(F165*VLOOKUP(G165,'Units'!$A$2:$D$13,4,FALSE),""))</f>
        <v/>
      </c>
      <c r="I165" s="5">
        <f>IF(D165="","",IFERROR(VLOOKUP(D165,'Items'!$A$2:$L$201,4,FALSE),""))</f>
        <v/>
      </c>
      <c r="J165" s="10">
        <f>IF(D165="","",IFERROR(VLOOKUP(D165,'Items'!$A$2:$L$201,10,FALSE),""))</f>
        <v/>
      </c>
      <c r="K165" s="10">
        <f>IF(OR(H165="",J165=""),"",H165*J165)</f>
        <v/>
      </c>
      <c r="L165" s="5">
        <f>IF(AND(B165="",D165=""),"",IF(B165="","Missing product",IF(D165="","Missing item",IF(C165="Product not found","Product not found",IF(E165="Item not found","Item not found",IF(OR(F165="",G165=""),"Missing quantity/unit",IF(IFERROR(VLOOKUP(G165,'Units'!$A$2:$D$13,3,FALSE),"")&lt;&gt;I165,"Unit mismatch",IF(J165="","Enter item cost","OK"))))))))</f>
        <v/>
      </c>
      <c r="M165" s="4" t="n"/>
    </row>
    <row r="166">
      <c r="A166" s="5">
        <f>IF(AND(B166="",D166=""),"",ROW()-1)</f>
        <v/>
      </c>
      <c r="B166" s="4" t="n"/>
      <c r="C166" s="5">
        <f>IF(B166="","",IFERROR(VLOOKUP(B166,'Products'!$A$2:$F$201,2,FALSE),"Product not found"))</f>
        <v/>
      </c>
      <c r="D166" s="4" t="n"/>
      <c r="E166" s="5">
        <f>IF(D166="","",IFERROR(VLOOKUP(D166,'Items'!$A$2:$L$201,2,FALSE),"Item not found"))</f>
        <v/>
      </c>
      <c r="F166" s="9" t="n"/>
      <c r="G166" s="4" t="n"/>
      <c r="H166" s="10">
        <f>IF(OR(F166="",G166=""),"",IFERROR(F166*VLOOKUP(G166,'Units'!$A$2:$D$13,4,FALSE),""))</f>
        <v/>
      </c>
      <c r="I166" s="5">
        <f>IF(D166="","",IFERROR(VLOOKUP(D166,'Items'!$A$2:$L$201,4,FALSE),""))</f>
        <v/>
      </c>
      <c r="J166" s="10">
        <f>IF(D166="","",IFERROR(VLOOKUP(D166,'Items'!$A$2:$L$201,10,FALSE),""))</f>
        <v/>
      </c>
      <c r="K166" s="10">
        <f>IF(OR(H166="",J166=""),"",H166*J166)</f>
        <v/>
      </c>
      <c r="L166" s="5">
        <f>IF(AND(B166="",D166=""),"",IF(B166="","Missing product",IF(D166="","Missing item",IF(C166="Product not found","Product not found",IF(E166="Item not found","Item not found",IF(OR(F166="",G166=""),"Missing quantity/unit",IF(IFERROR(VLOOKUP(G166,'Units'!$A$2:$D$13,3,FALSE),"")&lt;&gt;I166,"Unit mismatch",IF(J166="","Enter item cost","OK"))))))))</f>
        <v/>
      </c>
      <c r="M166" s="4" t="n"/>
    </row>
    <row r="167">
      <c r="A167" s="5">
        <f>IF(AND(B167="",D167=""),"",ROW()-1)</f>
        <v/>
      </c>
      <c r="B167" s="4" t="n"/>
      <c r="C167" s="5">
        <f>IF(B167="","",IFERROR(VLOOKUP(B167,'Products'!$A$2:$F$201,2,FALSE),"Product not found"))</f>
        <v/>
      </c>
      <c r="D167" s="4" t="n"/>
      <c r="E167" s="5">
        <f>IF(D167="","",IFERROR(VLOOKUP(D167,'Items'!$A$2:$L$201,2,FALSE),"Item not found"))</f>
        <v/>
      </c>
      <c r="F167" s="9" t="n"/>
      <c r="G167" s="4" t="n"/>
      <c r="H167" s="10">
        <f>IF(OR(F167="",G167=""),"",IFERROR(F167*VLOOKUP(G167,'Units'!$A$2:$D$13,4,FALSE),""))</f>
        <v/>
      </c>
      <c r="I167" s="5">
        <f>IF(D167="","",IFERROR(VLOOKUP(D167,'Items'!$A$2:$L$201,4,FALSE),""))</f>
        <v/>
      </c>
      <c r="J167" s="10">
        <f>IF(D167="","",IFERROR(VLOOKUP(D167,'Items'!$A$2:$L$201,10,FALSE),""))</f>
        <v/>
      </c>
      <c r="K167" s="10">
        <f>IF(OR(H167="",J167=""),"",H167*J167)</f>
        <v/>
      </c>
      <c r="L167" s="5">
        <f>IF(AND(B167="",D167=""),"",IF(B167="","Missing product",IF(D167="","Missing item",IF(C167="Product not found","Product not found",IF(E167="Item not found","Item not found",IF(OR(F167="",G167=""),"Missing quantity/unit",IF(IFERROR(VLOOKUP(G167,'Units'!$A$2:$D$13,3,FALSE),"")&lt;&gt;I167,"Unit mismatch",IF(J167="","Enter item cost","OK"))))))))</f>
        <v/>
      </c>
      <c r="M167" s="4" t="n"/>
    </row>
    <row r="168">
      <c r="A168" s="5">
        <f>IF(AND(B168="",D168=""),"",ROW()-1)</f>
        <v/>
      </c>
      <c r="B168" s="4" t="n"/>
      <c r="C168" s="5">
        <f>IF(B168="","",IFERROR(VLOOKUP(B168,'Products'!$A$2:$F$201,2,FALSE),"Product not found"))</f>
        <v/>
      </c>
      <c r="D168" s="4" t="n"/>
      <c r="E168" s="5">
        <f>IF(D168="","",IFERROR(VLOOKUP(D168,'Items'!$A$2:$L$201,2,FALSE),"Item not found"))</f>
        <v/>
      </c>
      <c r="F168" s="9" t="n"/>
      <c r="G168" s="4" t="n"/>
      <c r="H168" s="10">
        <f>IF(OR(F168="",G168=""),"",IFERROR(F168*VLOOKUP(G168,'Units'!$A$2:$D$13,4,FALSE),""))</f>
        <v/>
      </c>
      <c r="I168" s="5">
        <f>IF(D168="","",IFERROR(VLOOKUP(D168,'Items'!$A$2:$L$201,4,FALSE),""))</f>
        <v/>
      </c>
      <c r="J168" s="10">
        <f>IF(D168="","",IFERROR(VLOOKUP(D168,'Items'!$A$2:$L$201,10,FALSE),""))</f>
        <v/>
      </c>
      <c r="K168" s="10">
        <f>IF(OR(H168="",J168=""),"",H168*J168)</f>
        <v/>
      </c>
      <c r="L168" s="5">
        <f>IF(AND(B168="",D168=""),"",IF(B168="","Missing product",IF(D168="","Missing item",IF(C168="Product not found","Product not found",IF(E168="Item not found","Item not found",IF(OR(F168="",G168=""),"Missing quantity/unit",IF(IFERROR(VLOOKUP(G168,'Units'!$A$2:$D$13,3,FALSE),"")&lt;&gt;I168,"Unit mismatch",IF(J168="","Enter item cost","OK"))))))))</f>
        <v/>
      </c>
      <c r="M168" s="4" t="n"/>
    </row>
    <row r="169">
      <c r="A169" s="5">
        <f>IF(AND(B169="",D169=""),"",ROW()-1)</f>
        <v/>
      </c>
      <c r="B169" s="4" t="n"/>
      <c r="C169" s="5">
        <f>IF(B169="","",IFERROR(VLOOKUP(B169,'Products'!$A$2:$F$201,2,FALSE),"Product not found"))</f>
        <v/>
      </c>
      <c r="D169" s="4" t="n"/>
      <c r="E169" s="5">
        <f>IF(D169="","",IFERROR(VLOOKUP(D169,'Items'!$A$2:$L$201,2,FALSE),"Item not found"))</f>
        <v/>
      </c>
      <c r="F169" s="9" t="n"/>
      <c r="G169" s="4" t="n"/>
      <c r="H169" s="10">
        <f>IF(OR(F169="",G169=""),"",IFERROR(F169*VLOOKUP(G169,'Units'!$A$2:$D$13,4,FALSE),""))</f>
        <v/>
      </c>
      <c r="I169" s="5">
        <f>IF(D169="","",IFERROR(VLOOKUP(D169,'Items'!$A$2:$L$201,4,FALSE),""))</f>
        <v/>
      </c>
      <c r="J169" s="10">
        <f>IF(D169="","",IFERROR(VLOOKUP(D169,'Items'!$A$2:$L$201,10,FALSE),""))</f>
        <v/>
      </c>
      <c r="K169" s="10">
        <f>IF(OR(H169="",J169=""),"",H169*J169)</f>
        <v/>
      </c>
      <c r="L169" s="5">
        <f>IF(AND(B169="",D169=""),"",IF(B169="","Missing product",IF(D169="","Missing item",IF(C169="Product not found","Product not found",IF(E169="Item not found","Item not found",IF(OR(F169="",G169=""),"Missing quantity/unit",IF(IFERROR(VLOOKUP(G169,'Units'!$A$2:$D$13,3,FALSE),"")&lt;&gt;I169,"Unit mismatch",IF(J169="","Enter item cost","OK"))))))))</f>
        <v/>
      </c>
      <c r="M169" s="4" t="n"/>
    </row>
    <row r="170">
      <c r="A170" s="5">
        <f>IF(AND(B170="",D170=""),"",ROW()-1)</f>
        <v/>
      </c>
      <c r="B170" s="4" t="n"/>
      <c r="C170" s="5">
        <f>IF(B170="","",IFERROR(VLOOKUP(B170,'Products'!$A$2:$F$201,2,FALSE),"Product not found"))</f>
        <v/>
      </c>
      <c r="D170" s="4" t="n"/>
      <c r="E170" s="5">
        <f>IF(D170="","",IFERROR(VLOOKUP(D170,'Items'!$A$2:$L$201,2,FALSE),"Item not found"))</f>
        <v/>
      </c>
      <c r="F170" s="9" t="n"/>
      <c r="G170" s="4" t="n"/>
      <c r="H170" s="10">
        <f>IF(OR(F170="",G170=""),"",IFERROR(F170*VLOOKUP(G170,'Units'!$A$2:$D$13,4,FALSE),""))</f>
        <v/>
      </c>
      <c r="I170" s="5">
        <f>IF(D170="","",IFERROR(VLOOKUP(D170,'Items'!$A$2:$L$201,4,FALSE),""))</f>
        <v/>
      </c>
      <c r="J170" s="10">
        <f>IF(D170="","",IFERROR(VLOOKUP(D170,'Items'!$A$2:$L$201,10,FALSE),""))</f>
        <v/>
      </c>
      <c r="K170" s="10">
        <f>IF(OR(H170="",J170=""),"",H170*J170)</f>
        <v/>
      </c>
      <c r="L170" s="5">
        <f>IF(AND(B170="",D170=""),"",IF(B170="","Missing product",IF(D170="","Missing item",IF(C170="Product not found","Product not found",IF(E170="Item not found","Item not found",IF(OR(F170="",G170=""),"Missing quantity/unit",IF(IFERROR(VLOOKUP(G170,'Units'!$A$2:$D$13,3,FALSE),"")&lt;&gt;I170,"Unit mismatch",IF(J170="","Enter item cost","OK"))))))))</f>
        <v/>
      </c>
      <c r="M170" s="4" t="n"/>
    </row>
    <row r="171">
      <c r="A171" s="5">
        <f>IF(AND(B171="",D171=""),"",ROW()-1)</f>
        <v/>
      </c>
      <c r="B171" s="4" t="n"/>
      <c r="C171" s="5">
        <f>IF(B171="","",IFERROR(VLOOKUP(B171,'Products'!$A$2:$F$201,2,FALSE),"Product not found"))</f>
        <v/>
      </c>
      <c r="D171" s="4" t="n"/>
      <c r="E171" s="5">
        <f>IF(D171="","",IFERROR(VLOOKUP(D171,'Items'!$A$2:$L$201,2,FALSE),"Item not found"))</f>
        <v/>
      </c>
      <c r="F171" s="9" t="n"/>
      <c r="G171" s="4" t="n"/>
      <c r="H171" s="10">
        <f>IF(OR(F171="",G171=""),"",IFERROR(F171*VLOOKUP(G171,'Units'!$A$2:$D$13,4,FALSE),""))</f>
        <v/>
      </c>
      <c r="I171" s="5">
        <f>IF(D171="","",IFERROR(VLOOKUP(D171,'Items'!$A$2:$L$201,4,FALSE),""))</f>
        <v/>
      </c>
      <c r="J171" s="10">
        <f>IF(D171="","",IFERROR(VLOOKUP(D171,'Items'!$A$2:$L$201,10,FALSE),""))</f>
        <v/>
      </c>
      <c r="K171" s="10">
        <f>IF(OR(H171="",J171=""),"",H171*J171)</f>
        <v/>
      </c>
      <c r="L171" s="5">
        <f>IF(AND(B171="",D171=""),"",IF(B171="","Missing product",IF(D171="","Missing item",IF(C171="Product not found","Product not found",IF(E171="Item not found","Item not found",IF(OR(F171="",G171=""),"Missing quantity/unit",IF(IFERROR(VLOOKUP(G171,'Units'!$A$2:$D$13,3,FALSE),"")&lt;&gt;I171,"Unit mismatch",IF(J171="","Enter item cost","OK"))))))))</f>
        <v/>
      </c>
      <c r="M171" s="4" t="n"/>
    </row>
    <row r="172">
      <c r="A172" s="5">
        <f>IF(AND(B172="",D172=""),"",ROW()-1)</f>
        <v/>
      </c>
      <c r="B172" s="4" t="n"/>
      <c r="C172" s="5">
        <f>IF(B172="","",IFERROR(VLOOKUP(B172,'Products'!$A$2:$F$201,2,FALSE),"Product not found"))</f>
        <v/>
      </c>
      <c r="D172" s="4" t="n"/>
      <c r="E172" s="5">
        <f>IF(D172="","",IFERROR(VLOOKUP(D172,'Items'!$A$2:$L$201,2,FALSE),"Item not found"))</f>
        <v/>
      </c>
      <c r="F172" s="9" t="n"/>
      <c r="G172" s="4" t="n"/>
      <c r="H172" s="10">
        <f>IF(OR(F172="",G172=""),"",IFERROR(F172*VLOOKUP(G172,'Units'!$A$2:$D$13,4,FALSE),""))</f>
        <v/>
      </c>
      <c r="I172" s="5">
        <f>IF(D172="","",IFERROR(VLOOKUP(D172,'Items'!$A$2:$L$201,4,FALSE),""))</f>
        <v/>
      </c>
      <c r="J172" s="10">
        <f>IF(D172="","",IFERROR(VLOOKUP(D172,'Items'!$A$2:$L$201,10,FALSE),""))</f>
        <v/>
      </c>
      <c r="K172" s="10">
        <f>IF(OR(H172="",J172=""),"",H172*J172)</f>
        <v/>
      </c>
      <c r="L172" s="5">
        <f>IF(AND(B172="",D172=""),"",IF(B172="","Missing product",IF(D172="","Missing item",IF(C172="Product not found","Product not found",IF(E172="Item not found","Item not found",IF(OR(F172="",G172=""),"Missing quantity/unit",IF(IFERROR(VLOOKUP(G172,'Units'!$A$2:$D$13,3,FALSE),"")&lt;&gt;I172,"Unit mismatch",IF(J172="","Enter item cost","OK"))))))))</f>
        <v/>
      </c>
      <c r="M172" s="4" t="n"/>
    </row>
    <row r="173">
      <c r="A173" s="5">
        <f>IF(AND(B173="",D173=""),"",ROW()-1)</f>
        <v/>
      </c>
      <c r="B173" s="4" t="n"/>
      <c r="C173" s="5">
        <f>IF(B173="","",IFERROR(VLOOKUP(B173,'Products'!$A$2:$F$201,2,FALSE),"Product not found"))</f>
        <v/>
      </c>
      <c r="D173" s="4" t="n"/>
      <c r="E173" s="5">
        <f>IF(D173="","",IFERROR(VLOOKUP(D173,'Items'!$A$2:$L$201,2,FALSE),"Item not found"))</f>
        <v/>
      </c>
      <c r="F173" s="9" t="n"/>
      <c r="G173" s="4" t="n"/>
      <c r="H173" s="10">
        <f>IF(OR(F173="",G173=""),"",IFERROR(F173*VLOOKUP(G173,'Units'!$A$2:$D$13,4,FALSE),""))</f>
        <v/>
      </c>
      <c r="I173" s="5">
        <f>IF(D173="","",IFERROR(VLOOKUP(D173,'Items'!$A$2:$L$201,4,FALSE),""))</f>
        <v/>
      </c>
      <c r="J173" s="10">
        <f>IF(D173="","",IFERROR(VLOOKUP(D173,'Items'!$A$2:$L$201,10,FALSE),""))</f>
        <v/>
      </c>
      <c r="K173" s="10">
        <f>IF(OR(H173="",J173=""),"",H173*J173)</f>
        <v/>
      </c>
      <c r="L173" s="5">
        <f>IF(AND(B173="",D173=""),"",IF(B173="","Missing product",IF(D173="","Missing item",IF(C173="Product not found","Product not found",IF(E173="Item not found","Item not found",IF(OR(F173="",G173=""),"Missing quantity/unit",IF(IFERROR(VLOOKUP(G173,'Units'!$A$2:$D$13,3,FALSE),"")&lt;&gt;I173,"Unit mismatch",IF(J173="","Enter item cost","OK"))))))))</f>
        <v/>
      </c>
      <c r="M173" s="4" t="n"/>
    </row>
    <row r="174">
      <c r="A174" s="5">
        <f>IF(AND(B174="",D174=""),"",ROW()-1)</f>
        <v/>
      </c>
      <c r="B174" s="4" t="n"/>
      <c r="C174" s="5">
        <f>IF(B174="","",IFERROR(VLOOKUP(B174,'Products'!$A$2:$F$201,2,FALSE),"Product not found"))</f>
        <v/>
      </c>
      <c r="D174" s="4" t="n"/>
      <c r="E174" s="5">
        <f>IF(D174="","",IFERROR(VLOOKUP(D174,'Items'!$A$2:$L$201,2,FALSE),"Item not found"))</f>
        <v/>
      </c>
      <c r="F174" s="9" t="n"/>
      <c r="G174" s="4" t="n"/>
      <c r="H174" s="10">
        <f>IF(OR(F174="",G174=""),"",IFERROR(F174*VLOOKUP(G174,'Units'!$A$2:$D$13,4,FALSE),""))</f>
        <v/>
      </c>
      <c r="I174" s="5">
        <f>IF(D174="","",IFERROR(VLOOKUP(D174,'Items'!$A$2:$L$201,4,FALSE),""))</f>
        <v/>
      </c>
      <c r="J174" s="10">
        <f>IF(D174="","",IFERROR(VLOOKUP(D174,'Items'!$A$2:$L$201,10,FALSE),""))</f>
        <v/>
      </c>
      <c r="K174" s="10">
        <f>IF(OR(H174="",J174=""),"",H174*J174)</f>
        <v/>
      </c>
      <c r="L174" s="5">
        <f>IF(AND(B174="",D174=""),"",IF(B174="","Missing product",IF(D174="","Missing item",IF(C174="Product not found","Product not found",IF(E174="Item not found","Item not found",IF(OR(F174="",G174=""),"Missing quantity/unit",IF(IFERROR(VLOOKUP(G174,'Units'!$A$2:$D$13,3,FALSE),"")&lt;&gt;I174,"Unit mismatch",IF(J174="","Enter item cost","OK"))))))))</f>
        <v/>
      </c>
      <c r="M174" s="4" t="n"/>
    </row>
    <row r="175">
      <c r="A175" s="5">
        <f>IF(AND(B175="",D175=""),"",ROW()-1)</f>
        <v/>
      </c>
      <c r="B175" s="4" t="n"/>
      <c r="C175" s="5">
        <f>IF(B175="","",IFERROR(VLOOKUP(B175,'Products'!$A$2:$F$201,2,FALSE),"Product not found"))</f>
        <v/>
      </c>
      <c r="D175" s="4" t="n"/>
      <c r="E175" s="5">
        <f>IF(D175="","",IFERROR(VLOOKUP(D175,'Items'!$A$2:$L$201,2,FALSE),"Item not found"))</f>
        <v/>
      </c>
      <c r="F175" s="9" t="n"/>
      <c r="G175" s="4" t="n"/>
      <c r="H175" s="10">
        <f>IF(OR(F175="",G175=""),"",IFERROR(F175*VLOOKUP(G175,'Units'!$A$2:$D$13,4,FALSE),""))</f>
        <v/>
      </c>
      <c r="I175" s="5">
        <f>IF(D175="","",IFERROR(VLOOKUP(D175,'Items'!$A$2:$L$201,4,FALSE),""))</f>
        <v/>
      </c>
      <c r="J175" s="10">
        <f>IF(D175="","",IFERROR(VLOOKUP(D175,'Items'!$A$2:$L$201,10,FALSE),""))</f>
        <v/>
      </c>
      <c r="K175" s="10">
        <f>IF(OR(H175="",J175=""),"",H175*J175)</f>
        <v/>
      </c>
      <c r="L175" s="5">
        <f>IF(AND(B175="",D175=""),"",IF(B175="","Missing product",IF(D175="","Missing item",IF(C175="Product not found","Product not found",IF(E175="Item not found","Item not found",IF(OR(F175="",G175=""),"Missing quantity/unit",IF(IFERROR(VLOOKUP(G175,'Units'!$A$2:$D$13,3,FALSE),"")&lt;&gt;I175,"Unit mismatch",IF(J175="","Enter item cost","OK"))))))))</f>
        <v/>
      </c>
      <c r="M175" s="4" t="n"/>
    </row>
    <row r="176">
      <c r="A176" s="5">
        <f>IF(AND(B176="",D176=""),"",ROW()-1)</f>
        <v/>
      </c>
      <c r="B176" s="4" t="n"/>
      <c r="C176" s="5">
        <f>IF(B176="","",IFERROR(VLOOKUP(B176,'Products'!$A$2:$F$201,2,FALSE),"Product not found"))</f>
        <v/>
      </c>
      <c r="D176" s="4" t="n"/>
      <c r="E176" s="5">
        <f>IF(D176="","",IFERROR(VLOOKUP(D176,'Items'!$A$2:$L$201,2,FALSE),"Item not found"))</f>
        <v/>
      </c>
      <c r="F176" s="9" t="n"/>
      <c r="G176" s="4" t="n"/>
      <c r="H176" s="10">
        <f>IF(OR(F176="",G176=""),"",IFERROR(F176*VLOOKUP(G176,'Units'!$A$2:$D$13,4,FALSE),""))</f>
        <v/>
      </c>
      <c r="I176" s="5">
        <f>IF(D176="","",IFERROR(VLOOKUP(D176,'Items'!$A$2:$L$201,4,FALSE),""))</f>
        <v/>
      </c>
      <c r="J176" s="10">
        <f>IF(D176="","",IFERROR(VLOOKUP(D176,'Items'!$A$2:$L$201,10,FALSE),""))</f>
        <v/>
      </c>
      <c r="K176" s="10">
        <f>IF(OR(H176="",J176=""),"",H176*J176)</f>
        <v/>
      </c>
      <c r="L176" s="5">
        <f>IF(AND(B176="",D176=""),"",IF(B176="","Missing product",IF(D176="","Missing item",IF(C176="Product not found","Product not found",IF(E176="Item not found","Item not found",IF(OR(F176="",G176=""),"Missing quantity/unit",IF(IFERROR(VLOOKUP(G176,'Units'!$A$2:$D$13,3,FALSE),"")&lt;&gt;I176,"Unit mismatch",IF(J176="","Enter item cost","OK"))))))))</f>
        <v/>
      </c>
      <c r="M176" s="4" t="n"/>
    </row>
    <row r="177">
      <c r="A177" s="5">
        <f>IF(AND(B177="",D177=""),"",ROW()-1)</f>
        <v/>
      </c>
      <c r="B177" s="4" t="n"/>
      <c r="C177" s="5">
        <f>IF(B177="","",IFERROR(VLOOKUP(B177,'Products'!$A$2:$F$201,2,FALSE),"Product not found"))</f>
        <v/>
      </c>
      <c r="D177" s="4" t="n"/>
      <c r="E177" s="5">
        <f>IF(D177="","",IFERROR(VLOOKUP(D177,'Items'!$A$2:$L$201,2,FALSE),"Item not found"))</f>
        <v/>
      </c>
      <c r="F177" s="9" t="n"/>
      <c r="G177" s="4" t="n"/>
      <c r="H177" s="10">
        <f>IF(OR(F177="",G177=""),"",IFERROR(F177*VLOOKUP(G177,'Units'!$A$2:$D$13,4,FALSE),""))</f>
        <v/>
      </c>
      <c r="I177" s="5">
        <f>IF(D177="","",IFERROR(VLOOKUP(D177,'Items'!$A$2:$L$201,4,FALSE),""))</f>
        <v/>
      </c>
      <c r="J177" s="10">
        <f>IF(D177="","",IFERROR(VLOOKUP(D177,'Items'!$A$2:$L$201,10,FALSE),""))</f>
        <v/>
      </c>
      <c r="K177" s="10">
        <f>IF(OR(H177="",J177=""),"",H177*J177)</f>
        <v/>
      </c>
      <c r="L177" s="5">
        <f>IF(AND(B177="",D177=""),"",IF(B177="","Missing product",IF(D177="","Missing item",IF(C177="Product not found","Product not found",IF(E177="Item not found","Item not found",IF(OR(F177="",G177=""),"Missing quantity/unit",IF(IFERROR(VLOOKUP(G177,'Units'!$A$2:$D$13,3,FALSE),"")&lt;&gt;I177,"Unit mismatch",IF(J177="","Enter item cost","OK"))))))))</f>
        <v/>
      </c>
      <c r="M177" s="4" t="n"/>
    </row>
    <row r="178">
      <c r="A178" s="5">
        <f>IF(AND(B178="",D178=""),"",ROW()-1)</f>
        <v/>
      </c>
      <c r="B178" s="4" t="n"/>
      <c r="C178" s="5">
        <f>IF(B178="","",IFERROR(VLOOKUP(B178,'Products'!$A$2:$F$201,2,FALSE),"Product not found"))</f>
        <v/>
      </c>
      <c r="D178" s="4" t="n"/>
      <c r="E178" s="5">
        <f>IF(D178="","",IFERROR(VLOOKUP(D178,'Items'!$A$2:$L$201,2,FALSE),"Item not found"))</f>
        <v/>
      </c>
      <c r="F178" s="9" t="n"/>
      <c r="G178" s="4" t="n"/>
      <c r="H178" s="10">
        <f>IF(OR(F178="",G178=""),"",IFERROR(F178*VLOOKUP(G178,'Units'!$A$2:$D$13,4,FALSE),""))</f>
        <v/>
      </c>
      <c r="I178" s="5">
        <f>IF(D178="","",IFERROR(VLOOKUP(D178,'Items'!$A$2:$L$201,4,FALSE),""))</f>
        <v/>
      </c>
      <c r="J178" s="10">
        <f>IF(D178="","",IFERROR(VLOOKUP(D178,'Items'!$A$2:$L$201,10,FALSE),""))</f>
        <v/>
      </c>
      <c r="K178" s="10">
        <f>IF(OR(H178="",J178=""),"",H178*J178)</f>
        <v/>
      </c>
      <c r="L178" s="5">
        <f>IF(AND(B178="",D178=""),"",IF(B178="","Missing product",IF(D178="","Missing item",IF(C178="Product not found","Product not found",IF(E178="Item not found","Item not found",IF(OR(F178="",G178=""),"Missing quantity/unit",IF(IFERROR(VLOOKUP(G178,'Units'!$A$2:$D$13,3,FALSE),"")&lt;&gt;I178,"Unit mismatch",IF(J178="","Enter item cost","OK"))))))))</f>
        <v/>
      </c>
      <c r="M178" s="4" t="n"/>
    </row>
    <row r="179">
      <c r="A179" s="5">
        <f>IF(AND(B179="",D179=""),"",ROW()-1)</f>
        <v/>
      </c>
      <c r="B179" s="4" t="n"/>
      <c r="C179" s="5">
        <f>IF(B179="","",IFERROR(VLOOKUP(B179,'Products'!$A$2:$F$201,2,FALSE),"Product not found"))</f>
        <v/>
      </c>
      <c r="D179" s="4" t="n"/>
      <c r="E179" s="5">
        <f>IF(D179="","",IFERROR(VLOOKUP(D179,'Items'!$A$2:$L$201,2,FALSE),"Item not found"))</f>
        <v/>
      </c>
      <c r="F179" s="9" t="n"/>
      <c r="G179" s="4" t="n"/>
      <c r="H179" s="10">
        <f>IF(OR(F179="",G179=""),"",IFERROR(F179*VLOOKUP(G179,'Units'!$A$2:$D$13,4,FALSE),""))</f>
        <v/>
      </c>
      <c r="I179" s="5">
        <f>IF(D179="","",IFERROR(VLOOKUP(D179,'Items'!$A$2:$L$201,4,FALSE),""))</f>
        <v/>
      </c>
      <c r="J179" s="10">
        <f>IF(D179="","",IFERROR(VLOOKUP(D179,'Items'!$A$2:$L$201,10,FALSE),""))</f>
        <v/>
      </c>
      <c r="K179" s="10">
        <f>IF(OR(H179="",J179=""),"",H179*J179)</f>
        <v/>
      </c>
      <c r="L179" s="5">
        <f>IF(AND(B179="",D179=""),"",IF(B179="","Missing product",IF(D179="","Missing item",IF(C179="Product not found","Product not found",IF(E179="Item not found","Item not found",IF(OR(F179="",G179=""),"Missing quantity/unit",IF(IFERROR(VLOOKUP(G179,'Units'!$A$2:$D$13,3,FALSE),"")&lt;&gt;I179,"Unit mismatch",IF(J179="","Enter item cost","OK"))))))))</f>
        <v/>
      </c>
      <c r="M179" s="4" t="n"/>
    </row>
    <row r="180">
      <c r="A180" s="5">
        <f>IF(AND(B180="",D180=""),"",ROW()-1)</f>
        <v/>
      </c>
      <c r="B180" s="4" t="n"/>
      <c r="C180" s="5">
        <f>IF(B180="","",IFERROR(VLOOKUP(B180,'Products'!$A$2:$F$201,2,FALSE),"Product not found"))</f>
        <v/>
      </c>
      <c r="D180" s="4" t="n"/>
      <c r="E180" s="5">
        <f>IF(D180="","",IFERROR(VLOOKUP(D180,'Items'!$A$2:$L$201,2,FALSE),"Item not found"))</f>
        <v/>
      </c>
      <c r="F180" s="9" t="n"/>
      <c r="G180" s="4" t="n"/>
      <c r="H180" s="10">
        <f>IF(OR(F180="",G180=""),"",IFERROR(F180*VLOOKUP(G180,'Units'!$A$2:$D$13,4,FALSE),""))</f>
        <v/>
      </c>
      <c r="I180" s="5">
        <f>IF(D180="","",IFERROR(VLOOKUP(D180,'Items'!$A$2:$L$201,4,FALSE),""))</f>
        <v/>
      </c>
      <c r="J180" s="10">
        <f>IF(D180="","",IFERROR(VLOOKUP(D180,'Items'!$A$2:$L$201,10,FALSE),""))</f>
        <v/>
      </c>
      <c r="K180" s="10">
        <f>IF(OR(H180="",J180=""),"",H180*J180)</f>
        <v/>
      </c>
      <c r="L180" s="5">
        <f>IF(AND(B180="",D180=""),"",IF(B180="","Missing product",IF(D180="","Missing item",IF(C180="Product not found","Product not found",IF(E180="Item not found","Item not found",IF(OR(F180="",G180=""),"Missing quantity/unit",IF(IFERROR(VLOOKUP(G180,'Units'!$A$2:$D$13,3,FALSE),"")&lt;&gt;I180,"Unit mismatch",IF(J180="","Enter item cost","OK"))))))))</f>
        <v/>
      </c>
      <c r="M180" s="4" t="n"/>
    </row>
    <row r="181">
      <c r="A181" s="5">
        <f>IF(AND(B181="",D181=""),"",ROW()-1)</f>
        <v/>
      </c>
      <c r="B181" s="4" t="n"/>
      <c r="C181" s="5">
        <f>IF(B181="","",IFERROR(VLOOKUP(B181,'Products'!$A$2:$F$201,2,FALSE),"Product not found"))</f>
        <v/>
      </c>
      <c r="D181" s="4" t="n"/>
      <c r="E181" s="5">
        <f>IF(D181="","",IFERROR(VLOOKUP(D181,'Items'!$A$2:$L$201,2,FALSE),"Item not found"))</f>
        <v/>
      </c>
      <c r="F181" s="9" t="n"/>
      <c r="G181" s="4" t="n"/>
      <c r="H181" s="10">
        <f>IF(OR(F181="",G181=""),"",IFERROR(F181*VLOOKUP(G181,'Units'!$A$2:$D$13,4,FALSE),""))</f>
        <v/>
      </c>
      <c r="I181" s="5">
        <f>IF(D181="","",IFERROR(VLOOKUP(D181,'Items'!$A$2:$L$201,4,FALSE),""))</f>
        <v/>
      </c>
      <c r="J181" s="10">
        <f>IF(D181="","",IFERROR(VLOOKUP(D181,'Items'!$A$2:$L$201,10,FALSE),""))</f>
        <v/>
      </c>
      <c r="K181" s="10">
        <f>IF(OR(H181="",J181=""),"",H181*J181)</f>
        <v/>
      </c>
      <c r="L181" s="5">
        <f>IF(AND(B181="",D181=""),"",IF(B181="","Missing product",IF(D181="","Missing item",IF(C181="Product not found","Product not found",IF(E181="Item not found","Item not found",IF(OR(F181="",G181=""),"Missing quantity/unit",IF(IFERROR(VLOOKUP(G181,'Units'!$A$2:$D$13,3,FALSE),"")&lt;&gt;I181,"Unit mismatch",IF(J181="","Enter item cost","OK"))))))))</f>
        <v/>
      </c>
      <c r="M181" s="4" t="n"/>
    </row>
    <row r="182">
      <c r="A182" s="5">
        <f>IF(AND(B182="",D182=""),"",ROW()-1)</f>
        <v/>
      </c>
      <c r="B182" s="4" t="n"/>
      <c r="C182" s="5">
        <f>IF(B182="","",IFERROR(VLOOKUP(B182,'Products'!$A$2:$F$201,2,FALSE),"Product not found"))</f>
        <v/>
      </c>
      <c r="D182" s="4" t="n"/>
      <c r="E182" s="5">
        <f>IF(D182="","",IFERROR(VLOOKUP(D182,'Items'!$A$2:$L$201,2,FALSE),"Item not found"))</f>
        <v/>
      </c>
      <c r="F182" s="9" t="n"/>
      <c r="G182" s="4" t="n"/>
      <c r="H182" s="10">
        <f>IF(OR(F182="",G182=""),"",IFERROR(F182*VLOOKUP(G182,'Units'!$A$2:$D$13,4,FALSE),""))</f>
        <v/>
      </c>
      <c r="I182" s="5">
        <f>IF(D182="","",IFERROR(VLOOKUP(D182,'Items'!$A$2:$L$201,4,FALSE),""))</f>
        <v/>
      </c>
      <c r="J182" s="10">
        <f>IF(D182="","",IFERROR(VLOOKUP(D182,'Items'!$A$2:$L$201,10,FALSE),""))</f>
        <v/>
      </c>
      <c r="K182" s="10">
        <f>IF(OR(H182="",J182=""),"",H182*J182)</f>
        <v/>
      </c>
      <c r="L182" s="5">
        <f>IF(AND(B182="",D182=""),"",IF(B182="","Missing product",IF(D182="","Missing item",IF(C182="Product not found","Product not found",IF(E182="Item not found","Item not found",IF(OR(F182="",G182=""),"Missing quantity/unit",IF(IFERROR(VLOOKUP(G182,'Units'!$A$2:$D$13,3,FALSE),"")&lt;&gt;I182,"Unit mismatch",IF(J182="","Enter item cost","OK"))))))))</f>
        <v/>
      </c>
      <c r="M182" s="4" t="n"/>
    </row>
    <row r="183">
      <c r="A183" s="5">
        <f>IF(AND(B183="",D183=""),"",ROW()-1)</f>
        <v/>
      </c>
      <c r="B183" s="4" t="n"/>
      <c r="C183" s="5">
        <f>IF(B183="","",IFERROR(VLOOKUP(B183,'Products'!$A$2:$F$201,2,FALSE),"Product not found"))</f>
        <v/>
      </c>
      <c r="D183" s="4" t="n"/>
      <c r="E183" s="5">
        <f>IF(D183="","",IFERROR(VLOOKUP(D183,'Items'!$A$2:$L$201,2,FALSE),"Item not found"))</f>
        <v/>
      </c>
      <c r="F183" s="9" t="n"/>
      <c r="G183" s="4" t="n"/>
      <c r="H183" s="10">
        <f>IF(OR(F183="",G183=""),"",IFERROR(F183*VLOOKUP(G183,'Units'!$A$2:$D$13,4,FALSE),""))</f>
        <v/>
      </c>
      <c r="I183" s="5">
        <f>IF(D183="","",IFERROR(VLOOKUP(D183,'Items'!$A$2:$L$201,4,FALSE),""))</f>
        <v/>
      </c>
      <c r="J183" s="10">
        <f>IF(D183="","",IFERROR(VLOOKUP(D183,'Items'!$A$2:$L$201,10,FALSE),""))</f>
        <v/>
      </c>
      <c r="K183" s="10">
        <f>IF(OR(H183="",J183=""),"",H183*J183)</f>
        <v/>
      </c>
      <c r="L183" s="5">
        <f>IF(AND(B183="",D183=""),"",IF(B183="","Missing product",IF(D183="","Missing item",IF(C183="Product not found","Product not found",IF(E183="Item not found","Item not found",IF(OR(F183="",G183=""),"Missing quantity/unit",IF(IFERROR(VLOOKUP(G183,'Units'!$A$2:$D$13,3,FALSE),"")&lt;&gt;I183,"Unit mismatch",IF(J183="","Enter item cost","OK"))))))))</f>
        <v/>
      </c>
      <c r="M183" s="4" t="n"/>
    </row>
    <row r="184">
      <c r="A184" s="5">
        <f>IF(AND(B184="",D184=""),"",ROW()-1)</f>
        <v/>
      </c>
      <c r="B184" s="4" t="n"/>
      <c r="C184" s="5">
        <f>IF(B184="","",IFERROR(VLOOKUP(B184,'Products'!$A$2:$F$201,2,FALSE),"Product not found"))</f>
        <v/>
      </c>
      <c r="D184" s="4" t="n"/>
      <c r="E184" s="5">
        <f>IF(D184="","",IFERROR(VLOOKUP(D184,'Items'!$A$2:$L$201,2,FALSE),"Item not found"))</f>
        <v/>
      </c>
      <c r="F184" s="9" t="n"/>
      <c r="G184" s="4" t="n"/>
      <c r="H184" s="10">
        <f>IF(OR(F184="",G184=""),"",IFERROR(F184*VLOOKUP(G184,'Units'!$A$2:$D$13,4,FALSE),""))</f>
        <v/>
      </c>
      <c r="I184" s="5">
        <f>IF(D184="","",IFERROR(VLOOKUP(D184,'Items'!$A$2:$L$201,4,FALSE),""))</f>
        <v/>
      </c>
      <c r="J184" s="10">
        <f>IF(D184="","",IFERROR(VLOOKUP(D184,'Items'!$A$2:$L$201,10,FALSE),""))</f>
        <v/>
      </c>
      <c r="K184" s="10">
        <f>IF(OR(H184="",J184=""),"",H184*J184)</f>
        <v/>
      </c>
      <c r="L184" s="5">
        <f>IF(AND(B184="",D184=""),"",IF(B184="","Missing product",IF(D184="","Missing item",IF(C184="Product not found","Product not found",IF(E184="Item not found","Item not found",IF(OR(F184="",G184=""),"Missing quantity/unit",IF(IFERROR(VLOOKUP(G184,'Units'!$A$2:$D$13,3,FALSE),"")&lt;&gt;I184,"Unit mismatch",IF(J184="","Enter item cost","OK"))))))))</f>
        <v/>
      </c>
      <c r="M184" s="4" t="n"/>
    </row>
    <row r="185">
      <c r="A185" s="5">
        <f>IF(AND(B185="",D185=""),"",ROW()-1)</f>
        <v/>
      </c>
      <c r="B185" s="4" t="n"/>
      <c r="C185" s="5">
        <f>IF(B185="","",IFERROR(VLOOKUP(B185,'Products'!$A$2:$F$201,2,FALSE),"Product not found"))</f>
        <v/>
      </c>
      <c r="D185" s="4" t="n"/>
      <c r="E185" s="5">
        <f>IF(D185="","",IFERROR(VLOOKUP(D185,'Items'!$A$2:$L$201,2,FALSE),"Item not found"))</f>
        <v/>
      </c>
      <c r="F185" s="9" t="n"/>
      <c r="G185" s="4" t="n"/>
      <c r="H185" s="10">
        <f>IF(OR(F185="",G185=""),"",IFERROR(F185*VLOOKUP(G185,'Units'!$A$2:$D$13,4,FALSE),""))</f>
        <v/>
      </c>
      <c r="I185" s="5">
        <f>IF(D185="","",IFERROR(VLOOKUP(D185,'Items'!$A$2:$L$201,4,FALSE),""))</f>
        <v/>
      </c>
      <c r="J185" s="10">
        <f>IF(D185="","",IFERROR(VLOOKUP(D185,'Items'!$A$2:$L$201,10,FALSE),""))</f>
        <v/>
      </c>
      <c r="K185" s="10">
        <f>IF(OR(H185="",J185=""),"",H185*J185)</f>
        <v/>
      </c>
      <c r="L185" s="5">
        <f>IF(AND(B185="",D185=""),"",IF(B185="","Missing product",IF(D185="","Missing item",IF(C185="Product not found","Product not found",IF(E185="Item not found","Item not found",IF(OR(F185="",G185=""),"Missing quantity/unit",IF(IFERROR(VLOOKUP(G185,'Units'!$A$2:$D$13,3,FALSE),"")&lt;&gt;I185,"Unit mismatch",IF(J185="","Enter item cost","OK"))))))))</f>
        <v/>
      </c>
      <c r="M185" s="4" t="n"/>
    </row>
    <row r="186">
      <c r="A186" s="5">
        <f>IF(AND(B186="",D186=""),"",ROW()-1)</f>
        <v/>
      </c>
      <c r="B186" s="4" t="n"/>
      <c r="C186" s="5">
        <f>IF(B186="","",IFERROR(VLOOKUP(B186,'Products'!$A$2:$F$201,2,FALSE),"Product not found"))</f>
        <v/>
      </c>
      <c r="D186" s="4" t="n"/>
      <c r="E186" s="5">
        <f>IF(D186="","",IFERROR(VLOOKUP(D186,'Items'!$A$2:$L$201,2,FALSE),"Item not found"))</f>
        <v/>
      </c>
      <c r="F186" s="9" t="n"/>
      <c r="G186" s="4" t="n"/>
      <c r="H186" s="10">
        <f>IF(OR(F186="",G186=""),"",IFERROR(F186*VLOOKUP(G186,'Units'!$A$2:$D$13,4,FALSE),""))</f>
        <v/>
      </c>
      <c r="I186" s="5">
        <f>IF(D186="","",IFERROR(VLOOKUP(D186,'Items'!$A$2:$L$201,4,FALSE),""))</f>
        <v/>
      </c>
      <c r="J186" s="10">
        <f>IF(D186="","",IFERROR(VLOOKUP(D186,'Items'!$A$2:$L$201,10,FALSE),""))</f>
        <v/>
      </c>
      <c r="K186" s="10">
        <f>IF(OR(H186="",J186=""),"",H186*J186)</f>
        <v/>
      </c>
      <c r="L186" s="5">
        <f>IF(AND(B186="",D186=""),"",IF(B186="","Missing product",IF(D186="","Missing item",IF(C186="Product not found","Product not found",IF(E186="Item not found","Item not found",IF(OR(F186="",G186=""),"Missing quantity/unit",IF(IFERROR(VLOOKUP(G186,'Units'!$A$2:$D$13,3,FALSE),"")&lt;&gt;I186,"Unit mismatch",IF(J186="","Enter item cost","OK"))))))))</f>
        <v/>
      </c>
      <c r="M186" s="4" t="n"/>
    </row>
    <row r="187">
      <c r="A187" s="5">
        <f>IF(AND(B187="",D187=""),"",ROW()-1)</f>
        <v/>
      </c>
      <c r="B187" s="4" t="n"/>
      <c r="C187" s="5">
        <f>IF(B187="","",IFERROR(VLOOKUP(B187,'Products'!$A$2:$F$201,2,FALSE),"Product not found"))</f>
        <v/>
      </c>
      <c r="D187" s="4" t="n"/>
      <c r="E187" s="5">
        <f>IF(D187="","",IFERROR(VLOOKUP(D187,'Items'!$A$2:$L$201,2,FALSE),"Item not found"))</f>
        <v/>
      </c>
      <c r="F187" s="9" t="n"/>
      <c r="G187" s="4" t="n"/>
      <c r="H187" s="10">
        <f>IF(OR(F187="",G187=""),"",IFERROR(F187*VLOOKUP(G187,'Units'!$A$2:$D$13,4,FALSE),""))</f>
        <v/>
      </c>
      <c r="I187" s="5">
        <f>IF(D187="","",IFERROR(VLOOKUP(D187,'Items'!$A$2:$L$201,4,FALSE),""))</f>
        <v/>
      </c>
      <c r="J187" s="10">
        <f>IF(D187="","",IFERROR(VLOOKUP(D187,'Items'!$A$2:$L$201,10,FALSE),""))</f>
        <v/>
      </c>
      <c r="K187" s="10">
        <f>IF(OR(H187="",J187=""),"",H187*J187)</f>
        <v/>
      </c>
      <c r="L187" s="5">
        <f>IF(AND(B187="",D187=""),"",IF(B187="","Missing product",IF(D187="","Missing item",IF(C187="Product not found","Product not found",IF(E187="Item not found","Item not found",IF(OR(F187="",G187=""),"Missing quantity/unit",IF(IFERROR(VLOOKUP(G187,'Units'!$A$2:$D$13,3,FALSE),"")&lt;&gt;I187,"Unit mismatch",IF(J187="","Enter item cost","OK"))))))))</f>
        <v/>
      </c>
      <c r="M187" s="4" t="n"/>
    </row>
    <row r="188">
      <c r="A188" s="5">
        <f>IF(AND(B188="",D188=""),"",ROW()-1)</f>
        <v/>
      </c>
      <c r="B188" s="4" t="n"/>
      <c r="C188" s="5">
        <f>IF(B188="","",IFERROR(VLOOKUP(B188,'Products'!$A$2:$F$201,2,FALSE),"Product not found"))</f>
        <v/>
      </c>
      <c r="D188" s="4" t="n"/>
      <c r="E188" s="5">
        <f>IF(D188="","",IFERROR(VLOOKUP(D188,'Items'!$A$2:$L$201,2,FALSE),"Item not found"))</f>
        <v/>
      </c>
      <c r="F188" s="9" t="n"/>
      <c r="G188" s="4" t="n"/>
      <c r="H188" s="10">
        <f>IF(OR(F188="",G188=""),"",IFERROR(F188*VLOOKUP(G188,'Units'!$A$2:$D$13,4,FALSE),""))</f>
        <v/>
      </c>
      <c r="I188" s="5">
        <f>IF(D188="","",IFERROR(VLOOKUP(D188,'Items'!$A$2:$L$201,4,FALSE),""))</f>
        <v/>
      </c>
      <c r="J188" s="10">
        <f>IF(D188="","",IFERROR(VLOOKUP(D188,'Items'!$A$2:$L$201,10,FALSE),""))</f>
        <v/>
      </c>
      <c r="K188" s="10">
        <f>IF(OR(H188="",J188=""),"",H188*J188)</f>
        <v/>
      </c>
      <c r="L188" s="5">
        <f>IF(AND(B188="",D188=""),"",IF(B188="","Missing product",IF(D188="","Missing item",IF(C188="Product not found","Product not found",IF(E188="Item not found","Item not found",IF(OR(F188="",G188=""),"Missing quantity/unit",IF(IFERROR(VLOOKUP(G188,'Units'!$A$2:$D$13,3,FALSE),"")&lt;&gt;I188,"Unit mismatch",IF(J188="","Enter item cost","OK"))))))))</f>
        <v/>
      </c>
      <c r="M188" s="4" t="n"/>
    </row>
    <row r="189">
      <c r="A189" s="5">
        <f>IF(AND(B189="",D189=""),"",ROW()-1)</f>
        <v/>
      </c>
      <c r="B189" s="4" t="n"/>
      <c r="C189" s="5">
        <f>IF(B189="","",IFERROR(VLOOKUP(B189,'Products'!$A$2:$F$201,2,FALSE),"Product not found"))</f>
        <v/>
      </c>
      <c r="D189" s="4" t="n"/>
      <c r="E189" s="5">
        <f>IF(D189="","",IFERROR(VLOOKUP(D189,'Items'!$A$2:$L$201,2,FALSE),"Item not found"))</f>
        <v/>
      </c>
      <c r="F189" s="9" t="n"/>
      <c r="G189" s="4" t="n"/>
      <c r="H189" s="10">
        <f>IF(OR(F189="",G189=""),"",IFERROR(F189*VLOOKUP(G189,'Units'!$A$2:$D$13,4,FALSE),""))</f>
        <v/>
      </c>
      <c r="I189" s="5">
        <f>IF(D189="","",IFERROR(VLOOKUP(D189,'Items'!$A$2:$L$201,4,FALSE),""))</f>
        <v/>
      </c>
      <c r="J189" s="10">
        <f>IF(D189="","",IFERROR(VLOOKUP(D189,'Items'!$A$2:$L$201,10,FALSE),""))</f>
        <v/>
      </c>
      <c r="K189" s="10">
        <f>IF(OR(H189="",J189=""),"",H189*J189)</f>
        <v/>
      </c>
      <c r="L189" s="5">
        <f>IF(AND(B189="",D189=""),"",IF(B189="","Missing product",IF(D189="","Missing item",IF(C189="Product not found","Product not found",IF(E189="Item not found","Item not found",IF(OR(F189="",G189=""),"Missing quantity/unit",IF(IFERROR(VLOOKUP(G189,'Units'!$A$2:$D$13,3,FALSE),"")&lt;&gt;I189,"Unit mismatch",IF(J189="","Enter item cost","OK"))))))))</f>
        <v/>
      </c>
      <c r="M189" s="4" t="n"/>
    </row>
    <row r="190">
      <c r="A190" s="5">
        <f>IF(AND(B190="",D190=""),"",ROW()-1)</f>
        <v/>
      </c>
      <c r="B190" s="4" t="n"/>
      <c r="C190" s="5">
        <f>IF(B190="","",IFERROR(VLOOKUP(B190,'Products'!$A$2:$F$201,2,FALSE),"Product not found"))</f>
        <v/>
      </c>
      <c r="D190" s="4" t="n"/>
      <c r="E190" s="5">
        <f>IF(D190="","",IFERROR(VLOOKUP(D190,'Items'!$A$2:$L$201,2,FALSE),"Item not found"))</f>
        <v/>
      </c>
      <c r="F190" s="9" t="n"/>
      <c r="G190" s="4" t="n"/>
      <c r="H190" s="10">
        <f>IF(OR(F190="",G190=""),"",IFERROR(F190*VLOOKUP(G190,'Units'!$A$2:$D$13,4,FALSE),""))</f>
        <v/>
      </c>
      <c r="I190" s="5">
        <f>IF(D190="","",IFERROR(VLOOKUP(D190,'Items'!$A$2:$L$201,4,FALSE),""))</f>
        <v/>
      </c>
      <c r="J190" s="10">
        <f>IF(D190="","",IFERROR(VLOOKUP(D190,'Items'!$A$2:$L$201,10,FALSE),""))</f>
        <v/>
      </c>
      <c r="K190" s="10">
        <f>IF(OR(H190="",J190=""),"",H190*J190)</f>
        <v/>
      </c>
      <c r="L190" s="5">
        <f>IF(AND(B190="",D190=""),"",IF(B190="","Missing product",IF(D190="","Missing item",IF(C190="Product not found","Product not found",IF(E190="Item not found","Item not found",IF(OR(F190="",G190=""),"Missing quantity/unit",IF(IFERROR(VLOOKUP(G190,'Units'!$A$2:$D$13,3,FALSE),"")&lt;&gt;I190,"Unit mismatch",IF(J190="","Enter item cost","OK"))))))))</f>
        <v/>
      </c>
      <c r="M190" s="4" t="n"/>
    </row>
    <row r="191">
      <c r="A191" s="5">
        <f>IF(AND(B191="",D191=""),"",ROW()-1)</f>
        <v/>
      </c>
      <c r="B191" s="4" t="n"/>
      <c r="C191" s="5">
        <f>IF(B191="","",IFERROR(VLOOKUP(B191,'Products'!$A$2:$F$201,2,FALSE),"Product not found"))</f>
        <v/>
      </c>
      <c r="D191" s="4" t="n"/>
      <c r="E191" s="5">
        <f>IF(D191="","",IFERROR(VLOOKUP(D191,'Items'!$A$2:$L$201,2,FALSE),"Item not found"))</f>
        <v/>
      </c>
      <c r="F191" s="9" t="n"/>
      <c r="G191" s="4" t="n"/>
      <c r="H191" s="10">
        <f>IF(OR(F191="",G191=""),"",IFERROR(F191*VLOOKUP(G191,'Units'!$A$2:$D$13,4,FALSE),""))</f>
        <v/>
      </c>
      <c r="I191" s="5">
        <f>IF(D191="","",IFERROR(VLOOKUP(D191,'Items'!$A$2:$L$201,4,FALSE),""))</f>
        <v/>
      </c>
      <c r="J191" s="10">
        <f>IF(D191="","",IFERROR(VLOOKUP(D191,'Items'!$A$2:$L$201,10,FALSE),""))</f>
        <v/>
      </c>
      <c r="K191" s="10">
        <f>IF(OR(H191="",J191=""),"",H191*J191)</f>
        <v/>
      </c>
      <c r="L191" s="5">
        <f>IF(AND(B191="",D191=""),"",IF(B191="","Missing product",IF(D191="","Missing item",IF(C191="Product not found","Product not found",IF(E191="Item not found","Item not found",IF(OR(F191="",G191=""),"Missing quantity/unit",IF(IFERROR(VLOOKUP(G191,'Units'!$A$2:$D$13,3,FALSE),"")&lt;&gt;I191,"Unit mismatch",IF(J191="","Enter item cost","OK"))))))))</f>
        <v/>
      </c>
      <c r="M191" s="4" t="n"/>
    </row>
    <row r="192">
      <c r="A192" s="5">
        <f>IF(AND(B192="",D192=""),"",ROW()-1)</f>
        <v/>
      </c>
      <c r="B192" s="4" t="n"/>
      <c r="C192" s="5">
        <f>IF(B192="","",IFERROR(VLOOKUP(B192,'Products'!$A$2:$F$201,2,FALSE),"Product not found"))</f>
        <v/>
      </c>
      <c r="D192" s="4" t="n"/>
      <c r="E192" s="5">
        <f>IF(D192="","",IFERROR(VLOOKUP(D192,'Items'!$A$2:$L$201,2,FALSE),"Item not found"))</f>
        <v/>
      </c>
      <c r="F192" s="9" t="n"/>
      <c r="G192" s="4" t="n"/>
      <c r="H192" s="10">
        <f>IF(OR(F192="",G192=""),"",IFERROR(F192*VLOOKUP(G192,'Units'!$A$2:$D$13,4,FALSE),""))</f>
        <v/>
      </c>
      <c r="I192" s="5">
        <f>IF(D192="","",IFERROR(VLOOKUP(D192,'Items'!$A$2:$L$201,4,FALSE),""))</f>
        <v/>
      </c>
      <c r="J192" s="10">
        <f>IF(D192="","",IFERROR(VLOOKUP(D192,'Items'!$A$2:$L$201,10,FALSE),""))</f>
        <v/>
      </c>
      <c r="K192" s="10">
        <f>IF(OR(H192="",J192=""),"",H192*J192)</f>
        <v/>
      </c>
      <c r="L192" s="5">
        <f>IF(AND(B192="",D192=""),"",IF(B192="","Missing product",IF(D192="","Missing item",IF(C192="Product not found","Product not found",IF(E192="Item not found","Item not found",IF(OR(F192="",G192=""),"Missing quantity/unit",IF(IFERROR(VLOOKUP(G192,'Units'!$A$2:$D$13,3,FALSE),"")&lt;&gt;I192,"Unit mismatch",IF(J192="","Enter item cost","OK"))))))))</f>
        <v/>
      </c>
      <c r="M192" s="4" t="n"/>
    </row>
    <row r="193">
      <c r="A193" s="5">
        <f>IF(AND(B193="",D193=""),"",ROW()-1)</f>
        <v/>
      </c>
      <c r="B193" s="4" t="n"/>
      <c r="C193" s="5">
        <f>IF(B193="","",IFERROR(VLOOKUP(B193,'Products'!$A$2:$F$201,2,FALSE),"Product not found"))</f>
        <v/>
      </c>
      <c r="D193" s="4" t="n"/>
      <c r="E193" s="5">
        <f>IF(D193="","",IFERROR(VLOOKUP(D193,'Items'!$A$2:$L$201,2,FALSE),"Item not found"))</f>
        <v/>
      </c>
      <c r="F193" s="9" t="n"/>
      <c r="G193" s="4" t="n"/>
      <c r="H193" s="10">
        <f>IF(OR(F193="",G193=""),"",IFERROR(F193*VLOOKUP(G193,'Units'!$A$2:$D$13,4,FALSE),""))</f>
        <v/>
      </c>
      <c r="I193" s="5">
        <f>IF(D193="","",IFERROR(VLOOKUP(D193,'Items'!$A$2:$L$201,4,FALSE),""))</f>
        <v/>
      </c>
      <c r="J193" s="10">
        <f>IF(D193="","",IFERROR(VLOOKUP(D193,'Items'!$A$2:$L$201,10,FALSE),""))</f>
        <v/>
      </c>
      <c r="K193" s="10">
        <f>IF(OR(H193="",J193=""),"",H193*J193)</f>
        <v/>
      </c>
      <c r="L193" s="5">
        <f>IF(AND(B193="",D193=""),"",IF(B193="","Missing product",IF(D193="","Missing item",IF(C193="Product not found","Product not found",IF(E193="Item not found","Item not found",IF(OR(F193="",G193=""),"Missing quantity/unit",IF(IFERROR(VLOOKUP(G193,'Units'!$A$2:$D$13,3,FALSE),"")&lt;&gt;I193,"Unit mismatch",IF(J193="","Enter item cost","OK"))))))))</f>
        <v/>
      </c>
      <c r="M193" s="4" t="n"/>
    </row>
    <row r="194">
      <c r="A194" s="5">
        <f>IF(AND(B194="",D194=""),"",ROW()-1)</f>
        <v/>
      </c>
      <c r="B194" s="4" t="n"/>
      <c r="C194" s="5">
        <f>IF(B194="","",IFERROR(VLOOKUP(B194,'Products'!$A$2:$F$201,2,FALSE),"Product not found"))</f>
        <v/>
      </c>
      <c r="D194" s="4" t="n"/>
      <c r="E194" s="5">
        <f>IF(D194="","",IFERROR(VLOOKUP(D194,'Items'!$A$2:$L$201,2,FALSE),"Item not found"))</f>
        <v/>
      </c>
      <c r="F194" s="9" t="n"/>
      <c r="G194" s="4" t="n"/>
      <c r="H194" s="10">
        <f>IF(OR(F194="",G194=""),"",IFERROR(F194*VLOOKUP(G194,'Units'!$A$2:$D$13,4,FALSE),""))</f>
        <v/>
      </c>
      <c r="I194" s="5">
        <f>IF(D194="","",IFERROR(VLOOKUP(D194,'Items'!$A$2:$L$201,4,FALSE),""))</f>
        <v/>
      </c>
      <c r="J194" s="10">
        <f>IF(D194="","",IFERROR(VLOOKUP(D194,'Items'!$A$2:$L$201,10,FALSE),""))</f>
        <v/>
      </c>
      <c r="K194" s="10">
        <f>IF(OR(H194="",J194=""),"",H194*J194)</f>
        <v/>
      </c>
      <c r="L194" s="5">
        <f>IF(AND(B194="",D194=""),"",IF(B194="","Missing product",IF(D194="","Missing item",IF(C194="Product not found","Product not found",IF(E194="Item not found","Item not found",IF(OR(F194="",G194=""),"Missing quantity/unit",IF(IFERROR(VLOOKUP(G194,'Units'!$A$2:$D$13,3,FALSE),"")&lt;&gt;I194,"Unit mismatch",IF(J194="","Enter item cost","OK"))))))))</f>
        <v/>
      </c>
      <c r="M194" s="4" t="n"/>
    </row>
    <row r="195">
      <c r="A195" s="5">
        <f>IF(AND(B195="",D195=""),"",ROW()-1)</f>
        <v/>
      </c>
      <c r="B195" s="4" t="n"/>
      <c r="C195" s="5">
        <f>IF(B195="","",IFERROR(VLOOKUP(B195,'Products'!$A$2:$F$201,2,FALSE),"Product not found"))</f>
        <v/>
      </c>
      <c r="D195" s="4" t="n"/>
      <c r="E195" s="5">
        <f>IF(D195="","",IFERROR(VLOOKUP(D195,'Items'!$A$2:$L$201,2,FALSE),"Item not found"))</f>
        <v/>
      </c>
      <c r="F195" s="9" t="n"/>
      <c r="G195" s="4" t="n"/>
      <c r="H195" s="10">
        <f>IF(OR(F195="",G195=""),"",IFERROR(F195*VLOOKUP(G195,'Units'!$A$2:$D$13,4,FALSE),""))</f>
        <v/>
      </c>
      <c r="I195" s="5">
        <f>IF(D195="","",IFERROR(VLOOKUP(D195,'Items'!$A$2:$L$201,4,FALSE),""))</f>
        <v/>
      </c>
      <c r="J195" s="10">
        <f>IF(D195="","",IFERROR(VLOOKUP(D195,'Items'!$A$2:$L$201,10,FALSE),""))</f>
        <v/>
      </c>
      <c r="K195" s="10">
        <f>IF(OR(H195="",J195=""),"",H195*J195)</f>
        <v/>
      </c>
      <c r="L195" s="5">
        <f>IF(AND(B195="",D195=""),"",IF(B195="","Missing product",IF(D195="","Missing item",IF(C195="Product not found","Product not found",IF(E195="Item not found","Item not found",IF(OR(F195="",G195=""),"Missing quantity/unit",IF(IFERROR(VLOOKUP(G195,'Units'!$A$2:$D$13,3,FALSE),"")&lt;&gt;I195,"Unit mismatch",IF(J195="","Enter item cost","OK"))))))))</f>
        <v/>
      </c>
      <c r="M195" s="4" t="n"/>
    </row>
    <row r="196">
      <c r="A196" s="5">
        <f>IF(AND(B196="",D196=""),"",ROW()-1)</f>
        <v/>
      </c>
      <c r="B196" s="4" t="n"/>
      <c r="C196" s="5">
        <f>IF(B196="","",IFERROR(VLOOKUP(B196,'Products'!$A$2:$F$201,2,FALSE),"Product not found"))</f>
        <v/>
      </c>
      <c r="D196" s="4" t="n"/>
      <c r="E196" s="5">
        <f>IF(D196="","",IFERROR(VLOOKUP(D196,'Items'!$A$2:$L$201,2,FALSE),"Item not found"))</f>
        <v/>
      </c>
      <c r="F196" s="9" t="n"/>
      <c r="G196" s="4" t="n"/>
      <c r="H196" s="10">
        <f>IF(OR(F196="",G196=""),"",IFERROR(F196*VLOOKUP(G196,'Units'!$A$2:$D$13,4,FALSE),""))</f>
        <v/>
      </c>
      <c r="I196" s="5">
        <f>IF(D196="","",IFERROR(VLOOKUP(D196,'Items'!$A$2:$L$201,4,FALSE),""))</f>
        <v/>
      </c>
      <c r="J196" s="10">
        <f>IF(D196="","",IFERROR(VLOOKUP(D196,'Items'!$A$2:$L$201,10,FALSE),""))</f>
        <v/>
      </c>
      <c r="K196" s="10">
        <f>IF(OR(H196="",J196=""),"",H196*J196)</f>
        <v/>
      </c>
      <c r="L196" s="5">
        <f>IF(AND(B196="",D196=""),"",IF(B196="","Missing product",IF(D196="","Missing item",IF(C196="Product not found","Product not found",IF(E196="Item not found","Item not found",IF(OR(F196="",G196=""),"Missing quantity/unit",IF(IFERROR(VLOOKUP(G196,'Units'!$A$2:$D$13,3,FALSE),"")&lt;&gt;I196,"Unit mismatch",IF(J196="","Enter item cost","OK"))))))))</f>
        <v/>
      </c>
      <c r="M196" s="4" t="n"/>
    </row>
    <row r="197">
      <c r="A197" s="5">
        <f>IF(AND(B197="",D197=""),"",ROW()-1)</f>
        <v/>
      </c>
      <c r="B197" s="4" t="n"/>
      <c r="C197" s="5">
        <f>IF(B197="","",IFERROR(VLOOKUP(B197,'Products'!$A$2:$F$201,2,FALSE),"Product not found"))</f>
        <v/>
      </c>
      <c r="D197" s="4" t="n"/>
      <c r="E197" s="5">
        <f>IF(D197="","",IFERROR(VLOOKUP(D197,'Items'!$A$2:$L$201,2,FALSE),"Item not found"))</f>
        <v/>
      </c>
      <c r="F197" s="9" t="n"/>
      <c r="G197" s="4" t="n"/>
      <c r="H197" s="10">
        <f>IF(OR(F197="",G197=""),"",IFERROR(F197*VLOOKUP(G197,'Units'!$A$2:$D$13,4,FALSE),""))</f>
        <v/>
      </c>
      <c r="I197" s="5">
        <f>IF(D197="","",IFERROR(VLOOKUP(D197,'Items'!$A$2:$L$201,4,FALSE),""))</f>
        <v/>
      </c>
      <c r="J197" s="10">
        <f>IF(D197="","",IFERROR(VLOOKUP(D197,'Items'!$A$2:$L$201,10,FALSE),""))</f>
        <v/>
      </c>
      <c r="K197" s="10">
        <f>IF(OR(H197="",J197=""),"",H197*J197)</f>
        <v/>
      </c>
      <c r="L197" s="5">
        <f>IF(AND(B197="",D197=""),"",IF(B197="","Missing product",IF(D197="","Missing item",IF(C197="Product not found","Product not found",IF(E197="Item not found","Item not found",IF(OR(F197="",G197=""),"Missing quantity/unit",IF(IFERROR(VLOOKUP(G197,'Units'!$A$2:$D$13,3,FALSE),"")&lt;&gt;I197,"Unit mismatch",IF(J197="","Enter item cost","OK"))))))))</f>
        <v/>
      </c>
      <c r="M197" s="4" t="n"/>
    </row>
    <row r="198">
      <c r="A198" s="5">
        <f>IF(AND(B198="",D198=""),"",ROW()-1)</f>
        <v/>
      </c>
      <c r="B198" s="4" t="n"/>
      <c r="C198" s="5">
        <f>IF(B198="","",IFERROR(VLOOKUP(B198,'Products'!$A$2:$F$201,2,FALSE),"Product not found"))</f>
        <v/>
      </c>
      <c r="D198" s="4" t="n"/>
      <c r="E198" s="5">
        <f>IF(D198="","",IFERROR(VLOOKUP(D198,'Items'!$A$2:$L$201,2,FALSE),"Item not found"))</f>
        <v/>
      </c>
      <c r="F198" s="9" t="n"/>
      <c r="G198" s="4" t="n"/>
      <c r="H198" s="10">
        <f>IF(OR(F198="",G198=""),"",IFERROR(F198*VLOOKUP(G198,'Units'!$A$2:$D$13,4,FALSE),""))</f>
        <v/>
      </c>
      <c r="I198" s="5">
        <f>IF(D198="","",IFERROR(VLOOKUP(D198,'Items'!$A$2:$L$201,4,FALSE),""))</f>
        <v/>
      </c>
      <c r="J198" s="10">
        <f>IF(D198="","",IFERROR(VLOOKUP(D198,'Items'!$A$2:$L$201,10,FALSE),""))</f>
        <v/>
      </c>
      <c r="K198" s="10">
        <f>IF(OR(H198="",J198=""),"",H198*J198)</f>
        <v/>
      </c>
      <c r="L198" s="5">
        <f>IF(AND(B198="",D198=""),"",IF(B198="","Missing product",IF(D198="","Missing item",IF(C198="Product not found","Product not found",IF(E198="Item not found","Item not found",IF(OR(F198="",G198=""),"Missing quantity/unit",IF(IFERROR(VLOOKUP(G198,'Units'!$A$2:$D$13,3,FALSE),"")&lt;&gt;I198,"Unit mismatch",IF(J198="","Enter item cost","OK"))))))))</f>
        <v/>
      </c>
      <c r="M198" s="4" t="n"/>
    </row>
    <row r="199">
      <c r="A199" s="5">
        <f>IF(AND(B199="",D199=""),"",ROW()-1)</f>
        <v/>
      </c>
      <c r="B199" s="4" t="n"/>
      <c r="C199" s="5">
        <f>IF(B199="","",IFERROR(VLOOKUP(B199,'Products'!$A$2:$F$201,2,FALSE),"Product not found"))</f>
        <v/>
      </c>
      <c r="D199" s="4" t="n"/>
      <c r="E199" s="5">
        <f>IF(D199="","",IFERROR(VLOOKUP(D199,'Items'!$A$2:$L$201,2,FALSE),"Item not found"))</f>
        <v/>
      </c>
      <c r="F199" s="9" t="n"/>
      <c r="G199" s="4" t="n"/>
      <c r="H199" s="10">
        <f>IF(OR(F199="",G199=""),"",IFERROR(F199*VLOOKUP(G199,'Units'!$A$2:$D$13,4,FALSE),""))</f>
        <v/>
      </c>
      <c r="I199" s="5">
        <f>IF(D199="","",IFERROR(VLOOKUP(D199,'Items'!$A$2:$L$201,4,FALSE),""))</f>
        <v/>
      </c>
      <c r="J199" s="10">
        <f>IF(D199="","",IFERROR(VLOOKUP(D199,'Items'!$A$2:$L$201,10,FALSE),""))</f>
        <v/>
      </c>
      <c r="K199" s="10">
        <f>IF(OR(H199="",J199=""),"",H199*J199)</f>
        <v/>
      </c>
      <c r="L199" s="5">
        <f>IF(AND(B199="",D199=""),"",IF(B199="","Missing product",IF(D199="","Missing item",IF(C199="Product not found","Product not found",IF(E199="Item not found","Item not found",IF(OR(F199="",G199=""),"Missing quantity/unit",IF(IFERROR(VLOOKUP(G199,'Units'!$A$2:$D$13,3,FALSE),"")&lt;&gt;I199,"Unit mismatch",IF(J199="","Enter item cost","OK"))))))))</f>
        <v/>
      </c>
      <c r="M199" s="4" t="n"/>
    </row>
    <row r="200">
      <c r="A200" s="5">
        <f>IF(AND(B200="",D200=""),"",ROW()-1)</f>
        <v/>
      </c>
      <c r="B200" s="4" t="n"/>
      <c r="C200" s="5">
        <f>IF(B200="","",IFERROR(VLOOKUP(B200,'Products'!$A$2:$F$201,2,FALSE),"Product not found"))</f>
        <v/>
      </c>
      <c r="D200" s="4" t="n"/>
      <c r="E200" s="5">
        <f>IF(D200="","",IFERROR(VLOOKUP(D200,'Items'!$A$2:$L$201,2,FALSE),"Item not found"))</f>
        <v/>
      </c>
      <c r="F200" s="9" t="n"/>
      <c r="G200" s="4" t="n"/>
      <c r="H200" s="10">
        <f>IF(OR(F200="",G200=""),"",IFERROR(F200*VLOOKUP(G200,'Units'!$A$2:$D$13,4,FALSE),""))</f>
        <v/>
      </c>
      <c r="I200" s="5">
        <f>IF(D200="","",IFERROR(VLOOKUP(D200,'Items'!$A$2:$L$201,4,FALSE),""))</f>
        <v/>
      </c>
      <c r="J200" s="10">
        <f>IF(D200="","",IFERROR(VLOOKUP(D200,'Items'!$A$2:$L$201,10,FALSE),""))</f>
        <v/>
      </c>
      <c r="K200" s="10">
        <f>IF(OR(H200="",J200=""),"",H200*J200)</f>
        <v/>
      </c>
      <c r="L200" s="5">
        <f>IF(AND(B200="",D200=""),"",IF(B200="","Missing product",IF(D200="","Missing item",IF(C200="Product not found","Product not found",IF(E200="Item not found","Item not found",IF(OR(F200="",G200=""),"Missing quantity/unit",IF(IFERROR(VLOOKUP(G200,'Units'!$A$2:$D$13,3,FALSE),"")&lt;&gt;I200,"Unit mismatch",IF(J200="","Enter item cost","OK"))))))))</f>
        <v/>
      </c>
      <c r="M200" s="4" t="n"/>
    </row>
    <row r="201">
      <c r="A201" s="5">
        <f>IF(AND(B201="",D201=""),"",ROW()-1)</f>
        <v/>
      </c>
      <c r="B201" s="4" t="n"/>
      <c r="C201" s="5">
        <f>IF(B201="","",IFERROR(VLOOKUP(B201,'Products'!$A$2:$F$201,2,FALSE),"Product not found"))</f>
        <v/>
      </c>
      <c r="D201" s="4" t="n"/>
      <c r="E201" s="5">
        <f>IF(D201="","",IFERROR(VLOOKUP(D201,'Items'!$A$2:$L$201,2,FALSE),"Item not found"))</f>
        <v/>
      </c>
      <c r="F201" s="9" t="n"/>
      <c r="G201" s="4" t="n"/>
      <c r="H201" s="10">
        <f>IF(OR(F201="",G201=""),"",IFERROR(F201*VLOOKUP(G201,'Units'!$A$2:$D$13,4,FALSE),""))</f>
        <v/>
      </c>
      <c r="I201" s="5">
        <f>IF(D201="","",IFERROR(VLOOKUP(D201,'Items'!$A$2:$L$201,4,FALSE),""))</f>
        <v/>
      </c>
      <c r="J201" s="10">
        <f>IF(D201="","",IFERROR(VLOOKUP(D201,'Items'!$A$2:$L$201,10,FALSE),""))</f>
        <v/>
      </c>
      <c r="K201" s="10">
        <f>IF(OR(H201="",J201=""),"",H201*J201)</f>
        <v/>
      </c>
      <c r="L201" s="5">
        <f>IF(AND(B201="",D201=""),"",IF(B201="","Missing product",IF(D201="","Missing item",IF(C201="Product not found","Product not found",IF(E201="Item not found","Item not found",IF(OR(F201="",G201=""),"Missing quantity/unit",IF(IFERROR(VLOOKUP(G201,'Units'!$A$2:$D$13,3,FALSE),"")&lt;&gt;I201,"Unit mismatch",IF(J201="","Enter item cost","OK"))))))))</f>
        <v/>
      </c>
      <c r="M201" s="4" t="n"/>
    </row>
    <row r="202">
      <c r="A202" s="5">
        <f>IF(AND(B202="",D202=""),"",ROW()-1)</f>
        <v/>
      </c>
      <c r="B202" s="4" t="n"/>
      <c r="C202" s="5">
        <f>IF(B202="","",IFERROR(VLOOKUP(B202,'Products'!$A$2:$F$201,2,FALSE),"Product not found"))</f>
        <v/>
      </c>
      <c r="D202" s="4" t="n"/>
      <c r="E202" s="5">
        <f>IF(D202="","",IFERROR(VLOOKUP(D202,'Items'!$A$2:$L$201,2,FALSE),"Item not found"))</f>
        <v/>
      </c>
      <c r="F202" s="9" t="n"/>
      <c r="G202" s="4" t="n"/>
      <c r="H202" s="10">
        <f>IF(OR(F202="",G202=""),"",IFERROR(F202*VLOOKUP(G202,'Units'!$A$2:$D$13,4,FALSE),""))</f>
        <v/>
      </c>
      <c r="I202" s="5">
        <f>IF(D202="","",IFERROR(VLOOKUP(D202,'Items'!$A$2:$L$201,4,FALSE),""))</f>
        <v/>
      </c>
      <c r="J202" s="10">
        <f>IF(D202="","",IFERROR(VLOOKUP(D202,'Items'!$A$2:$L$201,10,FALSE),""))</f>
        <v/>
      </c>
      <c r="K202" s="10">
        <f>IF(OR(H202="",J202=""),"",H202*J202)</f>
        <v/>
      </c>
      <c r="L202" s="5">
        <f>IF(AND(B202="",D202=""),"",IF(B202="","Missing product",IF(D202="","Missing item",IF(C202="Product not found","Product not found",IF(E202="Item not found","Item not found",IF(OR(F202="",G202=""),"Missing quantity/unit",IF(IFERROR(VLOOKUP(G202,'Units'!$A$2:$D$13,3,FALSE),"")&lt;&gt;I202,"Unit mismatch",IF(J202="","Enter item cost","OK"))))))))</f>
        <v/>
      </c>
      <c r="M202" s="4" t="n"/>
    </row>
    <row r="203">
      <c r="A203" s="5">
        <f>IF(AND(B203="",D203=""),"",ROW()-1)</f>
        <v/>
      </c>
      <c r="B203" s="4" t="n"/>
      <c r="C203" s="5">
        <f>IF(B203="","",IFERROR(VLOOKUP(B203,'Products'!$A$2:$F$201,2,FALSE),"Product not found"))</f>
        <v/>
      </c>
      <c r="D203" s="4" t="n"/>
      <c r="E203" s="5">
        <f>IF(D203="","",IFERROR(VLOOKUP(D203,'Items'!$A$2:$L$201,2,FALSE),"Item not found"))</f>
        <v/>
      </c>
      <c r="F203" s="9" t="n"/>
      <c r="G203" s="4" t="n"/>
      <c r="H203" s="10">
        <f>IF(OR(F203="",G203=""),"",IFERROR(F203*VLOOKUP(G203,'Units'!$A$2:$D$13,4,FALSE),""))</f>
        <v/>
      </c>
      <c r="I203" s="5">
        <f>IF(D203="","",IFERROR(VLOOKUP(D203,'Items'!$A$2:$L$201,4,FALSE),""))</f>
        <v/>
      </c>
      <c r="J203" s="10">
        <f>IF(D203="","",IFERROR(VLOOKUP(D203,'Items'!$A$2:$L$201,10,FALSE),""))</f>
        <v/>
      </c>
      <c r="K203" s="10">
        <f>IF(OR(H203="",J203=""),"",H203*J203)</f>
        <v/>
      </c>
      <c r="L203" s="5">
        <f>IF(AND(B203="",D203=""),"",IF(B203="","Missing product",IF(D203="","Missing item",IF(C203="Product not found","Product not found",IF(E203="Item not found","Item not found",IF(OR(F203="",G203=""),"Missing quantity/unit",IF(IFERROR(VLOOKUP(G203,'Units'!$A$2:$D$13,3,FALSE),"")&lt;&gt;I203,"Unit mismatch",IF(J203="","Enter item cost","OK"))))))))</f>
        <v/>
      </c>
      <c r="M203" s="4" t="n"/>
    </row>
    <row r="204">
      <c r="A204" s="5">
        <f>IF(AND(B204="",D204=""),"",ROW()-1)</f>
        <v/>
      </c>
      <c r="B204" s="4" t="n"/>
      <c r="C204" s="5">
        <f>IF(B204="","",IFERROR(VLOOKUP(B204,'Products'!$A$2:$F$201,2,FALSE),"Product not found"))</f>
        <v/>
      </c>
      <c r="D204" s="4" t="n"/>
      <c r="E204" s="5">
        <f>IF(D204="","",IFERROR(VLOOKUP(D204,'Items'!$A$2:$L$201,2,FALSE),"Item not found"))</f>
        <v/>
      </c>
      <c r="F204" s="9" t="n"/>
      <c r="G204" s="4" t="n"/>
      <c r="H204" s="10">
        <f>IF(OR(F204="",G204=""),"",IFERROR(F204*VLOOKUP(G204,'Units'!$A$2:$D$13,4,FALSE),""))</f>
        <v/>
      </c>
      <c r="I204" s="5">
        <f>IF(D204="","",IFERROR(VLOOKUP(D204,'Items'!$A$2:$L$201,4,FALSE),""))</f>
        <v/>
      </c>
      <c r="J204" s="10">
        <f>IF(D204="","",IFERROR(VLOOKUP(D204,'Items'!$A$2:$L$201,10,FALSE),""))</f>
        <v/>
      </c>
      <c r="K204" s="10">
        <f>IF(OR(H204="",J204=""),"",H204*J204)</f>
        <v/>
      </c>
      <c r="L204" s="5">
        <f>IF(AND(B204="",D204=""),"",IF(B204="","Missing product",IF(D204="","Missing item",IF(C204="Product not found","Product not found",IF(E204="Item not found","Item not found",IF(OR(F204="",G204=""),"Missing quantity/unit",IF(IFERROR(VLOOKUP(G204,'Units'!$A$2:$D$13,3,FALSE),"")&lt;&gt;I204,"Unit mismatch",IF(J204="","Enter item cost","OK"))))))))</f>
        <v/>
      </c>
      <c r="M204" s="4" t="n"/>
    </row>
    <row r="205">
      <c r="A205" s="5">
        <f>IF(AND(B205="",D205=""),"",ROW()-1)</f>
        <v/>
      </c>
      <c r="B205" s="4" t="n"/>
      <c r="C205" s="5">
        <f>IF(B205="","",IFERROR(VLOOKUP(B205,'Products'!$A$2:$F$201,2,FALSE),"Product not found"))</f>
        <v/>
      </c>
      <c r="D205" s="4" t="n"/>
      <c r="E205" s="5">
        <f>IF(D205="","",IFERROR(VLOOKUP(D205,'Items'!$A$2:$L$201,2,FALSE),"Item not found"))</f>
        <v/>
      </c>
      <c r="F205" s="9" t="n"/>
      <c r="G205" s="4" t="n"/>
      <c r="H205" s="10">
        <f>IF(OR(F205="",G205=""),"",IFERROR(F205*VLOOKUP(G205,'Units'!$A$2:$D$13,4,FALSE),""))</f>
        <v/>
      </c>
      <c r="I205" s="5">
        <f>IF(D205="","",IFERROR(VLOOKUP(D205,'Items'!$A$2:$L$201,4,FALSE),""))</f>
        <v/>
      </c>
      <c r="J205" s="10">
        <f>IF(D205="","",IFERROR(VLOOKUP(D205,'Items'!$A$2:$L$201,10,FALSE),""))</f>
        <v/>
      </c>
      <c r="K205" s="10">
        <f>IF(OR(H205="",J205=""),"",H205*J205)</f>
        <v/>
      </c>
      <c r="L205" s="5">
        <f>IF(AND(B205="",D205=""),"",IF(B205="","Missing product",IF(D205="","Missing item",IF(C205="Product not found","Product not found",IF(E205="Item not found","Item not found",IF(OR(F205="",G205=""),"Missing quantity/unit",IF(IFERROR(VLOOKUP(G205,'Units'!$A$2:$D$13,3,FALSE),"")&lt;&gt;I205,"Unit mismatch",IF(J205="","Enter item cost","OK"))))))))</f>
        <v/>
      </c>
      <c r="M205" s="4" t="n"/>
    </row>
    <row r="206">
      <c r="A206" s="5">
        <f>IF(AND(B206="",D206=""),"",ROW()-1)</f>
        <v/>
      </c>
      <c r="B206" s="4" t="n"/>
      <c r="C206" s="5">
        <f>IF(B206="","",IFERROR(VLOOKUP(B206,'Products'!$A$2:$F$201,2,FALSE),"Product not found"))</f>
        <v/>
      </c>
      <c r="D206" s="4" t="n"/>
      <c r="E206" s="5">
        <f>IF(D206="","",IFERROR(VLOOKUP(D206,'Items'!$A$2:$L$201,2,FALSE),"Item not found"))</f>
        <v/>
      </c>
      <c r="F206" s="9" t="n"/>
      <c r="G206" s="4" t="n"/>
      <c r="H206" s="10">
        <f>IF(OR(F206="",G206=""),"",IFERROR(F206*VLOOKUP(G206,'Units'!$A$2:$D$13,4,FALSE),""))</f>
        <v/>
      </c>
      <c r="I206" s="5">
        <f>IF(D206="","",IFERROR(VLOOKUP(D206,'Items'!$A$2:$L$201,4,FALSE),""))</f>
        <v/>
      </c>
      <c r="J206" s="10">
        <f>IF(D206="","",IFERROR(VLOOKUP(D206,'Items'!$A$2:$L$201,10,FALSE),""))</f>
        <v/>
      </c>
      <c r="K206" s="10">
        <f>IF(OR(H206="",J206=""),"",H206*J206)</f>
        <v/>
      </c>
      <c r="L206" s="5">
        <f>IF(AND(B206="",D206=""),"",IF(B206="","Missing product",IF(D206="","Missing item",IF(C206="Product not found","Product not found",IF(E206="Item not found","Item not found",IF(OR(F206="",G206=""),"Missing quantity/unit",IF(IFERROR(VLOOKUP(G206,'Units'!$A$2:$D$13,3,FALSE),"")&lt;&gt;I206,"Unit mismatch",IF(J206="","Enter item cost","OK"))))))))</f>
        <v/>
      </c>
      <c r="M206" s="4" t="n"/>
    </row>
    <row r="207">
      <c r="A207" s="5">
        <f>IF(AND(B207="",D207=""),"",ROW()-1)</f>
        <v/>
      </c>
      <c r="B207" s="4" t="n"/>
      <c r="C207" s="5">
        <f>IF(B207="","",IFERROR(VLOOKUP(B207,'Products'!$A$2:$F$201,2,FALSE),"Product not found"))</f>
        <v/>
      </c>
      <c r="D207" s="4" t="n"/>
      <c r="E207" s="5">
        <f>IF(D207="","",IFERROR(VLOOKUP(D207,'Items'!$A$2:$L$201,2,FALSE),"Item not found"))</f>
        <v/>
      </c>
      <c r="F207" s="9" t="n"/>
      <c r="G207" s="4" t="n"/>
      <c r="H207" s="10">
        <f>IF(OR(F207="",G207=""),"",IFERROR(F207*VLOOKUP(G207,'Units'!$A$2:$D$13,4,FALSE),""))</f>
        <v/>
      </c>
      <c r="I207" s="5">
        <f>IF(D207="","",IFERROR(VLOOKUP(D207,'Items'!$A$2:$L$201,4,FALSE),""))</f>
        <v/>
      </c>
      <c r="J207" s="10">
        <f>IF(D207="","",IFERROR(VLOOKUP(D207,'Items'!$A$2:$L$201,10,FALSE),""))</f>
        <v/>
      </c>
      <c r="K207" s="10">
        <f>IF(OR(H207="",J207=""),"",H207*J207)</f>
        <v/>
      </c>
      <c r="L207" s="5">
        <f>IF(AND(B207="",D207=""),"",IF(B207="","Missing product",IF(D207="","Missing item",IF(C207="Product not found","Product not found",IF(E207="Item not found","Item not found",IF(OR(F207="",G207=""),"Missing quantity/unit",IF(IFERROR(VLOOKUP(G207,'Units'!$A$2:$D$13,3,FALSE),"")&lt;&gt;I207,"Unit mismatch",IF(J207="","Enter item cost","OK"))))))))</f>
        <v/>
      </c>
      <c r="M207" s="4" t="n"/>
    </row>
    <row r="208">
      <c r="A208" s="5">
        <f>IF(AND(B208="",D208=""),"",ROW()-1)</f>
        <v/>
      </c>
      <c r="B208" s="4" t="n"/>
      <c r="C208" s="5">
        <f>IF(B208="","",IFERROR(VLOOKUP(B208,'Products'!$A$2:$F$201,2,FALSE),"Product not found"))</f>
        <v/>
      </c>
      <c r="D208" s="4" t="n"/>
      <c r="E208" s="5">
        <f>IF(D208="","",IFERROR(VLOOKUP(D208,'Items'!$A$2:$L$201,2,FALSE),"Item not found"))</f>
        <v/>
      </c>
      <c r="F208" s="9" t="n"/>
      <c r="G208" s="4" t="n"/>
      <c r="H208" s="10">
        <f>IF(OR(F208="",G208=""),"",IFERROR(F208*VLOOKUP(G208,'Units'!$A$2:$D$13,4,FALSE),""))</f>
        <v/>
      </c>
      <c r="I208" s="5">
        <f>IF(D208="","",IFERROR(VLOOKUP(D208,'Items'!$A$2:$L$201,4,FALSE),""))</f>
        <v/>
      </c>
      <c r="J208" s="10">
        <f>IF(D208="","",IFERROR(VLOOKUP(D208,'Items'!$A$2:$L$201,10,FALSE),""))</f>
        <v/>
      </c>
      <c r="K208" s="10">
        <f>IF(OR(H208="",J208=""),"",H208*J208)</f>
        <v/>
      </c>
      <c r="L208" s="5">
        <f>IF(AND(B208="",D208=""),"",IF(B208="","Missing product",IF(D208="","Missing item",IF(C208="Product not found","Product not found",IF(E208="Item not found","Item not found",IF(OR(F208="",G208=""),"Missing quantity/unit",IF(IFERROR(VLOOKUP(G208,'Units'!$A$2:$D$13,3,FALSE),"")&lt;&gt;I208,"Unit mismatch",IF(J208="","Enter item cost","OK"))))))))</f>
        <v/>
      </c>
      <c r="M208" s="4" t="n"/>
    </row>
    <row r="209">
      <c r="A209" s="5">
        <f>IF(AND(B209="",D209=""),"",ROW()-1)</f>
        <v/>
      </c>
      <c r="B209" s="4" t="n"/>
      <c r="C209" s="5">
        <f>IF(B209="","",IFERROR(VLOOKUP(B209,'Products'!$A$2:$F$201,2,FALSE),"Product not found"))</f>
        <v/>
      </c>
      <c r="D209" s="4" t="n"/>
      <c r="E209" s="5">
        <f>IF(D209="","",IFERROR(VLOOKUP(D209,'Items'!$A$2:$L$201,2,FALSE),"Item not found"))</f>
        <v/>
      </c>
      <c r="F209" s="9" t="n"/>
      <c r="G209" s="4" t="n"/>
      <c r="H209" s="10">
        <f>IF(OR(F209="",G209=""),"",IFERROR(F209*VLOOKUP(G209,'Units'!$A$2:$D$13,4,FALSE),""))</f>
        <v/>
      </c>
      <c r="I209" s="5">
        <f>IF(D209="","",IFERROR(VLOOKUP(D209,'Items'!$A$2:$L$201,4,FALSE),""))</f>
        <v/>
      </c>
      <c r="J209" s="10">
        <f>IF(D209="","",IFERROR(VLOOKUP(D209,'Items'!$A$2:$L$201,10,FALSE),""))</f>
        <v/>
      </c>
      <c r="K209" s="10">
        <f>IF(OR(H209="",J209=""),"",H209*J209)</f>
        <v/>
      </c>
      <c r="L209" s="5">
        <f>IF(AND(B209="",D209=""),"",IF(B209="","Missing product",IF(D209="","Missing item",IF(C209="Product not found","Product not found",IF(E209="Item not found","Item not found",IF(OR(F209="",G209=""),"Missing quantity/unit",IF(IFERROR(VLOOKUP(G209,'Units'!$A$2:$D$13,3,FALSE),"")&lt;&gt;I209,"Unit mismatch",IF(J209="","Enter item cost","OK"))))))))</f>
        <v/>
      </c>
      <c r="M209" s="4" t="n"/>
    </row>
    <row r="210">
      <c r="A210" s="5">
        <f>IF(AND(B210="",D210=""),"",ROW()-1)</f>
        <v/>
      </c>
      <c r="B210" s="4" t="n"/>
      <c r="C210" s="5">
        <f>IF(B210="","",IFERROR(VLOOKUP(B210,'Products'!$A$2:$F$201,2,FALSE),"Product not found"))</f>
        <v/>
      </c>
      <c r="D210" s="4" t="n"/>
      <c r="E210" s="5">
        <f>IF(D210="","",IFERROR(VLOOKUP(D210,'Items'!$A$2:$L$201,2,FALSE),"Item not found"))</f>
        <v/>
      </c>
      <c r="F210" s="9" t="n"/>
      <c r="G210" s="4" t="n"/>
      <c r="H210" s="10">
        <f>IF(OR(F210="",G210=""),"",IFERROR(F210*VLOOKUP(G210,'Units'!$A$2:$D$13,4,FALSE),""))</f>
        <v/>
      </c>
      <c r="I210" s="5">
        <f>IF(D210="","",IFERROR(VLOOKUP(D210,'Items'!$A$2:$L$201,4,FALSE),""))</f>
        <v/>
      </c>
      <c r="J210" s="10">
        <f>IF(D210="","",IFERROR(VLOOKUP(D210,'Items'!$A$2:$L$201,10,FALSE),""))</f>
        <v/>
      </c>
      <c r="K210" s="10">
        <f>IF(OR(H210="",J210=""),"",H210*J210)</f>
        <v/>
      </c>
      <c r="L210" s="5">
        <f>IF(AND(B210="",D210=""),"",IF(B210="","Missing product",IF(D210="","Missing item",IF(C210="Product not found","Product not found",IF(E210="Item not found","Item not found",IF(OR(F210="",G210=""),"Missing quantity/unit",IF(IFERROR(VLOOKUP(G210,'Units'!$A$2:$D$13,3,FALSE),"")&lt;&gt;I210,"Unit mismatch",IF(J210="","Enter item cost","OK"))))))))</f>
        <v/>
      </c>
      <c r="M210" s="4" t="n"/>
    </row>
    <row r="211">
      <c r="A211" s="5">
        <f>IF(AND(B211="",D211=""),"",ROW()-1)</f>
        <v/>
      </c>
      <c r="B211" s="4" t="n"/>
      <c r="C211" s="5">
        <f>IF(B211="","",IFERROR(VLOOKUP(B211,'Products'!$A$2:$F$201,2,FALSE),"Product not found"))</f>
        <v/>
      </c>
      <c r="D211" s="4" t="n"/>
      <c r="E211" s="5">
        <f>IF(D211="","",IFERROR(VLOOKUP(D211,'Items'!$A$2:$L$201,2,FALSE),"Item not found"))</f>
        <v/>
      </c>
      <c r="F211" s="9" t="n"/>
      <c r="G211" s="4" t="n"/>
      <c r="H211" s="10">
        <f>IF(OR(F211="",G211=""),"",IFERROR(F211*VLOOKUP(G211,'Units'!$A$2:$D$13,4,FALSE),""))</f>
        <v/>
      </c>
      <c r="I211" s="5">
        <f>IF(D211="","",IFERROR(VLOOKUP(D211,'Items'!$A$2:$L$201,4,FALSE),""))</f>
        <v/>
      </c>
      <c r="J211" s="10">
        <f>IF(D211="","",IFERROR(VLOOKUP(D211,'Items'!$A$2:$L$201,10,FALSE),""))</f>
        <v/>
      </c>
      <c r="K211" s="10">
        <f>IF(OR(H211="",J211=""),"",H211*J211)</f>
        <v/>
      </c>
      <c r="L211" s="5">
        <f>IF(AND(B211="",D211=""),"",IF(B211="","Missing product",IF(D211="","Missing item",IF(C211="Product not found","Product not found",IF(E211="Item not found","Item not found",IF(OR(F211="",G211=""),"Missing quantity/unit",IF(IFERROR(VLOOKUP(G211,'Units'!$A$2:$D$13,3,FALSE),"")&lt;&gt;I211,"Unit mismatch",IF(J211="","Enter item cost","OK"))))))))</f>
        <v/>
      </c>
      <c r="M211" s="4" t="n"/>
    </row>
    <row r="212">
      <c r="A212" s="5">
        <f>IF(AND(B212="",D212=""),"",ROW()-1)</f>
        <v/>
      </c>
      <c r="B212" s="4" t="n"/>
      <c r="C212" s="5">
        <f>IF(B212="","",IFERROR(VLOOKUP(B212,'Products'!$A$2:$F$201,2,FALSE),"Product not found"))</f>
        <v/>
      </c>
      <c r="D212" s="4" t="n"/>
      <c r="E212" s="5">
        <f>IF(D212="","",IFERROR(VLOOKUP(D212,'Items'!$A$2:$L$201,2,FALSE),"Item not found"))</f>
        <v/>
      </c>
      <c r="F212" s="9" t="n"/>
      <c r="G212" s="4" t="n"/>
      <c r="H212" s="10">
        <f>IF(OR(F212="",G212=""),"",IFERROR(F212*VLOOKUP(G212,'Units'!$A$2:$D$13,4,FALSE),""))</f>
        <v/>
      </c>
      <c r="I212" s="5">
        <f>IF(D212="","",IFERROR(VLOOKUP(D212,'Items'!$A$2:$L$201,4,FALSE),""))</f>
        <v/>
      </c>
      <c r="J212" s="10">
        <f>IF(D212="","",IFERROR(VLOOKUP(D212,'Items'!$A$2:$L$201,10,FALSE),""))</f>
        <v/>
      </c>
      <c r="K212" s="10">
        <f>IF(OR(H212="",J212=""),"",H212*J212)</f>
        <v/>
      </c>
      <c r="L212" s="5">
        <f>IF(AND(B212="",D212=""),"",IF(B212="","Missing product",IF(D212="","Missing item",IF(C212="Product not found","Product not found",IF(E212="Item not found","Item not found",IF(OR(F212="",G212=""),"Missing quantity/unit",IF(IFERROR(VLOOKUP(G212,'Units'!$A$2:$D$13,3,FALSE),"")&lt;&gt;I212,"Unit mismatch",IF(J212="","Enter item cost","OK"))))))))</f>
        <v/>
      </c>
      <c r="M212" s="4" t="n"/>
    </row>
    <row r="213">
      <c r="A213" s="5">
        <f>IF(AND(B213="",D213=""),"",ROW()-1)</f>
        <v/>
      </c>
      <c r="B213" s="4" t="n"/>
      <c r="C213" s="5">
        <f>IF(B213="","",IFERROR(VLOOKUP(B213,'Products'!$A$2:$F$201,2,FALSE),"Product not found"))</f>
        <v/>
      </c>
      <c r="D213" s="4" t="n"/>
      <c r="E213" s="5">
        <f>IF(D213="","",IFERROR(VLOOKUP(D213,'Items'!$A$2:$L$201,2,FALSE),"Item not found"))</f>
        <v/>
      </c>
      <c r="F213" s="9" t="n"/>
      <c r="G213" s="4" t="n"/>
      <c r="H213" s="10">
        <f>IF(OR(F213="",G213=""),"",IFERROR(F213*VLOOKUP(G213,'Units'!$A$2:$D$13,4,FALSE),""))</f>
        <v/>
      </c>
      <c r="I213" s="5">
        <f>IF(D213="","",IFERROR(VLOOKUP(D213,'Items'!$A$2:$L$201,4,FALSE),""))</f>
        <v/>
      </c>
      <c r="J213" s="10">
        <f>IF(D213="","",IFERROR(VLOOKUP(D213,'Items'!$A$2:$L$201,10,FALSE),""))</f>
        <v/>
      </c>
      <c r="K213" s="10">
        <f>IF(OR(H213="",J213=""),"",H213*J213)</f>
        <v/>
      </c>
      <c r="L213" s="5">
        <f>IF(AND(B213="",D213=""),"",IF(B213="","Missing product",IF(D213="","Missing item",IF(C213="Product not found","Product not found",IF(E213="Item not found","Item not found",IF(OR(F213="",G213=""),"Missing quantity/unit",IF(IFERROR(VLOOKUP(G213,'Units'!$A$2:$D$13,3,FALSE),"")&lt;&gt;I213,"Unit mismatch",IF(J213="","Enter item cost","OK"))))))))</f>
        <v/>
      </c>
      <c r="M213" s="4" t="n"/>
    </row>
    <row r="214">
      <c r="A214" s="5">
        <f>IF(AND(B214="",D214=""),"",ROW()-1)</f>
        <v/>
      </c>
      <c r="B214" s="4" t="n"/>
      <c r="C214" s="5">
        <f>IF(B214="","",IFERROR(VLOOKUP(B214,'Products'!$A$2:$F$201,2,FALSE),"Product not found"))</f>
        <v/>
      </c>
      <c r="D214" s="4" t="n"/>
      <c r="E214" s="5">
        <f>IF(D214="","",IFERROR(VLOOKUP(D214,'Items'!$A$2:$L$201,2,FALSE),"Item not found"))</f>
        <v/>
      </c>
      <c r="F214" s="9" t="n"/>
      <c r="G214" s="4" t="n"/>
      <c r="H214" s="10">
        <f>IF(OR(F214="",G214=""),"",IFERROR(F214*VLOOKUP(G214,'Units'!$A$2:$D$13,4,FALSE),""))</f>
        <v/>
      </c>
      <c r="I214" s="5">
        <f>IF(D214="","",IFERROR(VLOOKUP(D214,'Items'!$A$2:$L$201,4,FALSE),""))</f>
        <v/>
      </c>
      <c r="J214" s="10">
        <f>IF(D214="","",IFERROR(VLOOKUP(D214,'Items'!$A$2:$L$201,10,FALSE),""))</f>
        <v/>
      </c>
      <c r="K214" s="10">
        <f>IF(OR(H214="",J214=""),"",H214*J214)</f>
        <v/>
      </c>
      <c r="L214" s="5">
        <f>IF(AND(B214="",D214=""),"",IF(B214="","Missing product",IF(D214="","Missing item",IF(C214="Product not found","Product not found",IF(E214="Item not found","Item not found",IF(OR(F214="",G214=""),"Missing quantity/unit",IF(IFERROR(VLOOKUP(G214,'Units'!$A$2:$D$13,3,FALSE),"")&lt;&gt;I214,"Unit mismatch",IF(J214="","Enter item cost","OK"))))))))</f>
        <v/>
      </c>
      <c r="M214" s="4" t="n"/>
    </row>
    <row r="215">
      <c r="A215" s="5">
        <f>IF(AND(B215="",D215=""),"",ROW()-1)</f>
        <v/>
      </c>
      <c r="B215" s="4" t="n"/>
      <c r="C215" s="5">
        <f>IF(B215="","",IFERROR(VLOOKUP(B215,'Products'!$A$2:$F$201,2,FALSE),"Product not found"))</f>
        <v/>
      </c>
      <c r="D215" s="4" t="n"/>
      <c r="E215" s="5">
        <f>IF(D215="","",IFERROR(VLOOKUP(D215,'Items'!$A$2:$L$201,2,FALSE),"Item not found"))</f>
        <v/>
      </c>
      <c r="F215" s="9" t="n"/>
      <c r="G215" s="4" t="n"/>
      <c r="H215" s="10">
        <f>IF(OR(F215="",G215=""),"",IFERROR(F215*VLOOKUP(G215,'Units'!$A$2:$D$13,4,FALSE),""))</f>
        <v/>
      </c>
      <c r="I215" s="5">
        <f>IF(D215="","",IFERROR(VLOOKUP(D215,'Items'!$A$2:$L$201,4,FALSE),""))</f>
        <v/>
      </c>
      <c r="J215" s="10">
        <f>IF(D215="","",IFERROR(VLOOKUP(D215,'Items'!$A$2:$L$201,10,FALSE),""))</f>
        <v/>
      </c>
      <c r="K215" s="10">
        <f>IF(OR(H215="",J215=""),"",H215*J215)</f>
        <v/>
      </c>
      <c r="L215" s="5">
        <f>IF(AND(B215="",D215=""),"",IF(B215="","Missing product",IF(D215="","Missing item",IF(C215="Product not found","Product not found",IF(E215="Item not found","Item not found",IF(OR(F215="",G215=""),"Missing quantity/unit",IF(IFERROR(VLOOKUP(G215,'Units'!$A$2:$D$13,3,FALSE),"")&lt;&gt;I215,"Unit mismatch",IF(J215="","Enter item cost","OK"))))))))</f>
        <v/>
      </c>
      <c r="M215" s="4" t="n"/>
    </row>
    <row r="216">
      <c r="A216" s="5">
        <f>IF(AND(B216="",D216=""),"",ROW()-1)</f>
        <v/>
      </c>
      <c r="B216" s="4" t="n"/>
      <c r="C216" s="5">
        <f>IF(B216="","",IFERROR(VLOOKUP(B216,'Products'!$A$2:$F$201,2,FALSE),"Product not found"))</f>
        <v/>
      </c>
      <c r="D216" s="4" t="n"/>
      <c r="E216" s="5">
        <f>IF(D216="","",IFERROR(VLOOKUP(D216,'Items'!$A$2:$L$201,2,FALSE),"Item not found"))</f>
        <v/>
      </c>
      <c r="F216" s="9" t="n"/>
      <c r="G216" s="4" t="n"/>
      <c r="H216" s="10">
        <f>IF(OR(F216="",G216=""),"",IFERROR(F216*VLOOKUP(G216,'Units'!$A$2:$D$13,4,FALSE),""))</f>
        <v/>
      </c>
      <c r="I216" s="5">
        <f>IF(D216="","",IFERROR(VLOOKUP(D216,'Items'!$A$2:$L$201,4,FALSE),""))</f>
        <v/>
      </c>
      <c r="J216" s="10">
        <f>IF(D216="","",IFERROR(VLOOKUP(D216,'Items'!$A$2:$L$201,10,FALSE),""))</f>
        <v/>
      </c>
      <c r="K216" s="10">
        <f>IF(OR(H216="",J216=""),"",H216*J216)</f>
        <v/>
      </c>
      <c r="L216" s="5">
        <f>IF(AND(B216="",D216=""),"",IF(B216="","Missing product",IF(D216="","Missing item",IF(C216="Product not found","Product not found",IF(E216="Item not found","Item not found",IF(OR(F216="",G216=""),"Missing quantity/unit",IF(IFERROR(VLOOKUP(G216,'Units'!$A$2:$D$13,3,FALSE),"")&lt;&gt;I216,"Unit mismatch",IF(J216="","Enter item cost","OK"))))))))</f>
        <v/>
      </c>
      <c r="M216" s="4" t="n"/>
    </row>
    <row r="217">
      <c r="A217" s="5">
        <f>IF(AND(B217="",D217=""),"",ROW()-1)</f>
        <v/>
      </c>
      <c r="B217" s="4" t="n"/>
      <c r="C217" s="5">
        <f>IF(B217="","",IFERROR(VLOOKUP(B217,'Products'!$A$2:$F$201,2,FALSE),"Product not found"))</f>
        <v/>
      </c>
      <c r="D217" s="4" t="n"/>
      <c r="E217" s="5">
        <f>IF(D217="","",IFERROR(VLOOKUP(D217,'Items'!$A$2:$L$201,2,FALSE),"Item not found"))</f>
        <v/>
      </c>
      <c r="F217" s="9" t="n"/>
      <c r="G217" s="4" t="n"/>
      <c r="H217" s="10">
        <f>IF(OR(F217="",G217=""),"",IFERROR(F217*VLOOKUP(G217,'Units'!$A$2:$D$13,4,FALSE),""))</f>
        <v/>
      </c>
      <c r="I217" s="5">
        <f>IF(D217="","",IFERROR(VLOOKUP(D217,'Items'!$A$2:$L$201,4,FALSE),""))</f>
        <v/>
      </c>
      <c r="J217" s="10">
        <f>IF(D217="","",IFERROR(VLOOKUP(D217,'Items'!$A$2:$L$201,10,FALSE),""))</f>
        <v/>
      </c>
      <c r="K217" s="10">
        <f>IF(OR(H217="",J217=""),"",H217*J217)</f>
        <v/>
      </c>
      <c r="L217" s="5">
        <f>IF(AND(B217="",D217=""),"",IF(B217="","Missing product",IF(D217="","Missing item",IF(C217="Product not found","Product not found",IF(E217="Item not found","Item not found",IF(OR(F217="",G217=""),"Missing quantity/unit",IF(IFERROR(VLOOKUP(G217,'Units'!$A$2:$D$13,3,FALSE),"")&lt;&gt;I217,"Unit mismatch",IF(J217="","Enter item cost","OK"))))))))</f>
        <v/>
      </c>
      <c r="M217" s="4" t="n"/>
    </row>
    <row r="218">
      <c r="A218" s="5">
        <f>IF(AND(B218="",D218=""),"",ROW()-1)</f>
        <v/>
      </c>
      <c r="B218" s="4" t="n"/>
      <c r="C218" s="5">
        <f>IF(B218="","",IFERROR(VLOOKUP(B218,'Products'!$A$2:$F$201,2,FALSE),"Product not found"))</f>
        <v/>
      </c>
      <c r="D218" s="4" t="n"/>
      <c r="E218" s="5">
        <f>IF(D218="","",IFERROR(VLOOKUP(D218,'Items'!$A$2:$L$201,2,FALSE),"Item not found"))</f>
        <v/>
      </c>
      <c r="F218" s="9" t="n"/>
      <c r="G218" s="4" t="n"/>
      <c r="H218" s="10">
        <f>IF(OR(F218="",G218=""),"",IFERROR(F218*VLOOKUP(G218,'Units'!$A$2:$D$13,4,FALSE),""))</f>
        <v/>
      </c>
      <c r="I218" s="5">
        <f>IF(D218="","",IFERROR(VLOOKUP(D218,'Items'!$A$2:$L$201,4,FALSE),""))</f>
        <v/>
      </c>
      <c r="J218" s="10">
        <f>IF(D218="","",IFERROR(VLOOKUP(D218,'Items'!$A$2:$L$201,10,FALSE),""))</f>
        <v/>
      </c>
      <c r="K218" s="10">
        <f>IF(OR(H218="",J218=""),"",H218*J218)</f>
        <v/>
      </c>
      <c r="L218" s="5">
        <f>IF(AND(B218="",D218=""),"",IF(B218="","Missing product",IF(D218="","Missing item",IF(C218="Product not found","Product not found",IF(E218="Item not found","Item not found",IF(OR(F218="",G218=""),"Missing quantity/unit",IF(IFERROR(VLOOKUP(G218,'Units'!$A$2:$D$13,3,FALSE),"")&lt;&gt;I218,"Unit mismatch",IF(J218="","Enter item cost","OK"))))))))</f>
        <v/>
      </c>
      <c r="M218" s="4" t="n"/>
    </row>
    <row r="219">
      <c r="A219" s="5">
        <f>IF(AND(B219="",D219=""),"",ROW()-1)</f>
        <v/>
      </c>
      <c r="B219" s="4" t="n"/>
      <c r="C219" s="5">
        <f>IF(B219="","",IFERROR(VLOOKUP(B219,'Products'!$A$2:$F$201,2,FALSE),"Product not found"))</f>
        <v/>
      </c>
      <c r="D219" s="4" t="n"/>
      <c r="E219" s="5">
        <f>IF(D219="","",IFERROR(VLOOKUP(D219,'Items'!$A$2:$L$201,2,FALSE),"Item not found"))</f>
        <v/>
      </c>
      <c r="F219" s="9" t="n"/>
      <c r="G219" s="4" t="n"/>
      <c r="H219" s="10">
        <f>IF(OR(F219="",G219=""),"",IFERROR(F219*VLOOKUP(G219,'Units'!$A$2:$D$13,4,FALSE),""))</f>
        <v/>
      </c>
      <c r="I219" s="5">
        <f>IF(D219="","",IFERROR(VLOOKUP(D219,'Items'!$A$2:$L$201,4,FALSE),""))</f>
        <v/>
      </c>
      <c r="J219" s="10">
        <f>IF(D219="","",IFERROR(VLOOKUP(D219,'Items'!$A$2:$L$201,10,FALSE),""))</f>
        <v/>
      </c>
      <c r="K219" s="10">
        <f>IF(OR(H219="",J219=""),"",H219*J219)</f>
        <v/>
      </c>
      <c r="L219" s="5">
        <f>IF(AND(B219="",D219=""),"",IF(B219="","Missing product",IF(D219="","Missing item",IF(C219="Product not found","Product not found",IF(E219="Item not found","Item not found",IF(OR(F219="",G219=""),"Missing quantity/unit",IF(IFERROR(VLOOKUP(G219,'Units'!$A$2:$D$13,3,FALSE),"")&lt;&gt;I219,"Unit mismatch",IF(J219="","Enter item cost","OK"))))))))</f>
        <v/>
      </c>
      <c r="M219" s="4" t="n"/>
    </row>
    <row r="220">
      <c r="A220" s="5">
        <f>IF(AND(B220="",D220=""),"",ROW()-1)</f>
        <v/>
      </c>
      <c r="B220" s="4" t="n"/>
      <c r="C220" s="5">
        <f>IF(B220="","",IFERROR(VLOOKUP(B220,'Products'!$A$2:$F$201,2,FALSE),"Product not found"))</f>
        <v/>
      </c>
      <c r="D220" s="4" t="n"/>
      <c r="E220" s="5">
        <f>IF(D220="","",IFERROR(VLOOKUP(D220,'Items'!$A$2:$L$201,2,FALSE),"Item not found"))</f>
        <v/>
      </c>
      <c r="F220" s="9" t="n"/>
      <c r="G220" s="4" t="n"/>
      <c r="H220" s="10">
        <f>IF(OR(F220="",G220=""),"",IFERROR(F220*VLOOKUP(G220,'Units'!$A$2:$D$13,4,FALSE),""))</f>
        <v/>
      </c>
      <c r="I220" s="5">
        <f>IF(D220="","",IFERROR(VLOOKUP(D220,'Items'!$A$2:$L$201,4,FALSE),""))</f>
        <v/>
      </c>
      <c r="J220" s="10">
        <f>IF(D220="","",IFERROR(VLOOKUP(D220,'Items'!$A$2:$L$201,10,FALSE),""))</f>
        <v/>
      </c>
      <c r="K220" s="10">
        <f>IF(OR(H220="",J220=""),"",H220*J220)</f>
        <v/>
      </c>
      <c r="L220" s="5">
        <f>IF(AND(B220="",D220=""),"",IF(B220="","Missing product",IF(D220="","Missing item",IF(C220="Product not found","Product not found",IF(E220="Item not found","Item not found",IF(OR(F220="",G220=""),"Missing quantity/unit",IF(IFERROR(VLOOKUP(G220,'Units'!$A$2:$D$13,3,FALSE),"")&lt;&gt;I220,"Unit mismatch",IF(J220="","Enter item cost","OK"))))))))</f>
        <v/>
      </c>
      <c r="M220" s="4" t="n"/>
    </row>
    <row r="221">
      <c r="A221" s="5">
        <f>IF(AND(B221="",D221=""),"",ROW()-1)</f>
        <v/>
      </c>
      <c r="B221" s="4" t="n"/>
      <c r="C221" s="5">
        <f>IF(B221="","",IFERROR(VLOOKUP(B221,'Products'!$A$2:$F$201,2,FALSE),"Product not found"))</f>
        <v/>
      </c>
      <c r="D221" s="4" t="n"/>
      <c r="E221" s="5">
        <f>IF(D221="","",IFERROR(VLOOKUP(D221,'Items'!$A$2:$L$201,2,FALSE),"Item not found"))</f>
        <v/>
      </c>
      <c r="F221" s="9" t="n"/>
      <c r="G221" s="4" t="n"/>
      <c r="H221" s="10">
        <f>IF(OR(F221="",G221=""),"",IFERROR(F221*VLOOKUP(G221,'Units'!$A$2:$D$13,4,FALSE),""))</f>
        <v/>
      </c>
      <c r="I221" s="5">
        <f>IF(D221="","",IFERROR(VLOOKUP(D221,'Items'!$A$2:$L$201,4,FALSE),""))</f>
        <v/>
      </c>
      <c r="J221" s="10">
        <f>IF(D221="","",IFERROR(VLOOKUP(D221,'Items'!$A$2:$L$201,10,FALSE),""))</f>
        <v/>
      </c>
      <c r="K221" s="10">
        <f>IF(OR(H221="",J221=""),"",H221*J221)</f>
        <v/>
      </c>
      <c r="L221" s="5">
        <f>IF(AND(B221="",D221=""),"",IF(B221="","Missing product",IF(D221="","Missing item",IF(C221="Product not found","Product not found",IF(E221="Item not found","Item not found",IF(OR(F221="",G221=""),"Missing quantity/unit",IF(IFERROR(VLOOKUP(G221,'Units'!$A$2:$D$13,3,FALSE),"")&lt;&gt;I221,"Unit mismatch",IF(J221="","Enter item cost","OK"))))))))</f>
        <v/>
      </c>
      <c r="M221" s="4" t="n"/>
    </row>
    <row r="222">
      <c r="A222" s="5">
        <f>IF(AND(B222="",D222=""),"",ROW()-1)</f>
        <v/>
      </c>
      <c r="B222" s="4" t="n"/>
      <c r="C222" s="5">
        <f>IF(B222="","",IFERROR(VLOOKUP(B222,'Products'!$A$2:$F$201,2,FALSE),"Product not found"))</f>
        <v/>
      </c>
      <c r="D222" s="4" t="n"/>
      <c r="E222" s="5">
        <f>IF(D222="","",IFERROR(VLOOKUP(D222,'Items'!$A$2:$L$201,2,FALSE),"Item not found"))</f>
        <v/>
      </c>
      <c r="F222" s="9" t="n"/>
      <c r="G222" s="4" t="n"/>
      <c r="H222" s="10">
        <f>IF(OR(F222="",G222=""),"",IFERROR(F222*VLOOKUP(G222,'Units'!$A$2:$D$13,4,FALSE),""))</f>
        <v/>
      </c>
      <c r="I222" s="5">
        <f>IF(D222="","",IFERROR(VLOOKUP(D222,'Items'!$A$2:$L$201,4,FALSE),""))</f>
        <v/>
      </c>
      <c r="J222" s="10">
        <f>IF(D222="","",IFERROR(VLOOKUP(D222,'Items'!$A$2:$L$201,10,FALSE),""))</f>
        <v/>
      </c>
      <c r="K222" s="10">
        <f>IF(OR(H222="",J222=""),"",H222*J222)</f>
        <v/>
      </c>
      <c r="L222" s="5">
        <f>IF(AND(B222="",D222=""),"",IF(B222="","Missing product",IF(D222="","Missing item",IF(C222="Product not found","Product not found",IF(E222="Item not found","Item not found",IF(OR(F222="",G222=""),"Missing quantity/unit",IF(IFERROR(VLOOKUP(G222,'Units'!$A$2:$D$13,3,FALSE),"")&lt;&gt;I222,"Unit mismatch",IF(J222="","Enter item cost","OK"))))))))</f>
        <v/>
      </c>
      <c r="M222" s="4" t="n"/>
    </row>
    <row r="223">
      <c r="A223" s="5">
        <f>IF(AND(B223="",D223=""),"",ROW()-1)</f>
        <v/>
      </c>
      <c r="B223" s="4" t="n"/>
      <c r="C223" s="5">
        <f>IF(B223="","",IFERROR(VLOOKUP(B223,'Products'!$A$2:$F$201,2,FALSE),"Product not found"))</f>
        <v/>
      </c>
      <c r="D223" s="4" t="n"/>
      <c r="E223" s="5">
        <f>IF(D223="","",IFERROR(VLOOKUP(D223,'Items'!$A$2:$L$201,2,FALSE),"Item not found"))</f>
        <v/>
      </c>
      <c r="F223" s="9" t="n"/>
      <c r="G223" s="4" t="n"/>
      <c r="H223" s="10">
        <f>IF(OR(F223="",G223=""),"",IFERROR(F223*VLOOKUP(G223,'Units'!$A$2:$D$13,4,FALSE),""))</f>
        <v/>
      </c>
      <c r="I223" s="5">
        <f>IF(D223="","",IFERROR(VLOOKUP(D223,'Items'!$A$2:$L$201,4,FALSE),""))</f>
        <v/>
      </c>
      <c r="J223" s="10">
        <f>IF(D223="","",IFERROR(VLOOKUP(D223,'Items'!$A$2:$L$201,10,FALSE),""))</f>
        <v/>
      </c>
      <c r="K223" s="10">
        <f>IF(OR(H223="",J223=""),"",H223*J223)</f>
        <v/>
      </c>
      <c r="L223" s="5">
        <f>IF(AND(B223="",D223=""),"",IF(B223="","Missing product",IF(D223="","Missing item",IF(C223="Product not found","Product not found",IF(E223="Item not found","Item not found",IF(OR(F223="",G223=""),"Missing quantity/unit",IF(IFERROR(VLOOKUP(G223,'Units'!$A$2:$D$13,3,FALSE),"")&lt;&gt;I223,"Unit mismatch",IF(J223="","Enter item cost","OK"))))))))</f>
        <v/>
      </c>
      <c r="M223" s="4" t="n"/>
    </row>
    <row r="224">
      <c r="A224" s="5">
        <f>IF(AND(B224="",D224=""),"",ROW()-1)</f>
        <v/>
      </c>
      <c r="B224" s="4" t="n"/>
      <c r="C224" s="5">
        <f>IF(B224="","",IFERROR(VLOOKUP(B224,'Products'!$A$2:$F$201,2,FALSE),"Product not found"))</f>
        <v/>
      </c>
      <c r="D224" s="4" t="n"/>
      <c r="E224" s="5">
        <f>IF(D224="","",IFERROR(VLOOKUP(D224,'Items'!$A$2:$L$201,2,FALSE),"Item not found"))</f>
        <v/>
      </c>
      <c r="F224" s="9" t="n"/>
      <c r="G224" s="4" t="n"/>
      <c r="H224" s="10">
        <f>IF(OR(F224="",G224=""),"",IFERROR(F224*VLOOKUP(G224,'Units'!$A$2:$D$13,4,FALSE),""))</f>
        <v/>
      </c>
      <c r="I224" s="5">
        <f>IF(D224="","",IFERROR(VLOOKUP(D224,'Items'!$A$2:$L$201,4,FALSE),""))</f>
        <v/>
      </c>
      <c r="J224" s="10">
        <f>IF(D224="","",IFERROR(VLOOKUP(D224,'Items'!$A$2:$L$201,10,FALSE),""))</f>
        <v/>
      </c>
      <c r="K224" s="10">
        <f>IF(OR(H224="",J224=""),"",H224*J224)</f>
        <v/>
      </c>
      <c r="L224" s="5">
        <f>IF(AND(B224="",D224=""),"",IF(B224="","Missing product",IF(D224="","Missing item",IF(C224="Product not found","Product not found",IF(E224="Item not found","Item not found",IF(OR(F224="",G224=""),"Missing quantity/unit",IF(IFERROR(VLOOKUP(G224,'Units'!$A$2:$D$13,3,FALSE),"")&lt;&gt;I224,"Unit mismatch",IF(J224="","Enter item cost","OK"))))))))</f>
        <v/>
      </c>
      <c r="M224" s="4" t="n"/>
    </row>
    <row r="225">
      <c r="A225" s="5">
        <f>IF(AND(B225="",D225=""),"",ROW()-1)</f>
        <v/>
      </c>
      <c r="B225" s="4" t="n"/>
      <c r="C225" s="5">
        <f>IF(B225="","",IFERROR(VLOOKUP(B225,'Products'!$A$2:$F$201,2,FALSE),"Product not found"))</f>
        <v/>
      </c>
      <c r="D225" s="4" t="n"/>
      <c r="E225" s="5">
        <f>IF(D225="","",IFERROR(VLOOKUP(D225,'Items'!$A$2:$L$201,2,FALSE),"Item not found"))</f>
        <v/>
      </c>
      <c r="F225" s="9" t="n"/>
      <c r="G225" s="4" t="n"/>
      <c r="H225" s="10">
        <f>IF(OR(F225="",G225=""),"",IFERROR(F225*VLOOKUP(G225,'Units'!$A$2:$D$13,4,FALSE),""))</f>
        <v/>
      </c>
      <c r="I225" s="5">
        <f>IF(D225="","",IFERROR(VLOOKUP(D225,'Items'!$A$2:$L$201,4,FALSE),""))</f>
        <v/>
      </c>
      <c r="J225" s="10">
        <f>IF(D225="","",IFERROR(VLOOKUP(D225,'Items'!$A$2:$L$201,10,FALSE),""))</f>
        <v/>
      </c>
      <c r="K225" s="10">
        <f>IF(OR(H225="",J225=""),"",H225*J225)</f>
        <v/>
      </c>
      <c r="L225" s="5">
        <f>IF(AND(B225="",D225=""),"",IF(B225="","Missing product",IF(D225="","Missing item",IF(C225="Product not found","Product not found",IF(E225="Item not found","Item not found",IF(OR(F225="",G225=""),"Missing quantity/unit",IF(IFERROR(VLOOKUP(G225,'Units'!$A$2:$D$13,3,FALSE),"")&lt;&gt;I225,"Unit mismatch",IF(J225="","Enter item cost","OK"))))))))</f>
        <v/>
      </c>
      <c r="M225" s="4" t="n"/>
    </row>
    <row r="226">
      <c r="A226" s="5">
        <f>IF(AND(B226="",D226=""),"",ROW()-1)</f>
        <v/>
      </c>
      <c r="B226" s="4" t="n"/>
      <c r="C226" s="5">
        <f>IF(B226="","",IFERROR(VLOOKUP(B226,'Products'!$A$2:$F$201,2,FALSE),"Product not found"))</f>
        <v/>
      </c>
      <c r="D226" s="4" t="n"/>
      <c r="E226" s="5">
        <f>IF(D226="","",IFERROR(VLOOKUP(D226,'Items'!$A$2:$L$201,2,FALSE),"Item not found"))</f>
        <v/>
      </c>
      <c r="F226" s="9" t="n"/>
      <c r="G226" s="4" t="n"/>
      <c r="H226" s="10">
        <f>IF(OR(F226="",G226=""),"",IFERROR(F226*VLOOKUP(G226,'Units'!$A$2:$D$13,4,FALSE),""))</f>
        <v/>
      </c>
      <c r="I226" s="5">
        <f>IF(D226="","",IFERROR(VLOOKUP(D226,'Items'!$A$2:$L$201,4,FALSE),""))</f>
        <v/>
      </c>
      <c r="J226" s="10">
        <f>IF(D226="","",IFERROR(VLOOKUP(D226,'Items'!$A$2:$L$201,10,FALSE),""))</f>
        <v/>
      </c>
      <c r="K226" s="10">
        <f>IF(OR(H226="",J226=""),"",H226*J226)</f>
        <v/>
      </c>
      <c r="L226" s="5">
        <f>IF(AND(B226="",D226=""),"",IF(B226="","Missing product",IF(D226="","Missing item",IF(C226="Product not found","Product not found",IF(E226="Item not found","Item not found",IF(OR(F226="",G226=""),"Missing quantity/unit",IF(IFERROR(VLOOKUP(G226,'Units'!$A$2:$D$13,3,FALSE),"")&lt;&gt;I226,"Unit mismatch",IF(J226="","Enter item cost","OK"))))))))</f>
        <v/>
      </c>
      <c r="M226" s="4" t="n"/>
    </row>
    <row r="227">
      <c r="A227" s="5">
        <f>IF(AND(B227="",D227=""),"",ROW()-1)</f>
        <v/>
      </c>
      <c r="B227" s="4" t="n"/>
      <c r="C227" s="5">
        <f>IF(B227="","",IFERROR(VLOOKUP(B227,'Products'!$A$2:$F$201,2,FALSE),"Product not found"))</f>
        <v/>
      </c>
      <c r="D227" s="4" t="n"/>
      <c r="E227" s="5">
        <f>IF(D227="","",IFERROR(VLOOKUP(D227,'Items'!$A$2:$L$201,2,FALSE),"Item not found"))</f>
        <v/>
      </c>
      <c r="F227" s="9" t="n"/>
      <c r="G227" s="4" t="n"/>
      <c r="H227" s="10">
        <f>IF(OR(F227="",G227=""),"",IFERROR(F227*VLOOKUP(G227,'Units'!$A$2:$D$13,4,FALSE),""))</f>
        <v/>
      </c>
      <c r="I227" s="5">
        <f>IF(D227="","",IFERROR(VLOOKUP(D227,'Items'!$A$2:$L$201,4,FALSE),""))</f>
        <v/>
      </c>
      <c r="J227" s="10">
        <f>IF(D227="","",IFERROR(VLOOKUP(D227,'Items'!$A$2:$L$201,10,FALSE),""))</f>
        <v/>
      </c>
      <c r="K227" s="10">
        <f>IF(OR(H227="",J227=""),"",H227*J227)</f>
        <v/>
      </c>
      <c r="L227" s="5">
        <f>IF(AND(B227="",D227=""),"",IF(B227="","Missing product",IF(D227="","Missing item",IF(C227="Product not found","Product not found",IF(E227="Item not found","Item not found",IF(OR(F227="",G227=""),"Missing quantity/unit",IF(IFERROR(VLOOKUP(G227,'Units'!$A$2:$D$13,3,FALSE),"")&lt;&gt;I227,"Unit mismatch",IF(J227="","Enter item cost","OK"))))))))</f>
        <v/>
      </c>
      <c r="M227" s="4" t="n"/>
    </row>
    <row r="228">
      <c r="A228" s="5">
        <f>IF(AND(B228="",D228=""),"",ROW()-1)</f>
        <v/>
      </c>
      <c r="B228" s="4" t="n"/>
      <c r="C228" s="5">
        <f>IF(B228="","",IFERROR(VLOOKUP(B228,'Products'!$A$2:$F$201,2,FALSE),"Product not found"))</f>
        <v/>
      </c>
      <c r="D228" s="4" t="n"/>
      <c r="E228" s="5">
        <f>IF(D228="","",IFERROR(VLOOKUP(D228,'Items'!$A$2:$L$201,2,FALSE),"Item not found"))</f>
        <v/>
      </c>
      <c r="F228" s="9" t="n"/>
      <c r="G228" s="4" t="n"/>
      <c r="H228" s="10">
        <f>IF(OR(F228="",G228=""),"",IFERROR(F228*VLOOKUP(G228,'Units'!$A$2:$D$13,4,FALSE),""))</f>
        <v/>
      </c>
      <c r="I228" s="5">
        <f>IF(D228="","",IFERROR(VLOOKUP(D228,'Items'!$A$2:$L$201,4,FALSE),""))</f>
        <v/>
      </c>
      <c r="J228" s="10">
        <f>IF(D228="","",IFERROR(VLOOKUP(D228,'Items'!$A$2:$L$201,10,FALSE),""))</f>
        <v/>
      </c>
      <c r="K228" s="10">
        <f>IF(OR(H228="",J228=""),"",H228*J228)</f>
        <v/>
      </c>
      <c r="L228" s="5">
        <f>IF(AND(B228="",D228=""),"",IF(B228="","Missing product",IF(D228="","Missing item",IF(C228="Product not found","Product not found",IF(E228="Item not found","Item not found",IF(OR(F228="",G228=""),"Missing quantity/unit",IF(IFERROR(VLOOKUP(G228,'Units'!$A$2:$D$13,3,FALSE),"")&lt;&gt;I228,"Unit mismatch",IF(J228="","Enter item cost","OK"))))))))</f>
        <v/>
      </c>
      <c r="M228" s="4" t="n"/>
    </row>
    <row r="229">
      <c r="A229" s="5">
        <f>IF(AND(B229="",D229=""),"",ROW()-1)</f>
        <v/>
      </c>
      <c r="B229" s="4" t="n"/>
      <c r="C229" s="5">
        <f>IF(B229="","",IFERROR(VLOOKUP(B229,'Products'!$A$2:$F$201,2,FALSE),"Product not found"))</f>
        <v/>
      </c>
      <c r="D229" s="4" t="n"/>
      <c r="E229" s="5">
        <f>IF(D229="","",IFERROR(VLOOKUP(D229,'Items'!$A$2:$L$201,2,FALSE),"Item not found"))</f>
        <v/>
      </c>
      <c r="F229" s="9" t="n"/>
      <c r="G229" s="4" t="n"/>
      <c r="H229" s="10">
        <f>IF(OR(F229="",G229=""),"",IFERROR(F229*VLOOKUP(G229,'Units'!$A$2:$D$13,4,FALSE),""))</f>
        <v/>
      </c>
      <c r="I229" s="5">
        <f>IF(D229="","",IFERROR(VLOOKUP(D229,'Items'!$A$2:$L$201,4,FALSE),""))</f>
        <v/>
      </c>
      <c r="J229" s="10">
        <f>IF(D229="","",IFERROR(VLOOKUP(D229,'Items'!$A$2:$L$201,10,FALSE),""))</f>
        <v/>
      </c>
      <c r="K229" s="10">
        <f>IF(OR(H229="",J229=""),"",H229*J229)</f>
        <v/>
      </c>
      <c r="L229" s="5">
        <f>IF(AND(B229="",D229=""),"",IF(B229="","Missing product",IF(D229="","Missing item",IF(C229="Product not found","Product not found",IF(E229="Item not found","Item not found",IF(OR(F229="",G229=""),"Missing quantity/unit",IF(IFERROR(VLOOKUP(G229,'Units'!$A$2:$D$13,3,FALSE),"")&lt;&gt;I229,"Unit mismatch",IF(J229="","Enter item cost","OK"))))))))</f>
        <v/>
      </c>
      <c r="M229" s="4" t="n"/>
    </row>
    <row r="230">
      <c r="A230" s="5">
        <f>IF(AND(B230="",D230=""),"",ROW()-1)</f>
        <v/>
      </c>
      <c r="B230" s="4" t="n"/>
      <c r="C230" s="5">
        <f>IF(B230="","",IFERROR(VLOOKUP(B230,'Products'!$A$2:$F$201,2,FALSE),"Product not found"))</f>
        <v/>
      </c>
      <c r="D230" s="4" t="n"/>
      <c r="E230" s="5">
        <f>IF(D230="","",IFERROR(VLOOKUP(D230,'Items'!$A$2:$L$201,2,FALSE),"Item not found"))</f>
        <v/>
      </c>
      <c r="F230" s="9" t="n"/>
      <c r="G230" s="4" t="n"/>
      <c r="H230" s="10">
        <f>IF(OR(F230="",G230=""),"",IFERROR(F230*VLOOKUP(G230,'Units'!$A$2:$D$13,4,FALSE),""))</f>
        <v/>
      </c>
      <c r="I230" s="5">
        <f>IF(D230="","",IFERROR(VLOOKUP(D230,'Items'!$A$2:$L$201,4,FALSE),""))</f>
        <v/>
      </c>
      <c r="J230" s="10">
        <f>IF(D230="","",IFERROR(VLOOKUP(D230,'Items'!$A$2:$L$201,10,FALSE),""))</f>
        <v/>
      </c>
      <c r="K230" s="10">
        <f>IF(OR(H230="",J230=""),"",H230*J230)</f>
        <v/>
      </c>
      <c r="L230" s="5">
        <f>IF(AND(B230="",D230=""),"",IF(B230="","Missing product",IF(D230="","Missing item",IF(C230="Product not found","Product not found",IF(E230="Item not found","Item not found",IF(OR(F230="",G230=""),"Missing quantity/unit",IF(IFERROR(VLOOKUP(G230,'Units'!$A$2:$D$13,3,FALSE),"")&lt;&gt;I230,"Unit mismatch",IF(J230="","Enter item cost","OK"))))))))</f>
        <v/>
      </c>
      <c r="M230" s="4" t="n"/>
    </row>
    <row r="231">
      <c r="A231" s="5">
        <f>IF(AND(B231="",D231=""),"",ROW()-1)</f>
        <v/>
      </c>
      <c r="B231" s="4" t="n"/>
      <c r="C231" s="5">
        <f>IF(B231="","",IFERROR(VLOOKUP(B231,'Products'!$A$2:$F$201,2,FALSE),"Product not found"))</f>
        <v/>
      </c>
      <c r="D231" s="4" t="n"/>
      <c r="E231" s="5">
        <f>IF(D231="","",IFERROR(VLOOKUP(D231,'Items'!$A$2:$L$201,2,FALSE),"Item not found"))</f>
        <v/>
      </c>
      <c r="F231" s="9" t="n"/>
      <c r="G231" s="4" t="n"/>
      <c r="H231" s="10">
        <f>IF(OR(F231="",G231=""),"",IFERROR(F231*VLOOKUP(G231,'Units'!$A$2:$D$13,4,FALSE),""))</f>
        <v/>
      </c>
      <c r="I231" s="5">
        <f>IF(D231="","",IFERROR(VLOOKUP(D231,'Items'!$A$2:$L$201,4,FALSE),""))</f>
        <v/>
      </c>
      <c r="J231" s="10">
        <f>IF(D231="","",IFERROR(VLOOKUP(D231,'Items'!$A$2:$L$201,10,FALSE),""))</f>
        <v/>
      </c>
      <c r="K231" s="10">
        <f>IF(OR(H231="",J231=""),"",H231*J231)</f>
        <v/>
      </c>
      <c r="L231" s="5">
        <f>IF(AND(B231="",D231=""),"",IF(B231="","Missing product",IF(D231="","Missing item",IF(C231="Product not found","Product not found",IF(E231="Item not found","Item not found",IF(OR(F231="",G231=""),"Missing quantity/unit",IF(IFERROR(VLOOKUP(G231,'Units'!$A$2:$D$13,3,FALSE),"")&lt;&gt;I231,"Unit mismatch",IF(J231="","Enter item cost","OK"))))))))</f>
        <v/>
      </c>
      <c r="M231" s="4" t="n"/>
    </row>
    <row r="232">
      <c r="A232" s="5">
        <f>IF(AND(B232="",D232=""),"",ROW()-1)</f>
        <v/>
      </c>
      <c r="B232" s="4" t="n"/>
      <c r="C232" s="5">
        <f>IF(B232="","",IFERROR(VLOOKUP(B232,'Products'!$A$2:$F$201,2,FALSE),"Product not found"))</f>
        <v/>
      </c>
      <c r="D232" s="4" t="n"/>
      <c r="E232" s="5">
        <f>IF(D232="","",IFERROR(VLOOKUP(D232,'Items'!$A$2:$L$201,2,FALSE),"Item not found"))</f>
        <v/>
      </c>
      <c r="F232" s="9" t="n"/>
      <c r="G232" s="4" t="n"/>
      <c r="H232" s="10">
        <f>IF(OR(F232="",G232=""),"",IFERROR(F232*VLOOKUP(G232,'Units'!$A$2:$D$13,4,FALSE),""))</f>
        <v/>
      </c>
      <c r="I232" s="5">
        <f>IF(D232="","",IFERROR(VLOOKUP(D232,'Items'!$A$2:$L$201,4,FALSE),""))</f>
        <v/>
      </c>
      <c r="J232" s="10">
        <f>IF(D232="","",IFERROR(VLOOKUP(D232,'Items'!$A$2:$L$201,10,FALSE),""))</f>
        <v/>
      </c>
      <c r="K232" s="10">
        <f>IF(OR(H232="",J232=""),"",H232*J232)</f>
        <v/>
      </c>
      <c r="L232" s="5">
        <f>IF(AND(B232="",D232=""),"",IF(B232="","Missing product",IF(D232="","Missing item",IF(C232="Product not found","Product not found",IF(E232="Item not found","Item not found",IF(OR(F232="",G232=""),"Missing quantity/unit",IF(IFERROR(VLOOKUP(G232,'Units'!$A$2:$D$13,3,FALSE),"")&lt;&gt;I232,"Unit mismatch",IF(J232="","Enter item cost","OK"))))))))</f>
        <v/>
      </c>
      <c r="M232" s="4" t="n"/>
    </row>
    <row r="233">
      <c r="A233" s="5">
        <f>IF(AND(B233="",D233=""),"",ROW()-1)</f>
        <v/>
      </c>
      <c r="B233" s="4" t="n"/>
      <c r="C233" s="5">
        <f>IF(B233="","",IFERROR(VLOOKUP(B233,'Products'!$A$2:$F$201,2,FALSE),"Product not found"))</f>
        <v/>
      </c>
      <c r="D233" s="4" t="n"/>
      <c r="E233" s="5">
        <f>IF(D233="","",IFERROR(VLOOKUP(D233,'Items'!$A$2:$L$201,2,FALSE),"Item not found"))</f>
        <v/>
      </c>
      <c r="F233" s="9" t="n"/>
      <c r="G233" s="4" t="n"/>
      <c r="H233" s="10">
        <f>IF(OR(F233="",G233=""),"",IFERROR(F233*VLOOKUP(G233,'Units'!$A$2:$D$13,4,FALSE),""))</f>
        <v/>
      </c>
      <c r="I233" s="5">
        <f>IF(D233="","",IFERROR(VLOOKUP(D233,'Items'!$A$2:$L$201,4,FALSE),""))</f>
        <v/>
      </c>
      <c r="J233" s="10">
        <f>IF(D233="","",IFERROR(VLOOKUP(D233,'Items'!$A$2:$L$201,10,FALSE),""))</f>
        <v/>
      </c>
      <c r="K233" s="10">
        <f>IF(OR(H233="",J233=""),"",H233*J233)</f>
        <v/>
      </c>
      <c r="L233" s="5">
        <f>IF(AND(B233="",D233=""),"",IF(B233="","Missing product",IF(D233="","Missing item",IF(C233="Product not found","Product not found",IF(E233="Item not found","Item not found",IF(OR(F233="",G233=""),"Missing quantity/unit",IF(IFERROR(VLOOKUP(G233,'Units'!$A$2:$D$13,3,FALSE),"")&lt;&gt;I233,"Unit mismatch",IF(J233="","Enter item cost","OK"))))))))</f>
        <v/>
      </c>
      <c r="M233" s="4" t="n"/>
    </row>
    <row r="234">
      <c r="A234" s="5">
        <f>IF(AND(B234="",D234=""),"",ROW()-1)</f>
        <v/>
      </c>
      <c r="B234" s="4" t="n"/>
      <c r="C234" s="5">
        <f>IF(B234="","",IFERROR(VLOOKUP(B234,'Products'!$A$2:$F$201,2,FALSE),"Product not found"))</f>
        <v/>
      </c>
      <c r="D234" s="4" t="n"/>
      <c r="E234" s="5">
        <f>IF(D234="","",IFERROR(VLOOKUP(D234,'Items'!$A$2:$L$201,2,FALSE),"Item not found"))</f>
        <v/>
      </c>
      <c r="F234" s="9" t="n"/>
      <c r="G234" s="4" t="n"/>
      <c r="H234" s="10">
        <f>IF(OR(F234="",G234=""),"",IFERROR(F234*VLOOKUP(G234,'Units'!$A$2:$D$13,4,FALSE),""))</f>
        <v/>
      </c>
      <c r="I234" s="5">
        <f>IF(D234="","",IFERROR(VLOOKUP(D234,'Items'!$A$2:$L$201,4,FALSE),""))</f>
        <v/>
      </c>
      <c r="J234" s="10">
        <f>IF(D234="","",IFERROR(VLOOKUP(D234,'Items'!$A$2:$L$201,10,FALSE),""))</f>
        <v/>
      </c>
      <c r="K234" s="10">
        <f>IF(OR(H234="",J234=""),"",H234*J234)</f>
        <v/>
      </c>
      <c r="L234" s="5">
        <f>IF(AND(B234="",D234=""),"",IF(B234="","Missing product",IF(D234="","Missing item",IF(C234="Product not found","Product not found",IF(E234="Item not found","Item not found",IF(OR(F234="",G234=""),"Missing quantity/unit",IF(IFERROR(VLOOKUP(G234,'Units'!$A$2:$D$13,3,FALSE),"")&lt;&gt;I234,"Unit mismatch",IF(J234="","Enter item cost","OK"))))))))</f>
        <v/>
      </c>
      <c r="M234" s="4" t="n"/>
    </row>
    <row r="235">
      <c r="A235" s="5">
        <f>IF(AND(B235="",D235=""),"",ROW()-1)</f>
        <v/>
      </c>
      <c r="B235" s="4" t="n"/>
      <c r="C235" s="5">
        <f>IF(B235="","",IFERROR(VLOOKUP(B235,'Products'!$A$2:$F$201,2,FALSE),"Product not found"))</f>
        <v/>
      </c>
      <c r="D235" s="4" t="n"/>
      <c r="E235" s="5">
        <f>IF(D235="","",IFERROR(VLOOKUP(D235,'Items'!$A$2:$L$201,2,FALSE),"Item not found"))</f>
        <v/>
      </c>
      <c r="F235" s="9" t="n"/>
      <c r="G235" s="4" t="n"/>
      <c r="H235" s="10">
        <f>IF(OR(F235="",G235=""),"",IFERROR(F235*VLOOKUP(G235,'Units'!$A$2:$D$13,4,FALSE),""))</f>
        <v/>
      </c>
      <c r="I235" s="5">
        <f>IF(D235="","",IFERROR(VLOOKUP(D235,'Items'!$A$2:$L$201,4,FALSE),""))</f>
        <v/>
      </c>
      <c r="J235" s="10">
        <f>IF(D235="","",IFERROR(VLOOKUP(D235,'Items'!$A$2:$L$201,10,FALSE),""))</f>
        <v/>
      </c>
      <c r="K235" s="10">
        <f>IF(OR(H235="",J235=""),"",H235*J235)</f>
        <v/>
      </c>
      <c r="L235" s="5">
        <f>IF(AND(B235="",D235=""),"",IF(B235="","Missing product",IF(D235="","Missing item",IF(C235="Product not found","Product not found",IF(E235="Item not found","Item not found",IF(OR(F235="",G235=""),"Missing quantity/unit",IF(IFERROR(VLOOKUP(G235,'Units'!$A$2:$D$13,3,FALSE),"")&lt;&gt;I235,"Unit mismatch",IF(J235="","Enter item cost","OK"))))))))</f>
        <v/>
      </c>
      <c r="M235" s="4" t="n"/>
    </row>
    <row r="236">
      <c r="A236" s="5">
        <f>IF(AND(B236="",D236=""),"",ROW()-1)</f>
        <v/>
      </c>
      <c r="B236" s="4" t="n"/>
      <c r="C236" s="5">
        <f>IF(B236="","",IFERROR(VLOOKUP(B236,'Products'!$A$2:$F$201,2,FALSE),"Product not found"))</f>
        <v/>
      </c>
      <c r="D236" s="4" t="n"/>
      <c r="E236" s="5">
        <f>IF(D236="","",IFERROR(VLOOKUP(D236,'Items'!$A$2:$L$201,2,FALSE),"Item not found"))</f>
        <v/>
      </c>
      <c r="F236" s="9" t="n"/>
      <c r="G236" s="4" t="n"/>
      <c r="H236" s="10">
        <f>IF(OR(F236="",G236=""),"",IFERROR(F236*VLOOKUP(G236,'Units'!$A$2:$D$13,4,FALSE),""))</f>
        <v/>
      </c>
      <c r="I236" s="5">
        <f>IF(D236="","",IFERROR(VLOOKUP(D236,'Items'!$A$2:$L$201,4,FALSE),""))</f>
        <v/>
      </c>
      <c r="J236" s="10">
        <f>IF(D236="","",IFERROR(VLOOKUP(D236,'Items'!$A$2:$L$201,10,FALSE),""))</f>
        <v/>
      </c>
      <c r="K236" s="10">
        <f>IF(OR(H236="",J236=""),"",H236*J236)</f>
        <v/>
      </c>
      <c r="L236" s="5">
        <f>IF(AND(B236="",D236=""),"",IF(B236="","Missing product",IF(D236="","Missing item",IF(C236="Product not found","Product not found",IF(E236="Item not found","Item not found",IF(OR(F236="",G236=""),"Missing quantity/unit",IF(IFERROR(VLOOKUP(G236,'Units'!$A$2:$D$13,3,FALSE),"")&lt;&gt;I236,"Unit mismatch",IF(J236="","Enter item cost","OK"))))))))</f>
        <v/>
      </c>
      <c r="M236" s="4" t="n"/>
    </row>
    <row r="237">
      <c r="A237" s="5">
        <f>IF(AND(B237="",D237=""),"",ROW()-1)</f>
        <v/>
      </c>
      <c r="B237" s="4" t="n"/>
      <c r="C237" s="5">
        <f>IF(B237="","",IFERROR(VLOOKUP(B237,'Products'!$A$2:$F$201,2,FALSE),"Product not found"))</f>
        <v/>
      </c>
      <c r="D237" s="4" t="n"/>
      <c r="E237" s="5">
        <f>IF(D237="","",IFERROR(VLOOKUP(D237,'Items'!$A$2:$L$201,2,FALSE),"Item not found"))</f>
        <v/>
      </c>
      <c r="F237" s="9" t="n"/>
      <c r="G237" s="4" t="n"/>
      <c r="H237" s="10">
        <f>IF(OR(F237="",G237=""),"",IFERROR(F237*VLOOKUP(G237,'Units'!$A$2:$D$13,4,FALSE),""))</f>
        <v/>
      </c>
      <c r="I237" s="5">
        <f>IF(D237="","",IFERROR(VLOOKUP(D237,'Items'!$A$2:$L$201,4,FALSE),""))</f>
        <v/>
      </c>
      <c r="J237" s="10">
        <f>IF(D237="","",IFERROR(VLOOKUP(D237,'Items'!$A$2:$L$201,10,FALSE),""))</f>
        <v/>
      </c>
      <c r="K237" s="10">
        <f>IF(OR(H237="",J237=""),"",H237*J237)</f>
        <v/>
      </c>
      <c r="L237" s="5">
        <f>IF(AND(B237="",D237=""),"",IF(B237="","Missing product",IF(D237="","Missing item",IF(C237="Product not found","Product not found",IF(E237="Item not found","Item not found",IF(OR(F237="",G237=""),"Missing quantity/unit",IF(IFERROR(VLOOKUP(G237,'Units'!$A$2:$D$13,3,FALSE),"")&lt;&gt;I237,"Unit mismatch",IF(J237="","Enter item cost","OK"))))))))</f>
        <v/>
      </c>
      <c r="M237" s="4" t="n"/>
    </row>
    <row r="238">
      <c r="A238" s="5">
        <f>IF(AND(B238="",D238=""),"",ROW()-1)</f>
        <v/>
      </c>
      <c r="B238" s="4" t="n"/>
      <c r="C238" s="5">
        <f>IF(B238="","",IFERROR(VLOOKUP(B238,'Products'!$A$2:$F$201,2,FALSE),"Product not found"))</f>
        <v/>
      </c>
      <c r="D238" s="4" t="n"/>
      <c r="E238" s="5">
        <f>IF(D238="","",IFERROR(VLOOKUP(D238,'Items'!$A$2:$L$201,2,FALSE),"Item not found"))</f>
        <v/>
      </c>
      <c r="F238" s="9" t="n"/>
      <c r="G238" s="4" t="n"/>
      <c r="H238" s="10">
        <f>IF(OR(F238="",G238=""),"",IFERROR(F238*VLOOKUP(G238,'Units'!$A$2:$D$13,4,FALSE),""))</f>
        <v/>
      </c>
      <c r="I238" s="5">
        <f>IF(D238="","",IFERROR(VLOOKUP(D238,'Items'!$A$2:$L$201,4,FALSE),""))</f>
        <v/>
      </c>
      <c r="J238" s="10">
        <f>IF(D238="","",IFERROR(VLOOKUP(D238,'Items'!$A$2:$L$201,10,FALSE),""))</f>
        <v/>
      </c>
      <c r="K238" s="10">
        <f>IF(OR(H238="",J238=""),"",H238*J238)</f>
        <v/>
      </c>
      <c r="L238" s="5">
        <f>IF(AND(B238="",D238=""),"",IF(B238="","Missing product",IF(D238="","Missing item",IF(C238="Product not found","Product not found",IF(E238="Item not found","Item not found",IF(OR(F238="",G238=""),"Missing quantity/unit",IF(IFERROR(VLOOKUP(G238,'Units'!$A$2:$D$13,3,FALSE),"")&lt;&gt;I238,"Unit mismatch",IF(J238="","Enter item cost","OK"))))))))</f>
        <v/>
      </c>
      <c r="M238" s="4" t="n"/>
    </row>
    <row r="239">
      <c r="A239" s="5">
        <f>IF(AND(B239="",D239=""),"",ROW()-1)</f>
        <v/>
      </c>
      <c r="B239" s="4" t="n"/>
      <c r="C239" s="5">
        <f>IF(B239="","",IFERROR(VLOOKUP(B239,'Products'!$A$2:$F$201,2,FALSE),"Product not found"))</f>
        <v/>
      </c>
      <c r="D239" s="4" t="n"/>
      <c r="E239" s="5">
        <f>IF(D239="","",IFERROR(VLOOKUP(D239,'Items'!$A$2:$L$201,2,FALSE),"Item not found"))</f>
        <v/>
      </c>
      <c r="F239" s="9" t="n"/>
      <c r="G239" s="4" t="n"/>
      <c r="H239" s="10">
        <f>IF(OR(F239="",G239=""),"",IFERROR(F239*VLOOKUP(G239,'Units'!$A$2:$D$13,4,FALSE),""))</f>
        <v/>
      </c>
      <c r="I239" s="5">
        <f>IF(D239="","",IFERROR(VLOOKUP(D239,'Items'!$A$2:$L$201,4,FALSE),""))</f>
        <v/>
      </c>
      <c r="J239" s="10">
        <f>IF(D239="","",IFERROR(VLOOKUP(D239,'Items'!$A$2:$L$201,10,FALSE),""))</f>
        <v/>
      </c>
      <c r="K239" s="10">
        <f>IF(OR(H239="",J239=""),"",H239*J239)</f>
        <v/>
      </c>
      <c r="L239" s="5">
        <f>IF(AND(B239="",D239=""),"",IF(B239="","Missing product",IF(D239="","Missing item",IF(C239="Product not found","Product not found",IF(E239="Item not found","Item not found",IF(OR(F239="",G239=""),"Missing quantity/unit",IF(IFERROR(VLOOKUP(G239,'Units'!$A$2:$D$13,3,FALSE),"")&lt;&gt;I239,"Unit mismatch",IF(J239="","Enter item cost","OK"))))))))</f>
        <v/>
      </c>
      <c r="M239" s="4" t="n"/>
    </row>
    <row r="240">
      <c r="A240" s="5">
        <f>IF(AND(B240="",D240=""),"",ROW()-1)</f>
        <v/>
      </c>
      <c r="B240" s="4" t="n"/>
      <c r="C240" s="5">
        <f>IF(B240="","",IFERROR(VLOOKUP(B240,'Products'!$A$2:$F$201,2,FALSE),"Product not found"))</f>
        <v/>
      </c>
      <c r="D240" s="4" t="n"/>
      <c r="E240" s="5">
        <f>IF(D240="","",IFERROR(VLOOKUP(D240,'Items'!$A$2:$L$201,2,FALSE),"Item not found"))</f>
        <v/>
      </c>
      <c r="F240" s="9" t="n"/>
      <c r="G240" s="4" t="n"/>
      <c r="H240" s="10">
        <f>IF(OR(F240="",G240=""),"",IFERROR(F240*VLOOKUP(G240,'Units'!$A$2:$D$13,4,FALSE),""))</f>
        <v/>
      </c>
      <c r="I240" s="5">
        <f>IF(D240="","",IFERROR(VLOOKUP(D240,'Items'!$A$2:$L$201,4,FALSE),""))</f>
        <v/>
      </c>
      <c r="J240" s="10">
        <f>IF(D240="","",IFERROR(VLOOKUP(D240,'Items'!$A$2:$L$201,10,FALSE),""))</f>
        <v/>
      </c>
      <c r="K240" s="10">
        <f>IF(OR(H240="",J240=""),"",H240*J240)</f>
        <v/>
      </c>
      <c r="L240" s="5">
        <f>IF(AND(B240="",D240=""),"",IF(B240="","Missing product",IF(D240="","Missing item",IF(C240="Product not found","Product not found",IF(E240="Item not found","Item not found",IF(OR(F240="",G240=""),"Missing quantity/unit",IF(IFERROR(VLOOKUP(G240,'Units'!$A$2:$D$13,3,FALSE),"")&lt;&gt;I240,"Unit mismatch",IF(J240="","Enter item cost","OK"))))))))</f>
        <v/>
      </c>
      <c r="M240" s="4" t="n"/>
    </row>
    <row r="241">
      <c r="A241" s="5">
        <f>IF(AND(B241="",D241=""),"",ROW()-1)</f>
        <v/>
      </c>
      <c r="B241" s="4" t="n"/>
      <c r="C241" s="5">
        <f>IF(B241="","",IFERROR(VLOOKUP(B241,'Products'!$A$2:$F$201,2,FALSE),"Product not found"))</f>
        <v/>
      </c>
      <c r="D241" s="4" t="n"/>
      <c r="E241" s="5">
        <f>IF(D241="","",IFERROR(VLOOKUP(D241,'Items'!$A$2:$L$201,2,FALSE),"Item not found"))</f>
        <v/>
      </c>
      <c r="F241" s="9" t="n"/>
      <c r="G241" s="4" t="n"/>
      <c r="H241" s="10">
        <f>IF(OR(F241="",G241=""),"",IFERROR(F241*VLOOKUP(G241,'Units'!$A$2:$D$13,4,FALSE),""))</f>
        <v/>
      </c>
      <c r="I241" s="5">
        <f>IF(D241="","",IFERROR(VLOOKUP(D241,'Items'!$A$2:$L$201,4,FALSE),""))</f>
        <v/>
      </c>
      <c r="J241" s="10">
        <f>IF(D241="","",IFERROR(VLOOKUP(D241,'Items'!$A$2:$L$201,10,FALSE),""))</f>
        <v/>
      </c>
      <c r="K241" s="10">
        <f>IF(OR(H241="",J241=""),"",H241*J241)</f>
        <v/>
      </c>
      <c r="L241" s="5">
        <f>IF(AND(B241="",D241=""),"",IF(B241="","Missing product",IF(D241="","Missing item",IF(C241="Product not found","Product not found",IF(E241="Item not found","Item not found",IF(OR(F241="",G241=""),"Missing quantity/unit",IF(IFERROR(VLOOKUP(G241,'Units'!$A$2:$D$13,3,FALSE),"")&lt;&gt;I241,"Unit mismatch",IF(J241="","Enter item cost","OK"))))))))</f>
        <v/>
      </c>
      <c r="M241" s="4" t="n"/>
    </row>
    <row r="242">
      <c r="A242" s="5">
        <f>IF(AND(B242="",D242=""),"",ROW()-1)</f>
        <v/>
      </c>
      <c r="B242" s="4" t="n"/>
      <c r="C242" s="5">
        <f>IF(B242="","",IFERROR(VLOOKUP(B242,'Products'!$A$2:$F$201,2,FALSE),"Product not found"))</f>
        <v/>
      </c>
      <c r="D242" s="4" t="n"/>
      <c r="E242" s="5">
        <f>IF(D242="","",IFERROR(VLOOKUP(D242,'Items'!$A$2:$L$201,2,FALSE),"Item not found"))</f>
        <v/>
      </c>
      <c r="F242" s="9" t="n"/>
      <c r="G242" s="4" t="n"/>
      <c r="H242" s="10">
        <f>IF(OR(F242="",G242=""),"",IFERROR(F242*VLOOKUP(G242,'Units'!$A$2:$D$13,4,FALSE),""))</f>
        <v/>
      </c>
      <c r="I242" s="5">
        <f>IF(D242="","",IFERROR(VLOOKUP(D242,'Items'!$A$2:$L$201,4,FALSE),""))</f>
        <v/>
      </c>
      <c r="J242" s="10">
        <f>IF(D242="","",IFERROR(VLOOKUP(D242,'Items'!$A$2:$L$201,10,FALSE),""))</f>
        <v/>
      </c>
      <c r="K242" s="10">
        <f>IF(OR(H242="",J242=""),"",H242*J242)</f>
        <v/>
      </c>
      <c r="L242" s="5">
        <f>IF(AND(B242="",D242=""),"",IF(B242="","Missing product",IF(D242="","Missing item",IF(C242="Product not found","Product not found",IF(E242="Item not found","Item not found",IF(OR(F242="",G242=""),"Missing quantity/unit",IF(IFERROR(VLOOKUP(G242,'Units'!$A$2:$D$13,3,FALSE),"")&lt;&gt;I242,"Unit mismatch",IF(J242="","Enter item cost","OK"))))))))</f>
        <v/>
      </c>
      <c r="M242" s="4" t="n"/>
    </row>
    <row r="243">
      <c r="A243" s="5">
        <f>IF(AND(B243="",D243=""),"",ROW()-1)</f>
        <v/>
      </c>
      <c r="B243" s="4" t="n"/>
      <c r="C243" s="5">
        <f>IF(B243="","",IFERROR(VLOOKUP(B243,'Products'!$A$2:$F$201,2,FALSE),"Product not found"))</f>
        <v/>
      </c>
      <c r="D243" s="4" t="n"/>
      <c r="E243" s="5">
        <f>IF(D243="","",IFERROR(VLOOKUP(D243,'Items'!$A$2:$L$201,2,FALSE),"Item not found"))</f>
        <v/>
      </c>
      <c r="F243" s="9" t="n"/>
      <c r="G243" s="4" t="n"/>
      <c r="H243" s="10">
        <f>IF(OR(F243="",G243=""),"",IFERROR(F243*VLOOKUP(G243,'Units'!$A$2:$D$13,4,FALSE),""))</f>
        <v/>
      </c>
      <c r="I243" s="5">
        <f>IF(D243="","",IFERROR(VLOOKUP(D243,'Items'!$A$2:$L$201,4,FALSE),""))</f>
        <v/>
      </c>
      <c r="J243" s="10">
        <f>IF(D243="","",IFERROR(VLOOKUP(D243,'Items'!$A$2:$L$201,10,FALSE),""))</f>
        <v/>
      </c>
      <c r="K243" s="10">
        <f>IF(OR(H243="",J243=""),"",H243*J243)</f>
        <v/>
      </c>
      <c r="L243" s="5">
        <f>IF(AND(B243="",D243=""),"",IF(B243="","Missing product",IF(D243="","Missing item",IF(C243="Product not found","Product not found",IF(E243="Item not found","Item not found",IF(OR(F243="",G243=""),"Missing quantity/unit",IF(IFERROR(VLOOKUP(G243,'Units'!$A$2:$D$13,3,FALSE),"")&lt;&gt;I243,"Unit mismatch",IF(J243="","Enter item cost","OK"))))))))</f>
        <v/>
      </c>
      <c r="M243" s="4" t="n"/>
    </row>
    <row r="244">
      <c r="A244" s="5">
        <f>IF(AND(B244="",D244=""),"",ROW()-1)</f>
        <v/>
      </c>
      <c r="B244" s="4" t="n"/>
      <c r="C244" s="5">
        <f>IF(B244="","",IFERROR(VLOOKUP(B244,'Products'!$A$2:$F$201,2,FALSE),"Product not found"))</f>
        <v/>
      </c>
      <c r="D244" s="4" t="n"/>
      <c r="E244" s="5">
        <f>IF(D244="","",IFERROR(VLOOKUP(D244,'Items'!$A$2:$L$201,2,FALSE),"Item not found"))</f>
        <v/>
      </c>
      <c r="F244" s="9" t="n"/>
      <c r="G244" s="4" t="n"/>
      <c r="H244" s="10">
        <f>IF(OR(F244="",G244=""),"",IFERROR(F244*VLOOKUP(G244,'Units'!$A$2:$D$13,4,FALSE),""))</f>
        <v/>
      </c>
      <c r="I244" s="5">
        <f>IF(D244="","",IFERROR(VLOOKUP(D244,'Items'!$A$2:$L$201,4,FALSE),""))</f>
        <v/>
      </c>
      <c r="J244" s="10">
        <f>IF(D244="","",IFERROR(VLOOKUP(D244,'Items'!$A$2:$L$201,10,FALSE),""))</f>
        <v/>
      </c>
      <c r="K244" s="10">
        <f>IF(OR(H244="",J244=""),"",H244*J244)</f>
        <v/>
      </c>
      <c r="L244" s="5">
        <f>IF(AND(B244="",D244=""),"",IF(B244="","Missing product",IF(D244="","Missing item",IF(C244="Product not found","Product not found",IF(E244="Item not found","Item not found",IF(OR(F244="",G244=""),"Missing quantity/unit",IF(IFERROR(VLOOKUP(G244,'Units'!$A$2:$D$13,3,FALSE),"")&lt;&gt;I244,"Unit mismatch",IF(J244="","Enter item cost","OK"))))))))</f>
        <v/>
      </c>
      <c r="M244" s="4" t="n"/>
    </row>
    <row r="245">
      <c r="A245" s="5">
        <f>IF(AND(B245="",D245=""),"",ROW()-1)</f>
        <v/>
      </c>
      <c r="B245" s="4" t="n"/>
      <c r="C245" s="5">
        <f>IF(B245="","",IFERROR(VLOOKUP(B245,'Products'!$A$2:$F$201,2,FALSE),"Product not found"))</f>
        <v/>
      </c>
      <c r="D245" s="4" t="n"/>
      <c r="E245" s="5">
        <f>IF(D245="","",IFERROR(VLOOKUP(D245,'Items'!$A$2:$L$201,2,FALSE),"Item not found"))</f>
        <v/>
      </c>
      <c r="F245" s="9" t="n"/>
      <c r="G245" s="4" t="n"/>
      <c r="H245" s="10">
        <f>IF(OR(F245="",G245=""),"",IFERROR(F245*VLOOKUP(G245,'Units'!$A$2:$D$13,4,FALSE),""))</f>
        <v/>
      </c>
      <c r="I245" s="5">
        <f>IF(D245="","",IFERROR(VLOOKUP(D245,'Items'!$A$2:$L$201,4,FALSE),""))</f>
        <v/>
      </c>
      <c r="J245" s="10">
        <f>IF(D245="","",IFERROR(VLOOKUP(D245,'Items'!$A$2:$L$201,10,FALSE),""))</f>
        <v/>
      </c>
      <c r="K245" s="10">
        <f>IF(OR(H245="",J245=""),"",H245*J245)</f>
        <v/>
      </c>
      <c r="L245" s="5">
        <f>IF(AND(B245="",D245=""),"",IF(B245="","Missing product",IF(D245="","Missing item",IF(C245="Product not found","Product not found",IF(E245="Item not found","Item not found",IF(OR(F245="",G245=""),"Missing quantity/unit",IF(IFERROR(VLOOKUP(G245,'Units'!$A$2:$D$13,3,FALSE),"")&lt;&gt;I245,"Unit mismatch",IF(J245="","Enter item cost","OK"))))))))</f>
        <v/>
      </c>
      <c r="M245" s="4" t="n"/>
    </row>
    <row r="246">
      <c r="A246" s="5">
        <f>IF(AND(B246="",D246=""),"",ROW()-1)</f>
        <v/>
      </c>
      <c r="B246" s="4" t="n"/>
      <c r="C246" s="5">
        <f>IF(B246="","",IFERROR(VLOOKUP(B246,'Products'!$A$2:$F$201,2,FALSE),"Product not found"))</f>
        <v/>
      </c>
      <c r="D246" s="4" t="n"/>
      <c r="E246" s="5">
        <f>IF(D246="","",IFERROR(VLOOKUP(D246,'Items'!$A$2:$L$201,2,FALSE),"Item not found"))</f>
        <v/>
      </c>
      <c r="F246" s="9" t="n"/>
      <c r="G246" s="4" t="n"/>
      <c r="H246" s="10">
        <f>IF(OR(F246="",G246=""),"",IFERROR(F246*VLOOKUP(G246,'Units'!$A$2:$D$13,4,FALSE),""))</f>
        <v/>
      </c>
      <c r="I246" s="5">
        <f>IF(D246="","",IFERROR(VLOOKUP(D246,'Items'!$A$2:$L$201,4,FALSE),""))</f>
        <v/>
      </c>
      <c r="J246" s="10">
        <f>IF(D246="","",IFERROR(VLOOKUP(D246,'Items'!$A$2:$L$201,10,FALSE),""))</f>
        <v/>
      </c>
      <c r="K246" s="10">
        <f>IF(OR(H246="",J246=""),"",H246*J246)</f>
        <v/>
      </c>
      <c r="L246" s="5">
        <f>IF(AND(B246="",D246=""),"",IF(B246="","Missing product",IF(D246="","Missing item",IF(C246="Product not found","Product not found",IF(E246="Item not found","Item not found",IF(OR(F246="",G246=""),"Missing quantity/unit",IF(IFERROR(VLOOKUP(G246,'Units'!$A$2:$D$13,3,FALSE),"")&lt;&gt;I246,"Unit mismatch",IF(J246="","Enter item cost","OK"))))))))</f>
        <v/>
      </c>
      <c r="M246" s="4" t="n"/>
    </row>
    <row r="247">
      <c r="A247" s="5">
        <f>IF(AND(B247="",D247=""),"",ROW()-1)</f>
        <v/>
      </c>
      <c r="B247" s="4" t="n"/>
      <c r="C247" s="5">
        <f>IF(B247="","",IFERROR(VLOOKUP(B247,'Products'!$A$2:$F$201,2,FALSE),"Product not found"))</f>
        <v/>
      </c>
      <c r="D247" s="4" t="n"/>
      <c r="E247" s="5">
        <f>IF(D247="","",IFERROR(VLOOKUP(D247,'Items'!$A$2:$L$201,2,FALSE),"Item not found"))</f>
        <v/>
      </c>
      <c r="F247" s="9" t="n"/>
      <c r="G247" s="4" t="n"/>
      <c r="H247" s="10">
        <f>IF(OR(F247="",G247=""),"",IFERROR(F247*VLOOKUP(G247,'Units'!$A$2:$D$13,4,FALSE),""))</f>
        <v/>
      </c>
      <c r="I247" s="5">
        <f>IF(D247="","",IFERROR(VLOOKUP(D247,'Items'!$A$2:$L$201,4,FALSE),""))</f>
        <v/>
      </c>
      <c r="J247" s="10">
        <f>IF(D247="","",IFERROR(VLOOKUP(D247,'Items'!$A$2:$L$201,10,FALSE),""))</f>
        <v/>
      </c>
      <c r="K247" s="10">
        <f>IF(OR(H247="",J247=""),"",H247*J247)</f>
        <v/>
      </c>
      <c r="L247" s="5">
        <f>IF(AND(B247="",D247=""),"",IF(B247="","Missing product",IF(D247="","Missing item",IF(C247="Product not found","Product not found",IF(E247="Item not found","Item not found",IF(OR(F247="",G247=""),"Missing quantity/unit",IF(IFERROR(VLOOKUP(G247,'Units'!$A$2:$D$13,3,FALSE),"")&lt;&gt;I247,"Unit mismatch",IF(J247="","Enter item cost","OK"))))))))</f>
        <v/>
      </c>
      <c r="M247" s="4" t="n"/>
    </row>
    <row r="248">
      <c r="A248" s="5">
        <f>IF(AND(B248="",D248=""),"",ROW()-1)</f>
        <v/>
      </c>
      <c r="B248" s="4" t="n"/>
      <c r="C248" s="5">
        <f>IF(B248="","",IFERROR(VLOOKUP(B248,'Products'!$A$2:$F$201,2,FALSE),"Product not found"))</f>
        <v/>
      </c>
      <c r="D248" s="4" t="n"/>
      <c r="E248" s="5">
        <f>IF(D248="","",IFERROR(VLOOKUP(D248,'Items'!$A$2:$L$201,2,FALSE),"Item not found"))</f>
        <v/>
      </c>
      <c r="F248" s="9" t="n"/>
      <c r="G248" s="4" t="n"/>
      <c r="H248" s="10">
        <f>IF(OR(F248="",G248=""),"",IFERROR(F248*VLOOKUP(G248,'Units'!$A$2:$D$13,4,FALSE),""))</f>
        <v/>
      </c>
      <c r="I248" s="5">
        <f>IF(D248="","",IFERROR(VLOOKUP(D248,'Items'!$A$2:$L$201,4,FALSE),""))</f>
        <v/>
      </c>
      <c r="J248" s="10">
        <f>IF(D248="","",IFERROR(VLOOKUP(D248,'Items'!$A$2:$L$201,10,FALSE),""))</f>
        <v/>
      </c>
      <c r="K248" s="10">
        <f>IF(OR(H248="",J248=""),"",H248*J248)</f>
        <v/>
      </c>
      <c r="L248" s="5">
        <f>IF(AND(B248="",D248=""),"",IF(B248="","Missing product",IF(D248="","Missing item",IF(C248="Product not found","Product not found",IF(E248="Item not found","Item not found",IF(OR(F248="",G248=""),"Missing quantity/unit",IF(IFERROR(VLOOKUP(G248,'Units'!$A$2:$D$13,3,FALSE),"")&lt;&gt;I248,"Unit mismatch",IF(J248="","Enter item cost","OK"))))))))</f>
        <v/>
      </c>
      <c r="M248" s="4" t="n"/>
    </row>
    <row r="249">
      <c r="A249" s="5">
        <f>IF(AND(B249="",D249=""),"",ROW()-1)</f>
        <v/>
      </c>
      <c r="B249" s="4" t="n"/>
      <c r="C249" s="5">
        <f>IF(B249="","",IFERROR(VLOOKUP(B249,'Products'!$A$2:$F$201,2,FALSE),"Product not found"))</f>
        <v/>
      </c>
      <c r="D249" s="4" t="n"/>
      <c r="E249" s="5">
        <f>IF(D249="","",IFERROR(VLOOKUP(D249,'Items'!$A$2:$L$201,2,FALSE),"Item not found"))</f>
        <v/>
      </c>
      <c r="F249" s="9" t="n"/>
      <c r="G249" s="4" t="n"/>
      <c r="H249" s="10">
        <f>IF(OR(F249="",G249=""),"",IFERROR(F249*VLOOKUP(G249,'Units'!$A$2:$D$13,4,FALSE),""))</f>
        <v/>
      </c>
      <c r="I249" s="5">
        <f>IF(D249="","",IFERROR(VLOOKUP(D249,'Items'!$A$2:$L$201,4,FALSE),""))</f>
        <v/>
      </c>
      <c r="J249" s="10">
        <f>IF(D249="","",IFERROR(VLOOKUP(D249,'Items'!$A$2:$L$201,10,FALSE),""))</f>
        <v/>
      </c>
      <c r="K249" s="10">
        <f>IF(OR(H249="",J249=""),"",H249*J249)</f>
        <v/>
      </c>
      <c r="L249" s="5">
        <f>IF(AND(B249="",D249=""),"",IF(B249="","Missing product",IF(D249="","Missing item",IF(C249="Product not found","Product not found",IF(E249="Item not found","Item not found",IF(OR(F249="",G249=""),"Missing quantity/unit",IF(IFERROR(VLOOKUP(G249,'Units'!$A$2:$D$13,3,FALSE),"")&lt;&gt;I249,"Unit mismatch",IF(J249="","Enter item cost","OK"))))))))</f>
        <v/>
      </c>
      <c r="M249" s="4" t="n"/>
    </row>
    <row r="250">
      <c r="A250" s="5">
        <f>IF(AND(B250="",D250=""),"",ROW()-1)</f>
        <v/>
      </c>
      <c r="B250" s="4" t="n"/>
      <c r="C250" s="5">
        <f>IF(B250="","",IFERROR(VLOOKUP(B250,'Products'!$A$2:$F$201,2,FALSE),"Product not found"))</f>
        <v/>
      </c>
      <c r="D250" s="4" t="n"/>
      <c r="E250" s="5">
        <f>IF(D250="","",IFERROR(VLOOKUP(D250,'Items'!$A$2:$L$201,2,FALSE),"Item not found"))</f>
        <v/>
      </c>
      <c r="F250" s="9" t="n"/>
      <c r="G250" s="4" t="n"/>
      <c r="H250" s="10">
        <f>IF(OR(F250="",G250=""),"",IFERROR(F250*VLOOKUP(G250,'Units'!$A$2:$D$13,4,FALSE),""))</f>
        <v/>
      </c>
      <c r="I250" s="5">
        <f>IF(D250="","",IFERROR(VLOOKUP(D250,'Items'!$A$2:$L$201,4,FALSE),""))</f>
        <v/>
      </c>
      <c r="J250" s="10">
        <f>IF(D250="","",IFERROR(VLOOKUP(D250,'Items'!$A$2:$L$201,10,FALSE),""))</f>
        <v/>
      </c>
      <c r="K250" s="10">
        <f>IF(OR(H250="",J250=""),"",H250*J250)</f>
        <v/>
      </c>
      <c r="L250" s="5">
        <f>IF(AND(B250="",D250=""),"",IF(B250="","Missing product",IF(D250="","Missing item",IF(C250="Product not found","Product not found",IF(E250="Item not found","Item not found",IF(OR(F250="",G250=""),"Missing quantity/unit",IF(IFERROR(VLOOKUP(G250,'Units'!$A$2:$D$13,3,FALSE),"")&lt;&gt;I250,"Unit mismatch",IF(J250="","Enter item cost","OK"))))))))</f>
        <v/>
      </c>
      <c r="M250" s="4" t="n"/>
    </row>
    <row r="251">
      <c r="A251" s="5">
        <f>IF(AND(B251="",D251=""),"",ROW()-1)</f>
        <v/>
      </c>
      <c r="B251" s="4" t="n"/>
      <c r="C251" s="5">
        <f>IF(B251="","",IFERROR(VLOOKUP(B251,'Products'!$A$2:$F$201,2,FALSE),"Product not found"))</f>
        <v/>
      </c>
      <c r="D251" s="4" t="n"/>
      <c r="E251" s="5">
        <f>IF(D251="","",IFERROR(VLOOKUP(D251,'Items'!$A$2:$L$201,2,FALSE),"Item not found"))</f>
        <v/>
      </c>
      <c r="F251" s="9" t="n"/>
      <c r="G251" s="4" t="n"/>
      <c r="H251" s="10">
        <f>IF(OR(F251="",G251=""),"",IFERROR(F251*VLOOKUP(G251,'Units'!$A$2:$D$13,4,FALSE),""))</f>
        <v/>
      </c>
      <c r="I251" s="5">
        <f>IF(D251="","",IFERROR(VLOOKUP(D251,'Items'!$A$2:$L$201,4,FALSE),""))</f>
        <v/>
      </c>
      <c r="J251" s="10">
        <f>IF(D251="","",IFERROR(VLOOKUP(D251,'Items'!$A$2:$L$201,10,FALSE),""))</f>
        <v/>
      </c>
      <c r="K251" s="10">
        <f>IF(OR(H251="",J251=""),"",H251*J251)</f>
        <v/>
      </c>
      <c r="L251" s="5">
        <f>IF(AND(B251="",D251=""),"",IF(B251="","Missing product",IF(D251="","Missing item",IF(C251="Product not found","Product not found",IF(E251="Item not found","Item not found",IF(OR(F251="",G251=""),"Missing quantity/unit",IF(IFERROR(VLOOKUP(G251,'Units'!$A$2:$D$13,3,FALSE),"")&lt;&gt;I251,"Unit mismatch",IF(J251="","Enter item cost","OK"))))))))</f>
        <v/>
      </c>
      <c r="M251" s="4" t="n"/>
    </row>
    <row r="252">
      <c r="A252" s="5">
        <f>IF(AND(B252="",D252=""),"",ROW()-1)</f>
        <v/>
      </c>
      <c r="B252" s="4" t="n"/>
      <c r="C252" s="5">
        <f>IF(B252="","",IFERROR(VLOOKUP(B252,'Products'!$A$2:$F$201,2,FALSE),"Product not found"))</f>
        <v/>
      </c>
      <c r="D252" s="4" t="n"/>
      <c r="E252" s="5">
        <f>IF(D252="","",IFERROR(VLOOKUP(D252,'Items'!$A$2:$L$201,2,FALSE),"Item not found"))</f>
        <v/>
      </c>
      <c r="F252" s="9" t="n"/>
      <c r="G252" s="4" t="n"/>
      <c r="H252" s="10">
        <f>IF(OR(F252="",G252=""),"",IFERROR(F252*VLOOKUP(G252,'Units'!$A$2:$D$13,4,FALSE),""))</f>
        <v/>
      </c>
      <c r="I252" s="5">
        <f>IF(D252="","",IFERROR(VLOOKUP(D252,'Items'!$A$2:$L$201,4,FALSE),""))</f>
        <v/>
      </c>
      <c r="J252" s="10">
        <f>IF(D252="","",IFERROR(VLOOKUP(D252,'Items'!$A$2:$L$201,10,FALSE),""))</f>
        <v/>
      </c>
      <c r="K252" s="10">
        <f>IF(OR(H252="",J252=""),"",H252*J252)</f>
        <v/>
      </c>
      <c r="L252" s="5">
        <f>IF(AND(B252="",D252=""),"",IF(B252="","Missing product",IF(D252="","Missing item",IF(C252="Product not found","Product not found",IF(E252="Item not found","Item not found",IF(OR(F252="",G252=""),"Missing quantity/unit",IF(IFERROR(VLOOKUP(G252,'Units'!$A$2:$D$13,3,FALSE),"")&lt;&gt;I252,"Unit mismatch",IF(J252="","Enter item cost","OK"))))))))</f>
        <v/>
      </c>
      <c r="M252" s="4" t="n"/>
    </row>
    <row r="253">
      <c r="A253" s="5">
        <f>IF(AND(B253="",D253=""),"",ROW()-1)</f>
        <v/>
      </c>
      <c r="B253" s="4" t="n"/>
      <c r="C253" s="5">
        <f>IF(B253="","",IFERROR(VLOOKUP(B253,'Products'!$A$2:$F$201,2,FALSE),"Product not found"))</f>
        <v/>
      </c>
      <c r="D253" s="4" t="n"/>
      <c r="E253" s="5">
        <f>IF(D253="","",IFERROR(VLOOKUP(D253,'Items'!$A$2:$L$201,2,FALSE),"Item not found"))</f>
        <v/>
      </c>
      <c r="F253" s="9" t="n"/>
      <c r="G253" s="4" t="n"/>
      <c r="H253" s="10">
        <f>IF(OR(F253="",G253=""),"",IFERROR(F253*VLOOKUP(G253,'Units'!$A$2:$D$13,4,FALSE),""))</f>
        <v/>
      </c>
      <c r="I253" s="5">
        <f>IF(D253="","",IFERROR(VLOOKUP(D253,'Items'!$A$2:$L$201,4,FALSE),""))</f>
        <v/>
      </c>
      <c r="J253" s="10">
        <f>IF(D253="","",IFERROR(VLOOKUP(D253,'Items'!$A$2:$L$201,10,FALSE),""))</f>
        <v/>
      </c>
      <c r="K253" s="10">
        <f>IF(OR(H253="",J253=""),"",H253*J253)</f>
        <v/>
      </c>
      <c r="L253" s="5">
        <f>IF(AND(B253="",D253=""),"",IF(B253="","Missing product",IF(D253="","Missing item",IF(C253="Product not found","Product not found",IF(E253="Item not found","Item not found",IF(OR(F253="",G253=""),"Missing quantity/unit",IF(IFERROR(VLOOKUP(G253,'Units'!$A$2:$D$13,3,FALSE),"")&lt;&gt;I253,"Unit mismatch",IF(J253="","Enter item cost","OK"))))))))</f>
        <v/>
      </c>
      <c r="M253" s="4" t="n"/>
    </row>
    <row r="254">
      <c r="A254" s="5">
        <f>IF(AND(B254="",D254=""),"",ROW()-1)</f>
        <v/>
      </c>
      <c r="B254" s="4" t="n"/>
      <c r="C254" s="5">
        <f>IF(B254="","",IFERROR(VLOOKUP(B254,'Products'!$A$2:$F$201,2,FALSE),"Product not found"))</f>
        <v/>
      </c>
      <c r="D254" s="4" t="n"/>
      <c r="E254" s="5">
        <f>IF(D254="","",IFERROR(VLOOKUP(D254,'Items'!$A$2:$L$201,2,FALSE),"Item not found"))</f>
        <v/>
      </c>
      <c r="F254" s="9" t="n"/>
      <c r="G254" s="4" t="n"/>
      <c r="H254" s="10">
        <f>IF(OR(F254="",G254=""),"",IFERROR(F254*VLOOKUP(G254,'Units'!$A$2:$D$13,4,FALSE),""))</f>
        <v/>
      </c>
      <c r="I254" s="5">
        <f>IF(D254="","",IFERROR(VLOOKUP(D254,'Items'!$A$2:$L$201,4,FALSE),""))</f>
        <v/>
      </c>
      <c r="J254" s="10">
        <f>IF(D254="","",IFERROR(VLOOKUP(D254,'Items'!$A$2:$L$201,10,FALSE),""))</f>
        <v/>
      </c>
      <c r="K254" s="10">
        <f>IF(OR(H254="",J254=""),"",H254*J254)</f>
        <v/>
      </c>
      <c r="L254" s="5">
        <f>IF(AND(B254="",D254=""),"",IF(B254="","Missing product",IF(D254="","Missing item",IF(C254="Product not found","Product not found",IF(E254="Item not found","Item not found",IF(OR(F254="",G254=""),"Missing quantity/unit",IF(IFERROR(VLOOKUP(G254,'Units'!$A$2:$D$13,3,FALSE),"")&lt;&gt;I254,"Unit mismatch",IF(J254="","Enter item cost","OK"))))))))</f>
        <v/>
      </c>
      <c r="M254" s="4" t="n"/>
    </row>
    <row r="255">
      <c r="A255" s="5">
        <f>IF(AND(B255="",D255=""),"",ROW()-1)</f>
        <v/>
      </c>
      <c r="B255" s="4" t="n"/>
      <c r="C255" s="5">
        <f>IF(B255="","",IFERROR(VLOOKUP(B255,'Products'!$A$2:$F$201,2,FALSE),"Product not found"))</f>
        <v/>
      </c>
      <c r="D255" s="4" t="n"/>
      <c r="E255" s="5">
        <f>IF(D255="","",IFERROR(VLOOKUP(D255,'Items'!$A$2:$L$201,2,FALSE),"Item not found"))</f>
        <v/>
      </c>
      <c r="F255" s="9" t="n"/>
      <c r="G255" s="4" t="n"/>
      <c r="H255" s="10">
        <f>IF(OR(F255="",G255=""),"",IFERROR(F255*VLOOKUP(G255,'Units'!$A$2:$D$13,4,FALSE),""))</f>
        <v/>
      </c>
      <c r="I255" s="5">
        <f>IF(D255="","",IFERROR(VLOOKUP(D255,'Items'!$A$2:$L$201,4,FALSE),""))</f>
        <v/>
      </c>
      <c r="J255" s="10">
        <f>IF(D255="","",IFERROR(VLOOKUP(D255,'Items'!$A$2:$L$201,10,FALSE),""))</f>
        <v/>
      </c>
      <c r="K255" s="10">
        <f>IF(OR(H255="",J255=""),"",H255*J255)</f>
        <v/>
      </c>
      <c r="L255" s="5">
        <f>IF(AND(B255="",D255=""),"",IF(B255="","Missing product",IF(D255="","Missing item",IF(C255="Product not found","Product not found",IF(E255="Item not found","Item not found",IF(OR(F255="",G255=""),"Missing quantity/unit",IF(IFERROR(VLOOKUP(G255,'Units'!$A$2:$D$13,3,FALSE),"")&lt;&gt;I255,"Unit mismatch",IF(J255="","Enter item cost","OK"))))))))</f>
        <v/>
      </c>
      <c r="M255" s="4" t="n"/>
    </row>
    <row r="256">
      <c r="A256" s="5">
        <f>IF(AND(B256="",D256=""),"",ROW()-1)</f>
        <v/>
      </c>
      <c r="B256" s="4" t="n"/>
      <c r="C256" s="5">
        <f>IF(B256="","",IFERROR(VLOOKUP(B256,'Products'!$A$2:$F$201,2,FALSE),"Product not found"))</f>
        <v/>
      </c>
      <c r="D256" s="4" t="n"/>
      <c r="E256" s="5">
        <f>IF(D256="","",IFERROR(VLOOKUP(D256,'Items'!$A$2:$L$201,2,FALSE),"Item not found"))</f>
        <v/>
      </c>
      <c r="F256" s="9" t="n"/>
      <c r="G256" s="4" t="n"/>
      <c r="H256" s="10">
        <f>IF(OR(F256="",G256=""),"",IFERROR(F256*VLOOKUP(G256,'Units'!$A$2:$D$13,4,FALSE),""))</f>
        <v/>
      </c>
      <c r="I256" s="5">
        <f>IF(D256="","",IFERROR(VLOOKUP(D256,'Items'!$A$2:$L$201,4,FALSE),""))</f>
        <v/>
      </c>
      <c r="J256" s="10">
        <f>IF(D256="","",IFERROR(VLOOKUP(D256,'Items'!$A$2:$L$201,10,FALSE),""))</f>
        <v/>
      </c>
      <c r="K256" s="10">
        <f>IF(OR(H256="",J256=""),"",H256*J256)</f>
        <v/>
      </c>
      <c r="L256" s="5">
        <f>IF(AND(B256="",D256=""),"",IF(B256="","Missing product",IF(D256="","Missing item",IF(C256="Product not found","Product not found",IF(E256="Item not found","Item not found",IF(OR(F256="",G256=""),"Missing quantity/unit",IF(IFERROR(VLOOKUP(G256,'Units'!$A$2:$D$13,3,FALSE),"")&lt;&gt;I256,"Unit mismatch",IF(J256="","Enter item cost","OK"))))))))</f>
        <v/>
      </c>
      <c r="M256" s="4" t="n"/>
    </row>
    <row r="257">
      <c r="A257" s="5">
        <f>IF(AND(B257="",D257=""),"",ROW()-1)</f>
        <v/>
      </c>
      <c r="B257" s="4" t="n"/>
      <c r="C257" s="5">
        <f>IF(B257="","",IFERROR(VLOOKUP(B257,'Products'!$A$2:$F$201,2,FALSE),"Product not found"))</f>
        <v/>
      </c>
      <c r="D257" s="4" t="n"/>
      <c r="E257" s="5">
        <f>IF(D257="","",IFERROR(VLOOKUP(D257,'Items'!$A$2:$L$201,2,FALSE),"Item not found"))</f>
        <v/>
      </c>
      <c r="F257" s="9" t="n"/>
      <c r="G257" s="4" t="n"/>
      <c r="H257" s="10">
        <f>IF(OR(F257="",G257=""),"",IFERROR(F257*VLOOKUP(G257,'Units'!$A$2:$D$13,4,FALSE),""))</f>
        <v/>
      </c>
      <c r="I257" s="5">
        <f>IF(D257="","",IFERROR(VLOOKUP(D257,'Items'!$A$2:$L$201,4,FALSE),""))</f>
        <v/>
      </c>
      <c r="J257" s="10">
        <f>IF(D257="","",IFERROR(VLOOKUP(D257,'Items'!$A$2:$L$201,10,FALSE),""))</f>
        <v/>
      </c>
      <c r="K257" s="10">
        <f>IF(OR(H257="",J257=""),"",H257*J257)</f>
        <v/>
      </c>
      <c r="L257" s="5">
        <f>IF(AND(B257="",D257=""),"",IF(B257="","Missing product",IF(D257="","Missing item",IF(C257="Product not found","Product not found",IF(E257="Item not found","Item not found",IF(OR(F257="",G257=""),"Missing quantity/unit",IF(IFERROR(VLOOKUP(G257,'Units'!$A$2:$D$13,3,FALSE),"")&lt;&gt;I257,"Unit mismatch",IF(J257="","Enter item cost","OK"))))))))</f>
        <v/>
      </c>
      <c r="M257" s="4" t="n"/>
    </row>
    <row r="258">
      <c r="A258" s="5">
        <f>IF(AND(B258="",D258=""),"",ROW()-1)</f>
        <v/>
      </c>
      <c r="B258" s="4" t="n"/>
      <c r="C258" s="5">
        <f>IF(B258="","",IFERROR(VLOOKUP(B258,'Products'!$A$2:$F$201,2,FALSE),"Product not found"))</f>
        <v/>
      </c>
      <c r="D258" s="4" t="n"/>
      <c r="E258" s="5">
        <f>IF(D258="","",IFERROR(VLOOKUP(D258,'Items'!$A$2:$L$201,2,FALSE),"Item not found"))</f>
        <v/>
      </c>
      <c r="F258" s="9" t="n"/>
      <c r="G258" s="4" t="n"/>
      <c r="H258" s="10">
        <f>IF(OR(F258="",G258=""),"",IFERROR(F258*VLOOKUP(G258,'Units'!$A$2:$D$13,4,FALSE),""))</f>
        <v/>
      </c>
      <c r="I258" s="5">
        <f>IF(D258="","",IFERROR(VLOOKUP(D258,'Items'!$A$2:$L$201,4,FALSE),""))</f>
        <v/>
      </c>
      <c r="J258" s="10">
        <f>IF(D258="","",IFERROR(VLOOKUP(D258,'Items'!$A$2:$L$201,10,FALSE),""))</f>
        <v/>
      </c>
      <c r="K258" s="10">
        <f>IF(OR(H258="",J258=""),"",H258*J258)</f>
        <v/>
      </c>
      <c r="L258" s="5">
        <f>IF(AND(B258="",D258=""),"",IF(B258="","Missing product",IF(D258="","Missing item",IF(C258="Product not found","Product not found",IF(E258="Item not found","Item not found",IF(OR(F258="",G258=""),"Missing quantity/unit",IF(IFERROR(VLOOKUP(G258,'Units'!$A$2:$D$13,3,FALSE),"")&lt;&gt;I258,"Unit mismatch",IF(J258="","Enter item cost","OK"))))))))</f>
        <v/>
      </c>
      <c r="M258" s="4" t="n"/>
    </row>
    <row r="259">
      <c r="A259" s="5">
        <f>IF(AND(B259="",D259=""),"",ROW()-1)</f>
        <v/>
      </c>
      <c r="B259" s="4" t="n"/>
      <c r="C259" s="5">
        <f>IF(B259="","",IFERROR(VLOOKUP(B259,'Products'!$A$2:$F$201,2,FALSE),"Product not found"))</f>
        <v/>
      </c>
      <c r="D259" s="4" t="n"/>
      <c r="E259" s="5">
        <f>IF(D259="","",IFERROR(VLOOKUP(D259,'Items'!$A$2:$L$201,2,FALSE),"Item not found"))</f>
        <v/>
      </c>
      <c r="F259" s="9" t="n"/>
      <c r="G259" s="4" t="n"/>
      <c r="H259" s="10">
        <f>IF(OR(F259="",G259=""),"",IFERROR(F259*VLOOKUP(G259,'Units'!$A$2:$D$13,4,FALSE),""))</f>
        <v/>
      </c>
      <c r="I259" s="5">
        <f>IF(D259="","",IFERROR(VLOOKUP(D259,'Items'!$A$2:$L$201,4,FALSE),""))</f>
        <v/>
      </c>
      <c r="J259" s="10">
        <f>IF(D259="","",IFERROR(VLOOKUP(D259,'Items'!$A$2:$L$201,10,FALSE),""))</f>
        <v/>
      </c>
      <c r="K259" s="10">
        <f>IF(OR(H259="",J259=""),"",H259*J259)</f>
        <v/>
      </c>
      <c r="L259" s="5">
        <f>IF(AND(B259="",D259=""),"",IF(B259="","Missing product",IF(D259="","Missing item",IF(C259="Product not found","Product not found",IF(E259="Item not found","Item not found",IF(OR(F259="",G259=""),"Missing quantity/unit",IF(IFERROR(VLOOKUP(G259,'Units'!$A$2:$D$13,3,FALSE),"")&lt;&gt;I259,"Unit mismatch",IF(J259="","Enter item cost","OK"))))))))</f>
        <v/>
      </c>
      <c r="M259" s="4" t="n"/>
    </row>
    <row r="260">
      <c r="A260" s="5">
        <f>IF(AND(B260="",D260=""),"",ROW()-1)</f>
        <v/>
      </c>
      <c r="B260" s="4" t="n"/>
      <c r="C260" s="5">
        <f>IF(B260="","",IFERROR(VLOOKUP(B260,'Products'!$A$2:$F$201,2,FALSE),"Product not found"))</f>
        <v/>
      </c>
      <c r="D260" s="4" t="n"/>
      <c r="E260" s="5">
        <f>IF(D260="","",IFERROR(VLOOKUP(D260,'Items'!$A$2:$L$201,2,FALSE),"Item not found"))</f>
        <v/>
      </c>
      <c r="F260" s="9" t="n"/>
      <c r="G260" s="4" t="n"/>
      <c r="H260" s="10">
        <f>IF(OR(F260="",G260=""),"",IFERROR(F260*VLOOKUP(G260,'Units'!$A$2:$D$13,4,FALSE),""))</f>
        <v/>
      </c>
      <c r="I260" s="5">
        <f>IF(D260="","",IFERROR(VLOOKUP(D260,'Items'!$A$2:$L$201,4,FALSE),""))</f>
        <v/>
      </c>
      <c r="J260" s="10">
        <f>IF(D260="","",IFERROR(VLOOKUP(D260,'Items'!$A$2:$L$201,10,FALSE),""))</f>
        <v/>
      </c>
      <c r="K260" s="10">
        <f>IF(OR(H260="",J260=""),"",H260*J260)</f>
        <v/>
      </c>
      <c r="L260" s="5">
        <f>IF(AND(B260="",D260=""),"",IF(B260="","Missing product",IF(D260="","Missing item",IF(C260="Product not found","Product not found",IF(E260="Item not found","Item not found",IF(OR(F260="",G260=""),"Missing quantity/unit",IF(IFERROR(VLOOKUP(G260,'Units'!$A$2:$D$13,3,FALSE),"")&lt;&gt;I260,"Unit mismatch",IF(J260="","Enter item cost","OK"))))))))</f>
        <v/>
      </c>
      <c r="M260" s="4" t="n"/>
    </row>
    <row r="261">
      <c r="A261" s="5">
        <f>IF(AND(B261="",D261=""),"",ROW()-1)</f>
        <v/>
      </c>
      <c r="B261" s="4" t="n"/>
      <c r="C261" s="5">
        <f>IF(B261="","",IFERROR(VLOOKUP(B261,'Products'!$A$2:$F$201,2,FALSE),"Product not found"))</f>
        <v/>
      </c>
      <c r="D261" s="4" t="n"/>
      <c r="E261" s="5">
        <f>IF(D261="","",IFERROR(VLOOKUP(D261,'Items'!$A$2:$L$201,2,FALSE),"Item not found"))</f>
        <v/>
      </c>
      <c r="F261" s="9" t="n"/>
      <c r="G261" s="4" t="n"/>
      <c r="H261" s="10">
        <f>IF(OR(F261="",G261=""),"",IFERROR(F261*VLOOKUP(G261,'Units'!$A$2:$D$13,4,FALSE),""))</f>
        <v/>
      </c>
      <c r="I261" s="5">
        <f>IF(D261="","",IFERROR(VLOOKUP(D261,'Items'!$A$2:$L$201,4,FALSE),""))</f>
        <v/>
      </c>
      <c r="J261" s="10">
        <f>IF(D261="","",IFERROR(VLOOKUP(D261,'Items'!$A$2:$L$201,10,FALSE),""))</f>
        <v/>
      </c>
      <c r="K261" s="10">
        <f>IF(OR(H261="",J261=""),"",H261*J261)</f>
        <v/>
      </c>
      <c r="L261" s="5">
        <f>IF(AND(B261="",D261=""),"",IF(B261="","Missing product",IF(D261="","Missing item",IF(C261="Product not found","Product not found",IF(E261="Item not found","Item not found",IF(OR(F261="",G261=""),"Missing quantity/unit",IF(IFERROR(VLOOKUP(G261,'Units'!$A$2:$D$13,3,FALSE),"")&lt;&gt;I261,"Unit mismatch",IF(J261="","Enter item cost","OK"))))))))</f>
        <v/>
      </c>
      <c r="M261" s="4" t="n"/>
    </row>
    <row r="262">
      <c r="A262" s="5">
        <f>IF(AND(B262="",D262=""),"",ROW()-1)</f>
        <v/>
      </c>
      <c r="B262" s="4" t="n"/>
      <c r="C262" s="5">
        <f>IF(B262="","",IFERROR(VLOOKUP(B262,'Products'!$A$2:$F$201,2,FALSE),"Product not found"))</f>
        <v/>
      </c>
      <c r="D262" s="4" t="n"/>
      <c r="E262" s="5">
        <f>IF(D262="","",IFERROR(VLOOKUP(D262,'Items'!$A$2:$L$201,2,FALSE),"Item not found"))</f>
        <v/>
      </c>
      <c r="F262" s="9" t="n"/>
      <c r="G262" s="4" t="n"/>
      <c r="H262" s="10">
        <f>IF(OR(F262="",G262=""),"",IFERROR(F262*VLOOKUP(G262,'Units'!$A$2:$D$13,4,FALSE),""))</f>
        <v/>
      </c>
      <c r="I262" s="5">
        <f>IF(D262="","",IFERROR(VLOOKUP(D262,'Items'!$A$2:$L$201,4,FALSE),""))</f>
        <v/>
      </c>
      <c r="J262" s="10">
        <f>IF(D262="","",IFERROR(VLOOKUP(D262,'Items'!$A$2:$L$201,10,FALSE),""))</f>
        <v/>
      </c>
      <c r="K262" s="10">
        <f>IF(OR(H262="",J262=""),"",H262*J262)</f>
        <v/>
      </c>
      <c r="L262" s="5">
        <f>IF(AND(B262="",D262=""),"",IF(B262="","Missing product",IF(D262="","Missing item",IF(C262="Product not found","Product not found",IF(E262="Item not found","Item not found",IF(OR(F262="",G262=""),"Missing quantity/unit",IF(IFERROR(VLOOKUP(G262,'Units'!$A$2:$D$13,3,FALSE),"")&lt;&gt;I262,"Unit mismatch",IF(J262="","Enter item cost","OK"))))))))</f>
        <v/>
      </c>
      <c r="M262" s="4" t="n"/>
    </row>
    <row r="263">
      <c r="A263" s="5">
        <f>IF(AND(B263="",D263=""),"",ROW()-1)</f>
        <v/>
      </c>
      <c r="B263" s="4" t="n"/>
      <c r="C263" s="5">
        <f>IF(B263="","",IFERROR(VLOOKUP(B263,'Products'!$A$2:$F$201,2,FALSE),"Product not found"))</f>
        <v/>
      </c>
      <c r="D263" s="4" t="n"/>
      <c r="E263" s="5">
        <f>IF(D263="","",IFERROR(VLOOKUP(D263,'Items'!$A$2:$L$201,2,FALSE),"Item not found"))</f>
        <v/>
      </c>
      <c r="F263" s="9" t="n"/>
      <c r="G263" s="4" t="n"/>
      <c r="H263" s="10">
        <f>IF(OR(F263="",G263=""),"",IFERROR(F263*VLOOKUP(G263,'Units'!$A$2:$D$13,4,FALSE),""))</f>
        <v/>
      </c>
      <c r="I263" s="5">
        <f>IF(D263="","",IFERROR(VLOOKUP(D263,'Items'!$A$2:$L$201,4,FALSE),""))</f>
        <v/>
      </c>
      <c r="J263" s="10">
        <f>IF(D263="","",IFERROR(VLOOKUP(D263,'Items'!$A$2:$L$201,10,FALSE),""))</f>
        <v/>
      </c>
      <c r="K263" s="10">
        <f>IF(OR(H263="",J263=""),"",H263*J263)</f>
        <v/>
      </c>
      <c r="L263" s="5">
        <f>IF(AND(B263="",D263=""),"",IF(B263="","Missing product",IF(D263="","Missing item",IF(C263="Product not found","Product not found",IF(E263="Item not found","Item not found",IF(OR(F263="",G263=""),"Missing quantity/unit",IF(IFERROR(VLOOKUP(G263,'Units'!$A$2:$D$13,3,FALSE),"")&lt;&gt;I263,"Unit mismatch",IF(J263="","Enter item cost","OK"))))))))</f>
        <v/>
      </c>
      <c r="M263" s="4" t="n"/>
    </row>
    <row r="264">
      <c r="A264" s="5">
        <f>IF(AND(B264="",D264=""),"",ROW()-1)</f>
        <v/>
      </c>
      <c r="B264" s="4" t="n"/>
      <c r="C264" s="5">
        <f>IF(B264="","",IFERROR(VLOOKUP(B264,'Products'!$A$2:$F$201,2,FALSE),"Product not found"))</f>
        <v/>
      </c>
      <c r="D264" s="4" t="n"/>
      <c r="E264" s="5">
        <f>IF(D264="","",IFERROR(VLOOKUP(D264,'Items'!$A$2:$L$201,2,FALSE),"Item not found"))</f>
        <v/>
      </c>
      <c r="F264" s="9" t="n"/>
      <c r="G264" s="4" t="n"/>
      <c r="H264" s="10">
        <f>IF(OR(F264="",G264=""),"",IFERROR(F264*VLOOKUP(G264,'Units'!$A$2:$D$13,4,FALSE),""))</f>
        <v/>
      </c>
      <c r="I264" s="5">
        <f>IF(D264="","",IFERROR(VLOOKUP(D264,'Items'!$A$2:$L$201,4,FALSE),""))</f>
        <v/>
      </c>
      <c r="J264" s="10">
        <f>IF(D264="","",IFERROR(VLOOKUP(D264,'Items'!$A$2:$L$201,10,FALSE),""))</f>
        <v/>
      </c>
      <c r="K264" s="10">
        <f>IF(OR(H264="",J264=""),"",H264*J264)</f>
        <v/>
      </c>
      <c r="L264" s="5">
        <f>IF(AND(B264="",D264=""),"",IF(B264="","Missing product",IF(D264="","Missing item",IF(C264="Product not found","Product not found",IF(E264="Item not found","Item not found",IF(OR(F264="",G264=""),"Missing quantity/unit",IF(IFERROR(VLOOKUP(G264,'Units'!$A$2:$D$13,3,FALSE),"")&lt;&gt;I264,"Unit mismatch",IF(J264="","Enter item cost","OK"))))))))</f>
        <v/>
      </c>
      <c r="M264" s="4" t="n"/>
    </row>
    <row r="265">
      <c r="A265" s="5">
        <f>IF(AND(B265="",D265=""),"",ROW()-1)</f>
        <v/>
      </c>
      <c r="B265" s="4" t="n"/>
      <c r="C265" s="5">
        <f>IF(B265="","",IFERROR(VLOOKUP(B265,'Products'!$A$2:$F$201,2,FALSE),"Product not found"))</f>
        <v/>
      </c>
      <c r="D265" s="4" t="n"/>
      <c r="E265" s="5">
        <f>IF(D265="","",IFERROR(VLOOKUP(D265,'Items'!$A$2:$L$201,2,FALSE),"Item not found"))</f>
        <v/>
      </c>
      <c r="F265" s="9" t="n"/>
      <c r="G265" s="4" t="n"/>
      <c r="H265" s="10">
        <f>IF(OR(F265="",G265=""),"",IFERROR(F265*VLOOKUP(G265,'Units'!$A$2:$D$13,4,FALSE),""))</f>
        <v/>
      </c>
      <c r="I265" s="5">
        <f>IF(D265="","",IFERROR(VLOOKUP(D265,'Items'!$A$2:$L$201,4,FALSE),""))</f>
        <v/>
      </c>
      <c r="J265" s="10">
        <f>IF(D265="","",IFERROR(VLOOKUP(D265,'Items'!$A$2:$L$201,10,FALSE),""))</f>
        <v/>
      </c>
      <c r="K265" s="10">
        <f>IF(OR(H265="",J265=""),"",H265*J265)</f>
        <v/>
      </c>
      <c r="L265" s="5">
        <f>IF(AND(B265="",D265=""),"",IF(B265="","Missing product",IF(D265="","Missing item",IF(C265="Product not found","Product not found",IF(E265="Item not found","Item not found",IF(OR(F265="",G265=""),"Missing quantity/unit",IF(IFERROR(VLOOKUP(G265,'Units'!$A$2:$D$13,3,FALSE),"")&lt;&gt;I265,"Unit mismatch",IF(J265="","Enter item cost","OK"))))))))</f>
        <v/>
      </c>
      <c r="M265" s="4" t="n"/>
    </row>
    <row r="266">
      <c r="A266" s="5">
        <f>IF(AND(B266="",D266=""),"",ROW()-1)</f>
        <v/>
      </c>
      <c r="B266" s="4" t="n"/>
      <c r="C266" s="5">
        <f>IF(B266="","",IFERROR(VLOOKUP(B266,'Products'!$A$2:$F$201,2,FALSE),"Product not found"))</f>
        <v/>
      </c>
      <c r="D266" s="4" t="n"/>
      <c r="E266" s="5">
        <f>IF(D266="","",IFERROR(VLOOKUP(D266,'Items'!$A$2:$L$201,2,FALSE),"Item not found"))</f>
        <v/>
      </c>
      <c r="F266" s="9" t="n"/>
      <c r="G266" s="4" t="n"/>
      <c r="H266" s="10">
        <f>IF(OR(F266="",G266=""),"",IFERROR(F266*VLOOKUP(G266,'Units'!$A$2:$D$13,4,FALSE),""))</f>
        <v/>
      </c>
      <c r="I266" s="5">
        <f>IF(D266="","",IFERROR(VLOOKUP(D266,'Items'!$A$2:$L$201,4,FALSE),""))</f>
        <v/>
      </c>
      <c r="J266" s="10">
        <f>IF(D266="","",IFERROR(VLOOKUP(D266,'Items'!$A$2:$L$201,10,FALSE),""))</f>
        <v/>
      </c>
      <c r="K266" s="10">
        <f>IF(OR(H266="",J266=""),"",H266*J266)</f>
        <v/>
      </c>
      <c r="L266" s="5">
        <f>IF(AND(B266="",D266=""),"",IF(B266="","Missing product",IF(D266="","Missing item",IF(C266="Product not found","Product not found",IF(E266="Item not found","Item not found",IF(OR(F266="",G266=""),"Missing quantity/unit",IF(IFERROR(VLOOKUP(G266,'Units'!$A$2:$D$13,3,FALSE),"")&lt;&gt;I266,"Unit mismatch",IF(J266="","Enter item cost","OK"))))))))</f>
        <v/>
      </c>
      <c r="M266" s="4" t="n"/>
    </row>
    <row r="267">
      <c r="A267" s="5">
        <f>IF(AND(B267="",D267=""),"",ROW()-1)</f>
        <v/>
      </c>
      <c r="B267" s="4" t="n"/>
      <c r="C267" s="5">
        <f>IF(B267="","",IFERROR(VLOOKUP(B267,'Products'!$A$2:$F$201,2,FALSE),"Product not found"))</f>
        <v/>
      </c>
      <c r="D267" s="4" t="n"/>
      <c r="E267" s="5">
        <f>IF(D267="","",IFERROR(VLOOKUP(D267,'Items'!$A$2:$L$201,2,FALSE),"Item not found"))</f>
        <v/>
      </c>
      <c r="F267" s="9" t="n"/>
      <c r="G267" s="4" t="n"/>
      <c r="H267" s="10">
        <f>IF(OR(F267="",G267=""),"",IFERROR(F267*VLOOKUP(G267,'Units'!$A$2:$D$13,4,FALSE),""))</f>
        <v/>
      </c>
      <c r="I267" s="5">
        <f>IF(D267="","",IFERROR(VLOOKUP(D267,'Items'!$A$2:$L$201,4,FALSE),""))</f>
        <v/>
      </c>
      <c r="J267" s="10">
        <f>IF(D267="","",IFERROR(VLOOKUP(D267,'Items'!$A$2:$L$201,10,FALSE),""))</f>
        <v/>
      </c>
      <c r="K267" s="10">
        <f>IF(OR(H267="",J267=""),"",H267*J267)</f>
        <v/>
      </c>
      <c r="L267" s="5">
        <f>IF(AND(B267="",D267=""),"",IF(B267="","Missing product",IF(D267="","Missing item",IF(C267="Product not found","Product not found",IF(E267="Item not found","Item not found",IF(OR(F267="",G267=""),"Missing quantity/unit",IF(IFERROR(VLOOKUP(G267,'Units'!$A$2:$D$13,3,FALSE),"")&lt;&gt;I267,"Unit mismatch",IF(J267="","Enter item cost","OK"))))))))</f>
        <v/>
      </c>
      <c r="M267" s="4" t="n"/>
    </row>
    <row r="268">
      <c r="A268" s="5">
        <f>IF(AND(B268="",D268=""),"",ROW()-1)</f>
        <v/>
      </c>
      <c r="B268" s="4" t="n"/>
      <c r="C268" s="5">
        <f>IF(B268="","",IFERROR(VLOOKUP(B268,'Products'!$A$2:$F$201,2,FALSE),"Product not found"))</f>
        <v/>
      </c>
      <c r="D268" s="4" t="n"/>
      <c r="E268" s="5">
        <f>IF(D268="","",IFERROR(VLOOKUP(D268,'Items'!$A$2:$L$201,2,FALSE),"Item not found"))</f>
        <v/>
      </c>
      <c r="F268" s="9" t="n"/>
      <c r="G268" s="4" t="n"/>
      <c r="H268" s="10">
        <f>IF(OR(F268="",G268=""),"",IFERROR(F268*VLOOKUP(G268,'Units'!$A$2:$D$13,4,FALSE),""))</f>
        <v/>
      </c>
      <c r="I268" s="5">
        <f>IF(D268="","",IFERROR(VLOOKUP(D268,'Items'!$A$2:$L$201,4,FALSE),""))</f>
        <v/>
      </c>
      <c r="J268" s="10">
        <f>IF(D268="","",IFERROR(VLOOKUP(D268,'Items'!$A$2:$L$201,10,FALSE),""))</f>
        <v/>
      </c>
      <c r="K268" s="10">
        <f>IF(OR(H268="",J268=""),"",H268*J268)</f>
        <v/>
      </c>
      <c r="L268" s="5">
        <f>IF(AND(B268="",D268=""),"",IF(B268="","Missing product",IF(D268="","Missing item",IF(C268="Product not found","Product not found",IF(E268="Item not found","Item not found",IF(OR(F268="",G268=""),"Missing quantity/unit",IF(IFERROR(VLOOKUP(G268,'Units'!$A$2:$D$13,3,FALSE),"")&lt;&gt;I268,"Unit mismatch",IF(J268="","Enter item cost","OK"))))))))</f>
        <v/>
      </c>
      <c r="M268" s="4" t="n"/>
    </row>
    <row r="269">
      <c r="A269" s="5">
        <f>IF(AND(B269="",D269=""),"",ROW()-1)</f>
        <v/>
      </c>
      <c r="B269" s="4" t="n"/>
      <c r="C269" s="5">
        <f>IF(B269="","",IFERROR(VLOOKUP(B269,'Products'!$A$2:$F$201,2,FALSE),"Product not found"))</f>
        <v/>
      </c>
      <c r="D269" s="4" t="n"/>
      <c r="E269" s="5">
        <f>IF(D269="","",IFERROR(VLOOKUP(D269,'Items'!$A$2:$L$201,2,FALSE),"Item not found"))</f>
        <v/>
      </c>
      <c r="F269" s="9" t="n"/>
      <c r="G269" s="4" t="n"/>
      <c r="H269" s="10">
        <f>IF(OR(F269="",G269=""),"",IFERROR(F269*VLOOKUP(G269,'Units'!$A$2:$D$13,4,FALSE),""))</f>
        <v/>
      </c>
      <c r="I269" s="5">
        <f>IF(D269="","",IFERROR(VLOOKUP(D269,'Items'!$A$2:$L$201,4,FALSE),""))</f>
        <v/>
      </c>
      <c r="J269" s="10">
        <f>IF(D269="","",IFERROR(VLOOKUP(D269,'Items'!$A$2:$L$201,10,FALSE),""))</f>
        <v/>
      </c>
      <c r="K269" s="10">
        <f>IF(OR(H269="",J269=""),"",H269*J269)</f>
        <v/>
      </c>
      <c r="L269" s="5">
        <f>IF(AND(B269="",D269=""),"",IF(B269="","Missing product",IF(D269="","Missing item",IF(C269="Product not found","Product not found",IF(E269="Item not found","Item not found",IF(OR(F269="",G269=""),"Missing quantity/unit",IF(IFERROR(VLOOKUP(G269,'Units'!$A$2:$D$13,3,FALSE),"")&lt;&gt;I269,"Unit mismatch",IF(J269="","Enter item cost","OK"))))))))</f>
        <v/>
      </c>
      <c r="M269" s="4" t="n"/>
    </row>
    <row r="270">
      <c r="A270" s="5">
        <f>IF(AND(B270="",D270=""),"",ROW()-1)</f>
        <v/>
      </c>
      <c r="B270" s="4" t="n"/>
      <c r="C270" s="5">
        <f>IF(B270="","",IFERROR(VLOOKUP(B270,'Products'!$A$2:$F$201,2,FALSE),"Product not found"))</f>
        <v/>
      </c>
      <c r="D270" s="4" t="n"/>
      <c r="E270" s="5">
        <f>IF(D270="","",IFERROR(VLOOKUP(D270,'Items'!$A$2:$L$201,2,FALSE),"Item not found"))</f>
        <v/>
      </c>
      <c r="F270" s="9" t="n"/>
      <c r="G270" s="4" t="n"/>
      <c r="H270" s="10">
        <f>IF(OR(F270="",G270=""),"",IFERROR(F270*VLOOKUP(G270,'Units'!$A$2:$D$13,4,FALSE),""))</f>
        <v/>
      </c>
      <c r="I270" s="5">
        <f>IF(D270="","",IFERROR(VLOOKUP(D270,'Items'!$A$2:$L$201,4,FALSE),""))</f>
        <v/>
      </c>
      <c r="J270" s="10">
        <f>IF(D270="","",IFERROR(VLOOKUP(D270,'Items'!$A$2:$L$201,10,FALSE),""))</f>
        <v/>
      </c>
      <c r="K270" s="10">
        <f>IF(OR(H270="",J270=""),"",H270*J270)</f>
        <v/>
      </c>
      <c r="L270" s="5">
        <f>IF(AND(B270="",D270=""),"",IF(B270="","Missing product",IF(D270="","Missing item",IF(C270="Product not found","Product not found",IF(E270="Item not found","Item not found",IF(OR(F270="",G270=""),"Missing quantity/unit",IF(IFERROR(VLOOKUP(G270,'Units'!$A$2:$D$13,3,FALSE),"")&lt;&gt;I270,"Unit mismatch",IF(J270="","Enter item cost","OK"))))))))</f>
        <v/>
      </c>
      <c r="M270" s="4" t="n"/>
    </row>
    <row r="271">
      <c r="A271" s="5">
        <f>IF(AND(B271="",D271=""),"",ROW()-1)</f>
        <v/>
      </c>
      <c r="B271" s="4" t="n"/>
      <c r="C271" s="5">
        <f>IF(B271="","",IFERROR(VLOOKUP(B271,'Products'!$A$2:$F$201,2,FALSE),"Product not found"))</f>
        <v/>
      </c>
      <c r="D271" s="4" t="n"/>
      <c r="E271" s="5">
        <f>IF(D271="","",IFERROR(VLOOKUP(D271,'Items'!$A$2:$L$201,2,FALSE),"Item not found"))</f>
        <v/>
      </c>
      <c r="F271" s="9" t="n"/>
      <c r="G271" s="4" t="n"/>
      <c r="H271" s="10">
        <f>IF(OR(F271="",G271=""),"",IFERROR(F271*VLOOKUP(G271,'Units'!$A$2:$D$13,4,FALSE),""))</f>
        <v/>
      </c>
      <c r="I271" s="5">
        <f>IF(D271="","",IFERROR(VLOOKUP(D271,'Items'!$A$2:$L$201,4,FALSE),""))</f>
        <v/>
      </c>
      <c r="J271" s="10">
        <f>IF(D271="","",IFERROR(VLOOKUP(D271,'Items'!$A$2:$L$201,10,FALSE),""))</f>
        <v/>
      </c>
      <c r="K271" s="10">
        <f>IF(OR(H271="",J271=""),"",H271*J271)</f>
        <v/>
      </c>
      <c r="L271" s="5">
        <f>IF(AND(B271="",D271=""),"",IF(B271="","Missing product",IF(D271="","Missing item",IF(C271="Product not found","Product not found",IF(E271="Item not found","Item not found",IF(OR(F271="",G271=""),"Missing quantity/unit",IF(IFERROR(VLOOKUP(G271,'Units'!$A$2:$D$13,3,FALSE),"")&lt;&gt;I271,"Unit mismatch",IF(J271="","Enter item cost","OK"))))))))</f>
        <v/>
      </c>
      <c r="M271" s="4" t="n"/>
    </row>
    <row r="272">
      <c r="A272" s="5">
        <f>IF(AND(B272="",D272=""),"",ROW()-1)</f>
        <v/>
      </c>
      <c r="B272" s="4" t="n"/>
      <c r="C272" s="5">
        <f>IF(B272="","",IFERROR(VLOOKUP(B272,'Products'!$A$2:$F$201,2,FALSE),"Product not found"))</f>
        <v/>
      </c>
      <c r="D272" s="4" t="n"/>
      <c r="E272" s="5">
        <f>IF(D272="","",IFERROR(VLOOKUP(D272,'Items'!$A$2:$L$201,2,FALSE),"Item not found"))</f>
        <v/>
      </c>
      <c r="F272" s="9" t="n"/>
      <c r="G272" s="4" t="n"/>
      <c r="H272" s="10">
        <f>IF(OR(F272="",G272=""),"",IFERROR(F272*VLOOKUP(G272,'Units'!$A$2:$D$13,4,FALSE),""))</f>
        <v/>
      </c>
      <c r="I272" s="5">
        <f>IF(D272="","",IFERROR(VLOOKUP(D272,'Items'!$A$2:$L$201,4,FALSE),""))</f>
        <v/>
      </c>
      <c r="J272" s="10">
        <f>IF(D272="","",IFERROR(VLOOKUP(D272,'Items'!$A$2:$L$201,10,FALSE),""))</f>
        <v/>
      </c>
      <c r="K272" s="10">
        <f>IF(OR(H272="",J272=""),"",H272*J272)</f>
        <v/>
      </c>
      <c r="L272" s="5">
        <f>IF(AND(B272="",D272=""),"",IF(B272="","Missing product",IF(D272="","Missing item",IF(C272="Product not found","Product not found",IF(E272="Item not found","Item not found",IF(OR(F272="",G272=""),"Missing quantity/unit",IF(IFERROR(VLOOKUP(G272,'Units'!$A$2:$D$13,3,FALSE),"")&lt;&gt;I272,"Unit mismatch",IF(J272="","Enter item cost","OK"))))))))</f>
        <v/>
      </c>
      <c r="M272" s="4" t="n"/>
    </row>
    <row r="273">
      <c r="A273" s="5">
        <f>IF(AND(B273="",D273=""),"",ROW()-1)</f>
        <v/>
      </c>
      <c r="B273" s="4" t="n"/>
      <c r="C273" s="5">
        <f>IF(B273="","",IFERROR(VLOOKUP(B273,'Products'!$A$2:$F$201,2,FALSE),"Product not found"))</f>
        <v/>
      </c>
      <c r="D273" s="4" t="n"/>
      <c r="E273" s="5">
        <f>IF(D273="","",IFERROR(VLOOKUP(D273,'Items'!$A$2:$L$201,2,FALSE),"Item not found"))</f>
        <v/>
      </c>
      <c r="F273" s="9" t="n"/>
      <c r="G273" s="4" t="n"/>
      <c r="H273" s="10">
        <f>IF(OR(F273="",G273=""),"",IFERROR(F273*VLOOKUP(G273,'Units'!$A$2:$D$13,4,FALSE),""))</f>
        <v/>
      </c>
      <c r="I273" s="5">
        <f>IF(D273="","",IFERROR(VLOOKUP(D273,'Items'!$A$2:$L$201,4,FALSE),""))</f>
        <v/>
      </c>
      <c r="J273" s="10">
        <f>IF(D273="","",IFERROR(VLOOKUP(D273,'Items'!$A$2:$L$201,10,FALSE),""))</f>
        <v/>
      </c>
      <c r="K273" s="10">
        <f>IF(OR(H273="",J273=""),"",H273*J273)</f>
        <v/>
      </c>
      <c r="L273" s="5">
        <f>IF(AND(B273="",D273=""),"",IF(B273="","Missing product",IF(D273="","Missing item",IF(C273="Product not found","Product not found",IF(E273="Item not found","Item not found",IF(OR(F273="",G273=""),"Missing quantity/unit",IF(IFERROR(VLOOKUP(G273,'Units'!$A$2:$D$13,3,FALSE),"")&lt;&gt;I273,"Unit mismatch",IF(J273="","Enter item cost","OK"))))))))</f>
        <v/>
      </c>
      <c r="M273" s="4" t="n"/>
    </row>
    <row r="274">
      <c r="A274" s="5">
        <f>IF(AND(B274="",D274=""),"",ROW()-1)</f>
        <v/>
      </c>
      <c r="B274" s="4" t="n"/>
      <c r="C274" s="5">
        <f>IF(B274="","",IFERROR(VLOOKUP(B274,'Products'!$A$2:$F$201,2,FALSE),"Product not found"))</f>
        <v/>
      </c>
      <c r="D274" s="4" t="n"/>
      <c r="E274" s="5">
        <f>IF(D274="","",IFERROR(VLOOKUP(D274,'Items'!$A$2:$L$201,2,FALSE),"Item not found"))</f>
        <v/>
      </c>
      <c r="F274" s="9" t="n"/>
      <c r="G274" s="4" t="n"/>
      <c r="H274" s="10">
        <f>IF(OR(F274="",G274=""),"",IFERROR(F274*VLOOKUP(G274,'Units'!$A$2:$D$13,4,FALSE),""))</f>
        <v/>
      </c>
      <c r="I274" s="5">
        <f>IF(D274="","",IFERROR(VLOOKUP(D274,'Items'!$A$2:$L$201,4,FALSE),""))</f>
        <v/>
      </c>
      <c r="J274" s="10">
        <f>IF(D274="","",IFERROR(VLOOKUP(D274,'Items'!$A$2:$L$201,10,FALSE),""))</f>
        <v/>
      </c>
      <c r="K274" s="10">
        <f>IF(OR(H274="",J274=""),"",H274*J274)</f>
        <v/>
      </c>
      <c r="L274" s="5">
        <f>IF(AND(B274="",D274=""),"",IF(B274="","Missing product",IF(D274="","Missing item",IF(C274="Product not found","Product not found",IF(E274="Item not found","Item not found",IF(OR(F274="",G274=""),"Missing quantity/unit",IF(IFERROR(VLOOKUP(G274,'Units'!$A$2:$D$13,3,FALSE),"")&lt;&gt;I274,"Unit mismatch",IF(J274="","Enter item cost","OK"))))))))</f>
        <v/>
      </c>
      <c r="M274" s="4" t="n"/>
    </row>
    <row r="275">
      <c r="A275" s="5">
        <f>IF(AND(B275="",D275=""),"",ROW()-1)</f>
        <v/>
      </c>
      <c r="B275" s="4" t="n"/>
      <c r="C275" s="5">
        <f>IF(B275="","",IFERROR(VLOOKUP(B275,'Products'!$A$2:$F$201,2,FALSE),"Product not found"))</f>
        <v/>
      </c>
      <c r="D275" s="4" t="n"/>
      <c r="E275" s="5">
        <f>IF(D275="","",IFERROR(VLOOKUP(D275,'Items'!$A$2:$L$201,2,FALSE),"Item not found"))</f>
        <v/>
      </c>
      <c r="F275" s="9" t="n"/>
      <c r="G275" s="4" t="n"/>
      <c r="H275" s="10">
        <f>IF(OR(F275="",G275=""),"",IFERROR(F275*VLOOKUP(G275,'Units'!$A$2:$D$13,4,FALSE),""))</f>
        <v/>
      </c>
      <c r="I275" s="5">
        <f>IF(D275="","",IFERROR(VLOOKUP(D275,'Items'!$A$2:$L$201,4,FALSE),""))</f>
        <v/>
      </c>
      <c r="J275" s="10">
        <f>IF(D275="","",IFERROR(VLOOKUP(D275,'Items'!$A$2:$L$201,10,FALSE),""))</f>
        <v/>
      </c>
      <c r="K275" s="10">
        <f>IF(OR(H275="",J275=""),"",H275*J275)</f>
        <v/>
      </c>
      <c r="L275" s="5">
        <f>IF(AND(B275="",D275=""),"",IF(B275="","Missing product",IF(D275="","Missing item",IF(C275="Product not found","Product not found",IF(E275="Item not found","Item not found",IF(OR(F275="",G275=""),"Missing quantity/unit",IF(IFERROR(VLOOKUP(G275,'Units'!$A$2:$D$13,3,FALSE),"")&lt;&gt;I275,"Unit mismatch",IF(J275="","Enter item cost","OK"))))))))</f>
        <v/>
      </c>
      <c r="M275" s="4" t="n"/>
    </row>
    <row r="276">
      <c r="A276" s="5">
        <f>IF(AND(B276="",D276=""),"",ROW()-1)</f>
        <v/>
      </c>
      <c r="B276" s="4" t="n"/>
      <c r="C276" s="5">
        <f>IF(B276="","",IFERROR(VLOOKUP(B276,'Products'!$A$2:$F$201,2,FALSE),"Product not found"))</f>
        <v/>
      </c>
      <c r="D276" s="4" t="n"/>
      <c r="E276" s="5">
        <f>IF(D276="","",IFERROR(VLOOKUP(D276,'Items'!$A$2:$L$201,2,FALSE),"Item not found"))</f>
        <v/>
      </c>
      <c r="F276" s="9" t="n"/>
      <c r="G276" s="4" t="n"/>
      <c r="H276" s="10">
        <f>IF(OR(F276="",G276=""),"",IFERROR(F276*VLOOKUP(G276,'Units'!$A$2:$D$13,4,FALSE),""))</f>
        <v/>
      </c>
      <c r="I276" s="5">
        <f>IF(D276="","",IFERROR(VLOOKUP(D276,'Items'!$A$2:$L$201,4,FALSE),""))</f>
        <v/>
      </c>
      <c r="J276" s="10">
        <f>IF(D276="","",IFERROR(VLOOKUP(D276,'Items'!$A$2:$L$201,10,FALSE),""))</f>
        <v/>
      </c>
      <c r="K276" s="10">
        <f>IF(OR(H276="",J276=""),"",H276*J276)</f>
        <v/>
      </c>
      <c r="L276" s="5">
        <f>IF(AND(B276="",D276=""),"",IF(B276="","Missing product",IF(D276="","Missing item",IF(C276="Product not found","Product not found",IF(E276="Item not found","Item not found",IF(OR(F276="",G276=""),"Missing quantity/unit",IF(IFERROR(VLOOKUP(G276,'Units'!$A$2:$D$13,3,FALSE),"")&lt;&gt;I276,"Unit mismatch",IF(J276="","Enter item cost","OK"))))))))</f>
        <v/>
      </c>
      <c r="M276" s="4" t="n"/>
    </row>
    <row r="277">
      <c r="A277" s="5">
        <f>IF(AND(B277="",D277=""),"",ROW()-1)</f>
        <v/>
      </c>
      <c r="B277" s="4" t="n"/>
      <c r="C277" s="5">
        <f>IF(B277="","",IFERROR(VLOOKUP(B277,'Products'!$A$2:$F$201,2,FALSE),"Product not found"))</f>
        <v/>
      </c>
      <c r="D277" s="4" t="n"/>
      <c r="E277" s="5">
        <f>IF(D277="","",IFERROR(VLOOKUP(D277,'Items'!$A$2:$L$201,2,FALSE),"Item not found"))</f>
        <v/>
      </c>
      <c r="F277" s="9" t="n"/>
      <c r="G277" s="4" t="n"/>
      <c r="H277" s="10">
        <f>IF(OR(F277="",G277=""),"",IFERROR(F277*VLOOKUP(G277,'Units'!$A$2:$D$13,4,FALSE),""))</f>
        <v/>
      </c>
      <c r="I277" s="5">
        <f>IF(D277="","",IFERROR(VLOOKUP(D277,'Items'!$A$2:$L$201,4,FALSE),""))</f>
        <v/>
      </c>
      <c r="J277" s="10">
        <f>IF(D277="","",IFERROR(VLOOKUP(D277,'Items'!$A$2:$L$201,10,FALSE),""))</f>
        <v/>
      </c>
      <c r="K277" s="10">
        <f>IF(OR(H277="",J277=""),"",H277*J277)</f>
        <v/>
      </c>
      <c r="L277" s="5">
        <f>IF(AND(B277="",D277=""),"",IF(B277="","Missing product",IF(D277="","Missing item",IF(C277="Product not found","Product not found",IF(E277="Item not found","Item not found",IF(OR(F277="",G277=""),"Missing quantity/unit",IF(IFERROR(VLOOKUP(G277,'Units'!$A$2:$D$13,3,FALSE),"")&lt;&gt;I277,"Unit mismatch",IF(J277="","Enter item cost","OK"))))))))</f>
        <v/>
      </c>
      <c r="M277" s="4" t="n"/>
    </row>
    <row r="278">
      <c r="A278" s="5">
        <f>IF(AND(B278="",D278=""),"",ROW()-1)</f>
        <v/>
      </c>
      <c r="B278" s="4" t="n"/>
      <c r="C278" s="5">
        <f>IF(B278="","",IFERROR(VLOOKUP(B278,'Products'!$A$2:$F$201,2,FALSE),"Product not found"))</f>
        <v/>
      </c>
      <c r="D278" s="4" t="n"/>
      <c r="E278" s="5">
        <f>IF(D278="","",IFERROR(VLOOKUP(D278,'Items'!$A$2:$L$201,2,FALSE),"Item not found"))</f>
        <v/>
      </c>
      <c r="F278" s="9" t="n"/>
      <c r="G278" s="4" t="n"/>
      <c r="H278" s="10">
        <f>IF(OR(F278="",G278=""),"",IFERROR(F278*VLOOKUP(G278,'Units'!$A$2:$D$13,4,FALSE),""))</f>
        <v/>
      </c>
      <c r="I278" s="5">
        <f>IF(D278="","",IFERROR(VLOOKUP(D278,'Items'!$A$2:$L$201,4,FALSE),""))</f>
        <v/>
      </c>
      <c r="J278" s="10">
        <f>IF(D278="","",IFERROR(VLOOKUP(D278,'Items'!$A$2:$L$201,10,FALSE),""))</f>
        <v/>
      </c>
      <c r="K278" s="10">
        <f>IF(OR(H278="",J278=""),"",H278*J278)</f>
        <v/>
      </c>
      <c r="L278" s="5">
        <f>IF(AND(B278="",D278=""),"",IF(B278="","Missing product",IF(D278="","Missing item",IF(C278="Product not found","Product not found",IF(E278="Item not found","Item not found",IF(OR(F278="",G278=""),"Missing quantity/unit",IF(IFERROR(VLOOKUP(G278,'Units'!$A$2:$D$13,3,FALSE),"")&lt;&gt;I278,"Unit mismatch",IF(J278="","Enter item cost","OK"))))))))</f>
        <v/>
      </c>
      <c r="M278" s="4" t="n"/>
    </row>
    <row r="279">
      <c r="A279" s="5">
        <f>IF(AND(B279="",D279=""),"",ROW()-1)</f>
        <v/>
      </c>
      <c r="B279" s="4" t="n"/>
      <c r="C279" s="5">
        <f>IF(B279="","",IFERROR(VLOOKUP(B279,'Products'!$A$2:$F$201,2,FALSE),"Product not found"))</f>
        <v/>
      </c>
      <c r="D279" s="4" t="n"/>
      <c r="E279" s="5">
        <f>IF(D279="","",IFERROR(VLOOKUP(D279,'Items'!$A$2:$L$201,2,FALSE),"Item not found"))</f>
        <v/>
      </c>
      <c r="F279" s="9" t="n"/>
      <c r="G279" s="4" t="n"/>
      <c r="H279" s="10">
        <f>IF(OR(F279="",G279=""),"",IFERROR(F279*VLOOKUP(G279,'Units'!$A$2:$D$13,4,FALSE),""))</f>
        <v/>
      </c>
      <c r="I279" s="5">
        <f>IF(D279="","",IFERROR(VLOOKUP(D279,'Items'!$A$2:$L$201,4,FALSE),""))</f>
        <v/>
      </c>
      <c r="J279" s="10">
        <f>IF(D279="","",IFERROR(VLOOKUP(D279,'Items'!$A$2:$L$201,10,FALSE),""))</f>
        <v/>
      </c>
      <c r="K279" s="10">
        <f>IF(OR(H279="",J279=""),"",H279*J279)</f>
        <v/>
      </c>
      <c r="L279" s="5">
        <f>IF(AND(B279="",D279=""),"",IF(B279="","Missing product",IF(D279="","Missing item",IF(C279="Product not found","Product not found",IF(E279="Item not found","Item not found",IF(OR(F279="",G279=""),"Missing quantity/unit",IF(IFERROR(VLOOKUP(G279,'Units'!$A$2:$D$13,3,FALSE),"")&lt;&gt;I279,"Unit mismatch",IF(J279="","Enter item cost","OK"))))))))</f>
        <v/>
      </c>
      <c r="M279" s="4" t="n"/>
    </row>
    <row r="280">
      <c r="A280" s="5">
        <f>IF(AND(B280="",D280=""),"",ROW()-1)</f>
        <v/>
      </c>
      <c r="B280" s="4" t="n"/>
      <c r="C280" s="5">
        <f>IF(B280="","",IFERROR(VLOOKUP(B280,'Products'!$A$2:$F$201,2,FALSE),"Product not found"))</f>
        <v/>
      </c>
      <c r="D280" s="4" t="n"/>
      <c r="E280" s="5">
        <f>IF(D280="","",IFERROR(VLOOKUP(D280,'Items'!$A$2:$L$201,2,FALSE),"Item not found"))</f>
        <v/>
      </c>
      <c r="F280" s="9" t="n"/>
      <c r="G280" s="4" t="n"/>
      <c r="H280" s="10">
        <f>IF(OR(F280="",G280=""),"",IFERROR(F280*VLOOKUP(G280,'Units'!$A$2:$D$13,4,FALSE),""))</f>
        <v/>
      </c>
      <c r="I280" s="5">
        <f>IF(D280="","",IFERROR(VLOOKUP(D280,'Items'!$A$2:$L$201,4,FALSE),""))</f>
        <v/>
      </c>
      <c r="J280" s="10">
        <f>IF(D280="","",IFERROR(VLOOKUP(D280,'Items'!$A$2:$L$201,10,FALSE),""))</f>
        <v/>
      </c>
      <c r="K280" s="10">
        <f>IF(OR(H280="",J280=""),"",H280*J280)</f>
        <v/>
      </c>
      <c r="L280" s="5">
        <f>IF(AND(B280="",D280=""),"",IF(B280="","Missing product",IF(D280="","Missing item",IF(C280="Product not found","Product not found",IF(E280="Item not found","Item not found",IF(OR(F280="",G280=""),"Missing quantity/unit",IF(IFERROR(VLOOKUP(G280,'Units'!$A$2:$D$13,3,FALSE),"")&lt;&gt;I280,"Unit mismatch",IF(J280="","Enter item cost","OK"))))))))</f>
        <v/>
      </c>
      <c r="M280" s="4" t="n"/>
    </row>
    <row r="281">
      <c r="A281" s="5">
        <f>IF(AND(B281="",D281=""),"",ROW()-1)</f>
        <v/>
      </c>
      <c r="B281" s="4" t="n"/>
      <c r="C281" s="5">
        <f>IF(B281="","",IFERROR(VLOOKUP(B281,'Products'!$A$2:$F$201,2,FALSE),"Product not found"))</f>
        <v/>
      </c>
      <c r="D281" s="4" t="n"/>
      <c r="E281" s="5">
        <f>IF(D281="","",IFERROR(VLOOKUP(D281,'Items'!$A$2:$L$201,2,FALSE),"Item not found"))</f>
        <v/>
      </c>
      <c r="F281" s="9" t="n"/>
      <c r="G281" s="4" t="n"/>
      <c r="H281" s="10">
        <f>IF(OR(F281="",G281=""),"",IFERROR(F281*VLOOKUP(G281,'Units'!$A$2:$D$13,4,FALSE),""))</f>
        <v/>
      </c>
      <c r="I281" s="5">
        <f>IF(D281="","",IFERROR(VLOOKUP(D281,'Items'!$A$2:$L$201,4,FALSE),""))</f>
        <v/>
      </c>
      <c r="J281" s="10">
        <f>IF(D281="","",IFERROR(VLOOKUP(D281,'Items'!$A$2:$L$201,10,FALSE),""))</f>
        <v/>
      </c>
      <c r="K281" s="10">
        <f>IF(OR(H281="",J281=""),"",H281*J281)</f>
        <v/>
      </c>
      <c r="L281" s="5">
        <f>IF(AND(B281="",D281=""),"",IF(B281="","Missing product",IF(D281="","Missing item",IF(C281="Product not found","Product not found",IF(E281="Item not found","Item not found",IF(OR(F281="",G281=""),"Missing quantity/unit",IF(IFERROR(VLOOKUP(G281,'Units'!$A$2:$D$13,3,FALSE),"")&lt;&gt;I281,"Unit mismatch",IF(J281="","Enter item cost","OK"))))))))</f>
        <v/>
      </c>
      <c r="M281" s="4" t="n"/>
    </row>
    <row r="282">
      <c r="A282" s="5">
        <f>IF(AND(B282="",D282=""),"",ROW()-1)</f>
        <v/>
      </c>
      <c r="B282" s="4" t="n"/>
      <c r="C282" s="5">
        <f>IF(B282="","",IFERROR(VLOOKUP(B282,'Products'!$A$2:$F$201,2,FALSE),"Product not found"))</f>
        <v/>
      </c>
      <c r="D282" s="4" t="n"/>
      <c r="E282" s="5">
        <f>IF(D282="","",IFERROR(VLOOKUP(D282,'Items'!$A$2:$L$201,2,FALSE),"Item not found"))</f>
        <v/>
      </c>
      <c r="F282" s="9" t="n"/>
      <c r="G282" s="4" t="n"/>
      <c r="H282" s="10">
        <f>IF(OR(F282="",G282=""),"",IFERROR(F282*VLOOKUP(G282,'Units'!$A$2:$D$13,4,FALSE),""))</f>
        <v/>
      </c>
      <c r="I282" s="5">
        <f>IF(D282="","",IFERROR(VLOOKUP(D282,'Items'!$A$2:$L$201,4,FALSE),""))</f>
        <v/>
      </c>
      <c r="J282" s="10">
        <f>IF(D282="","",IFERROR(VLOOKUP(D282,'Items'!$A$2:$L$201,10,FALSE),""))</f>
        <v/>
      </c>
      <c r="K282" s="10">
        <f>IF(OR(H282="",J282=""),"",H282*J282)</f>
        <v/>
      </c>
      <c r="L282" s="5">
        <f>IF(AND(B282="",D282=""),"",IF(B282="","Missing product",IF(D282="","Missing item",IF(C282="Product not found","Product not found",IF(E282="Item not found","Item not found",IF(OR(F282="",G282=""),"Missing quantity/unit",IF(IFERROR(VLOOKUP(G282,'Units'!$A$2:$D$13,3,FALSE),"")&lt;&gt;I282,"Unit mismatch",IF(J282="","Enter item cost","OK"))))))))</f>
        <v/>
      </c>
      <c r="M282" s="4" t="n"/>
    </row>
    <row r="283">
      <c r="A283" s="5">
        <f>IF(AND(B283="",D283=""),"",ROW()-1)</f>
        <v/>
      </c>
      <c r="B283" s="4" t="n"/>
      <c r="C283" s="5">
        <f>IF(B283="","",IFERROR(VLOOKUP(B283,'Products'!$A$2:$F$201,2,FALSE),"Product not found"))</f>
        <v/>
      </c>
      <c r="D283" s="4" t="n"/>
      <c r="E283" s="5">
        <f>IF(D283="","",IFERROR(VLOOKUP(D283,'Items'!$A$2:$L$201,2,FALSE),"Item not found"))</f>
        <v/>
      </c>
      <c r="F283" s="9" t="n"/>
      <c r="G283" s="4" t="n"/>
      <c r="H283" s="10">
        <f>IF(OR(F283="",G283=""),"",IFERROR(F283*VLOOKUP(G283,'Units'!$A$2:$D$13,4,FALSE),""))</f>
        <v/>
      </c>
      <c r="I283" s="5">
        <f>IF(D283="","",IFERROR(VLOOKUP(D283,'Items'!$A$2:$L$201,4,FALSE),""))</f>
        <v/>
      </c>
      <c r="J283" s="10">
        <f>IF(D283="","",IFERROR(VLOOKUP(D283,'Items'!$A$2:$L$201,10,FALSE),""))</f>
        <v/>
      </c>
      <c r="K283" s="10">
        <f>IF(OR(H283="",J283=""),"",H283*J283)</f>
        <v/>
      </c>
      <c r="L283" s="5">
        <f>IF(AND(B283="",D283=""),"",IF(B283="","Missing product",IF(D283="","Missing item",IF(C283="Product not found","Product not found",IF(E283="Item not found","Item not found",IF(OR(F283="",G283=""),"Missing quantity/unit",IF(IFERROR(VLOOKUP(G283,'Units'!$A$2:$D$13,3,FALSE),"")&lt;&gt;I283,"Unit mismatch",IF(J283="","Enter item cost","OK"))))))))</f>
        <v/>
      </c>
      <c r="M283" s="4" t="n"/>
    </row>
    <row r="284">
      <c r="A284" s="5">
        <f>IF(AND(B284="",D284=""),"",ROW()-1)</f>
        <v/>
      </c>
      <c r="B284" s="4" t="n"/>
      <c r="C284" s="5">
        <f>IF(B284="","",IFERROR(VLOOKUP(B284,'Products'!$A$2:$F$201,2,FALSE),"Product not found"))</f>
        <v/>
      </c>
      <c r="D284" s="4" t="n"/>
      <c r="E284" s="5">
        <f>IF(D284="","",IFERROR(VLOOKUP(D284,'Items'!$A$2:$L$201,2,FALSE),"Item not found"))</f>
        <v/>
      </c>
      <c r="F284" s="9" t="n"/>
      <c r="G284" s="4" t="n"/>
      <c r="H284" s="10">
        <f>IF(OR(F284="",G284=""),"",IFERROR(F284*VLOOKUP(G284,'Units'!$A$2:$D$13,4,FALSE),""))</f>
        <v/>
      </c>
      <c r="I284" s="5">
        <f>IF(D284="","",IFERROR(VLOOKUP(D284,'Items'!$A$2:$L$201,4,FALSE),""))</f>
        <v/>
      </c>
      <c r="J284" s="10">
        <f>IF(D284="","",IFERROR(VLOOKUP(D284,'Items'!$A$2:$L$201,10,FALSE),""))</f>
        <v/>
      </c>
      <c r="K284" s="10">
        <f>IF(OR(H284="",J284=""),"",H284*J284)</f>
        <v/>
      </c>
      <c r="L284" s="5">
        <f>IF(AND(B284="",D284=""),"",IF(B284="","Missing product",IF(D284="","Missing item",IF(C284="Product not found","Product not found",IF(E284="Item not found","Item not found",IF(OR(F284="",G284=""),"Missing quantity/unit",IF(IFERROR(VLOOKUP(G284,'Units'!$A$2:$D$13,3,FALSE),"")&lt;&gt;I284,"Unit mismatch",IF(J284="","Enter item cost","OK"))))))))</f>
        <v/>
      </c>
      <c r="M284" s="4" t="n"/>
    </row>
    <row r="285">
      <c r="A285" s="5">
        <f>IF(AND(B285="",D285=""),"",ROW()-1)</f>
        <v/>
      </c>
      <c r="B285" s="4" t="n"/>
      <c r="C285" s="5">
        <f>IF(B285="","",IFERROR(VLOOKUP(B285,'Products'!$A$2:$F$201,2,FALSE),"Product not found"))</f>
        <v/>
      </c>
      <c r="D285" s="4" t="n"/>
      <c r="E285" s="5">
        <f>IF(D285="","",IFERROR(VLOOKUP(D285,'Items'!$A$2:$L$201,2,FALSE),"Item not found"))</f>
        <v/>
      </c>
      <c r="F285" s="9" t="n"/>
      <c r="G285" s="4" t="n"/>
      <c r="H285" s="10">
        <f>IF(OR(F285="",G285=""),"",IFERROR(F285*VLOOKUP(G285,'Units'!$A$2:$D$13,4,FALSE),""))</f>
        <v/>
      </c>
      <c r="I285" s="5">
        <f>IF(D285="","",IFERROR(VLOOKUP(D285,'Items'!$A$2:$L$201,4,FALSE),""))</f>
        <v/>
      </c>
      <c r="J285" s="10">
        <f>IF(D285="","",IFERROR(VLOOKUP(D285,'Items'!$A$2:$L$201,10,FALSE),""))</f>
        <v/>
      </c>
      <c r="K285" s="10">
        <f>IF(OR(H285="",J285=""),"",H285*J285)</f>
        <v/>
      </c>
      <c r="L285" s="5">
        <f>IF(AND(B285="",D285=""),"",IF(B285="","Missing product",IF(D285="","Missing item",IF(C285="Product not found","Product not found",IF(E285="Item not found","Item not found",IF(OR(F285="",G285=""),"Missing quantity/unit",IF(IFERROR(VLOOKUP(G285,'Units'!$A$2:$D$13,3,FALSE),"")&lt;&gt;I285,"Unit mismatch",IF(J285="","Enter item cost","OK"))))))))</f>
        <v/>
      </c>
      <c r="M285" s="4" t="n"/>
    </row>
    <row r="286">
      <c r="A286" s="5">
        <f>IF(AND(B286="",D286=""),"",ROW()-1)</f>
        <v/>
      </c>
      <c r="B286" s="4" t="n"/>
      <c r="C286" s="5">
        <f>IF(B286="","",IFERROR(VLOOKUP(B286,'Products'!$A$2:$F$201,2,FALSE),"Product not found"))</f>
        <v/>
      </c>
      <c r="D286" s="4" t="n"/>
      <c r="E286" s="5">
        <f>IF(D286="","",IFERROR(VLOOKUP(D286,'Items'!$A$2:$L$201,2,FALSE),"Item not found"))</f>
        <v/>
      </c>
      <c r="F286" s="9" t="n"/>
      <c r="G286" s="4" t="n"/>
      <c r="H286" s="10">
        <f>IF(OR(F286="",G286=""),"",IFERROR(F286*VLOOKUP(G286,'Units'!$A$2:$D$13,4,FALSE),""))</f>
        <v/>
      </c>
      <c r="I286" s="5">
        <f>IF(D286="","",IFERROR(VLOOKUP(D286,'Items'!$A$2:$L$201,4,FALSE),""))</f>
        <v/>
      </c>
      <c r="J286" s="10">
        <f>IF(D286="","",IFERROR(VLOOKUP(D286,'Items'!$A$2:$L$201,10,FALSE),""))</f>
        <v/>
      </c>
      <c r="K286" s="10">
        <f>IF(OR(H286="",J286=""),"",H286*J286)</f>
        <v/>
      </c>
      <c r="L286" s="5">
        <f>IF(AND(B286="",D286=""),"",IF(B286="","Missing product",IF(D286="","Missing item",IF(C286="Product not found","Product not found",IF(E286="Item not found","Item not found",IF(OR(F286="",G286=""),"Missing quantity/unit",IF(IFERROR(VLOOKUP(G286,'Units'!$A$2:$D$13,3,FALSE),"")&lt;&gt;I286,"Unit mismatch",IF(J286="","Enter item cost","OK"))))))))</f>
        <v/>
      </c>
      <c r="M286" s="4" t="n"/>
    </row>
    <row r="287">
      <c r="A287" s="5">
        <f>IF(AND(B287="",D287=""),"",ROW()-1)</f>
        <v/>
      </c>
      <c r="B287" s="4" t="n"/>
      <c r="C287" s="5">
        <f>IF(B287="","",IFERROR(VLOOKUP(B287,'Products'!$A$2:$F$201,2,FALSE),"Product not found"))</f>
        <v/>
      </c>
      <c r="D287" s="4" t="n"/>
      <c r="E287" s="5">
        <f>IF(D287="","",IFERROR(VLOOKUP(D287,'Items'!$A$2:$L$201,2,FALSE),"Item not found"))</f>
        <v/>
      </c>
      <c r="F287" s="9" t="n"/>
      <c r="G287" s="4" t="n"/>
      <c r="H287" s="10">
        <f>IF(OR(F287="",G287=""),"",IFERROR(F287*VLOOKUP(G287,'Units'!$A$2:$D$13,4,FALSE),""))</f>
        <v/>
      </c>
      <c r="I287" s="5">
        <f>IF(D287="","",IFERROR(VLOOKUP(D287,'Items'!$A$2:$L$201,4,FALSE),""))</f>
        <v/>
      </c>
      <c r="J287" s="10">
        <f>IF(D287="","",IFERROR(VLOOKUP(D287,'Items'!$A$2:$L$201,10,FALSE),""))</f>
        <v/>
      </c>
      <c r="K287" s="10">
        <f>IF(OR(H287="",J287=""),"",H287*J287)</f>
        <v/>
      </c>
      <c r="L287" s="5">
        <f>IF(AND(B287="",D287=""),"",IF(B287="","Missing product",IF(D287="","Missing item",IF(C287="Product not found","Product not found",IF(E287="Item not found","Item not found",IF(OR(F287="",G287=""),"Missing quantity/unit",IF(IFERROR(VLOOKUP(G287,'Units'!$A$2:$D$13,3,FALSE),"")&lt;&gt;I287,"Unit mismatch",IF(J287="","Enter item cost","OK"))))))))</f>
        <v/>
      </c>
      <c r="M287" s="4" t="n"/>
    </row>
    <row r="288">
      <c r="A288" s="5">
        <f>IF(AND(B288="",D288=""),"",ROW()-1)</f>
        <v/>
      </c>
      <c r="B288" s="4" t="n"/>
      <c r="C288" s="5">
        <f>IF(B288="","",IFERROR(VLOOKUP(B288,'Products'!$A$2:$F$201,2,FALSE),"Product not found"))</f>
        <v/>
      </c>
      <c r="D288" s="4" t="n"/>
      <c r="E288" s="5">
        <f>IF(D288="","",IFERROR(VLOOKUP(D288,'Items'!$A$2:$L$201,2,FALSE),"Item not found"))</f>
        <v/>
      </c>
      <c r="F288" s="9" t="n"/>
      <c r="G288" s="4" t="n"/>
      <c r="H288" s="10">
        <f>IF(OR(F288="",G288=""),"",IFERROR(F288*VLOOKUP(G288,'Units'!$A$2:$D$13,4,FALSE),""))</f>
        <v/>
      </c>
      <c r="I288" s="5">
        <f>IF(D288="","",IFERROR(VLOOKUP(D288,'Items'!$A$2:$L$201,4,FALSE),""))</f>
        <v/>
      </c>
      <c r="J288" s="10">
        <f>IF(D288="","",IFERROR(VLOOKUP(D288,'Items'!$A$2:$L$201,10,FALSE),""))</f>
        <v/>
      </c>
      <c r="K288" s="10">
        <f>IF(OR(H288="",J288=""),"",H288*J288)</f>
        <v/>
      </c>
      <c r="L288" s="5">
        <f>IF(AND(B288="",D288=""),"",IF(B288="","Missing product",IF(D288="","Missing item",IF(C288="Product not found","Product not found",IF(E288="Item not found","Item not found",IF(OR(F288="",G288=""),"Missing quantity/unit",IF(IFERROR(VLOOKUP(G288,'Units'!$A$2:$D$13,3,FALSE),"")&lt;&gt;I288,"Unit mismatch",IF(J288="","Enter item cost","OK"))))))))</f>
        <v/>
      </c>
      <c r="M288" s="4" t="n"/>
    </row>
    <row r="289">
      <c r="A289" s="5">
        <f>IF(AND(B289="",D289=""),"",ROW()-1)</f>
        <v/>
      </c>
      <c r="B289" s="4" t="n"/>
      <c r="C289" s="5">
        <f>IF(B289="","",IFERROR(VLOOKUP(B289,'Products'!$A$2:$F$201,2,FALSE),"Product not found"))</f>
        <v/>
      </c>
      <c r="D289" s="4" t="n"/>
      <c r="E289" s="5">
        <f>IF(D289="","",IFERROR(VLOOKUP(D289,'Items'!$A$2:$L$201,2,FALSE),"Item not found"))</f>
        <v/>
      </c>
      <c r="F289" s="9" t="n"/>
      <c r="G289" s="4" t="n"/>
      <c r="H289" s="10">
        <f>IF(OR(F289="",G289=""),"",IFERROR(F289*VLOOKUP(G289,'Units'!$A$2:$D$13,4,FALSE),""))</f>
        <v/>
      </c>
      <c r="I289" s="5">
        <f>IF(D289="","",IFERROR(VLOOKUP(D289,'Items'!$A$2:$L$201,4,FALSE),""))</f>
        <v/>
      </c>
      <c r="J289" s="10">
        <f>IF(D289="","",IFERROR(VLOOKUP(D289,'Items'!$A$2:$L$201,10,FALSE),""))</f>
        <v/>
      </c>
      <c r="K289" s="10">
        <f>IF(OR(H289="",J289=""),"",H289*J289)</f>
        <v/>
      </c>
      <c r="L289" s="5">
        <f>IF(AND(B289="",D289=""),"",IF(B289="","Missing product",IF(D289="","Missing item",IF(C289="Product not found","Product not found",IF(E289="Item not found","Item not found",IF(OR(F289="",G289=""),"Missing quantity/unit",IF(IFERROR(VLOOKUP(G289,'Units'!$A$2:$D$13,3,FALSE),"")&lt;&gt;I289,"Unit mismatch",IF(J289="","Enter item cost","OK"))))))))</f>
        <v/>
      </c>
      <c r="M289" s="4" t="n"/>
    </row>
    <row r="290">
      <c r="A290" s="5">
        <f>IF(AND(B290="",D290=""),"",ROW()-1)</f>
        <v/>
      </c>
      <c r="B290" s="4" t="n"/>
      <c r="C290" s="5">
        <f>IF(B290="","",IFERROR(VLOOKUP(B290,'Products'!$A$2:$F$201,2,FALSE),"Product not found"))</f>
        <v/>
      </c>
      <c r="D290" s="4" t="n"/>
      <c r="E290" s="5">
        <f>IF(D290="","",IFERROR(VLOOKUP(D290,'Items'!$A$2:$L$201,2,FALSE),"Item not found"))</f>
        <v/>
      </c>
      <c r="F290" s="9" t="n"/>
      <c r="G290" s="4" t="n"/>
      <c r="H290" s="10">
        <f>IF(OR(F290="",G290=""),"",IFERROR(F290*VLOOKUP(G290,'Units'!$A$2:$D$13,4,FALSE),""))</f>
        <v/>
      </c>
      <c r="I290" s="5">
        <f>IF(D290="","",IFERROR(VLOOKUP(D290,'Items'!$A$2:$L$201,4,FALSE),""))</f>
        <v/>
      </c>
      <c r="J290" s="10">
        <f>IF(D290="","",IFERROR(VLOOKUP(D290,'Items'!$A$2:$L$201,10,FALSE),""))</f>
        <v/>
      </c>
      <c r="K290" s="10">
        <f>IF(OR(H290="",J290=""),"",H290*J290)</f>
        <v/>
      </c>
      <c r="L290" s="5">
        <f>IF(AND(B290="",D290=""),"",IF(B290="","Missing product",IF(D290="","Missing item",IF(C290="Product not found","Product not found",IF(E290="Item not found","Item not found",IF(OR(F290="",G290=""),"Missing quantity/unit",IF(IFERROR(VLOOKUP(G290,'Units'!$A$2:$D$13,3,FALSE),"")&lt;&gt;I290,"Unit mismatch",IF(J290="","Enter item cost","OK"))))))))</f>
        <v/>
      </c>
      <c r="M290" s="4" t="n"/>
    </row>
    <row r="291">
      <c r="A291" s="5">
        <f>IF(AND(B291="",D291=""),"",ROW()-1)</f>
        <v/>
      </c>
      <c r="B291" s="4" t="n"/>
      <c r="C291" s="5">
        <f>IF(B291="","",IFERROR(VLOOKUP(B291,'Products'!$A$2:$F$201,2,FALSE),"Product not found"))</f>
        <v/>
      </c>
      <c r="D291" s="4" t="n"/>
      <c r="E291" s="5">
        <f>IF(D291="","",IFERROR(VLOOKUP(D291,'Items'!$A$2:$L$201,2,FALSE),"Item not found"))</f>
        <v/>
      </c>
      <c r="F291" s="9" t="n"/>
      <c r="G291" s="4" t="n"/>
      <c r="H291" s="10">
        <f>IF(OR(F291="",G291=""),"",IFERROR(F291*VLOOKUP(G291,'Units'!$A$2:$D$13,4,FALSE),""))</f>
        <v/>
      </c>
      <c r="I291" s="5">
        <f>IF(D291="","",IFERROR(VLOOKUP(D291,'Items'!$A$2:$L$201,4,FALSE),""))</f>
        <v/>
      </c>
      <c r="J291" s="10">
        <f>IF(D291="","",IFERROR(VLOOKUP(D291,'Items'!$A$2:$L$201,10,FALSE),""))</f>
        <v/>
      </c>
      <c r="K291" s="10">
        <f>IF(OR(H291="",J291=""),"",H291*J291)</f>
        <v/>
      </c>
      <c r="L291" s="5">
        <f>IF(AND(B291="",D291=""),"",IF(B291="","Missing product",IF(D291="","Missing item",IF(C291="Product not found","Product not found",IF(E291="Item not found","Item not found",IF(OR(F291="",G291=""),"Missing quantity/unit",IF(IFERROR(VLOOKUP(G291,'Units'!$A$2:$D$13,3,FALSE),"")&lt;&gt;I291,"Unit mismatch",IF(J291="","Enter item cost","OK"))))))))</f>
        <v/>
      </c>
      <c r="M291" s="4" t="n"/>
    </row>
    <row r="292">
      <c r="A292" s="5">
        <f>IF(AND(B292="",D292=""),"",ROW()-1)</f>
        <v/>
      </c>
      <c r="B292" s="4" t="n"/>
      <c r="C292" s="5">
        <f>IF(B292="","",IFERROR(VLOOKUP(B292,'Products'!$A$2:$F$201,2,FALSE),"Product not found"))</f>
        <v/>
      </c>
      <c r="D292" s="4" t="n"/>
      <c r="E292" s="5">
        <f>IF(D292="","",IFERROR(VLOOKUP(D292,'Items'!$A$2:$L$201,2,FALSE),"Item not found"))</f>
        <v/>
      </c>
      <c r="F292" s="9" t="n"/>
      <c r="G292" s="4" t="n"/>
      <c r="H292" s="10">
        <f>IF(OR(F292="",G292=""),"",IFERROR(F292*VLOOKUP(G292,'Units'!$A$2:$D$13,4,FALSE),""))</f>
        <v/>
      </c>
      <c r="I292" s="5">
        <f>IF(D292="","",IFERROR(VLOOKUP(D292,'Items'!$A$2:$L$201,4,FALSE),""))</f>
        <v/>
      </c>
      <c r="J292" s="10">
        <f>IF(D292="","",IFERROR(VLOOKUP(D292,'Items'!$A$2:$L$201,10,FALSE),""))</f>
        <v/>
      </c>
      <c r="K292" s="10">
        <f>IF(OR(H292="",J292=""),"",H292*J292)</f>
        <v/>
      </c>
      <c r="L292" s="5">
        <f>IF(AND(B292="",D292=""),"",IF(B292="","Missing product",IF(D292="","Missing item",IF(C292="Product not found","Product not found",IF(E292="Item not found","Item not found",IF(OR(F292="",G292=""),"Missing quantity/unit",IF(IFERROR(VLOOKUP(G292,'Units'!$A$2:$D$13,3,FALSE),"")&lt;&gt;I292,"Unit mismatch",IF(J292="","Enter item cost","OK"))))))))</f>
        <v/>
      </c>
      <c r="M292" s="4" t="n"/>
    </row>
    <row r="293">
      <c r="A293" s="5">
        <f>IF(AND(B293="",D293=""),"",ROW()-1)</f>
        <v/>
      </c>
      <c r="B293" s="4" t="n"/>
      <c r="C293" s="5">
        <f>IF(B293="","",IFERROR(VLOOKUP(B293,'Products'!$A$2:$F$201,2,FALSE),"Product not found"))</f>
        <v/>
      </c>
      <c r="D293" s="4" t="n"/>
      <c r="E293" s="5">
        <f>IF(D293="","",IFERROR(VLOOKUP(D293,'Items'!$A$2:$L$201,2,FALSE),"Item not found"))</f>
        <v/>
      </c>
      <c r="F293" s="9" t="n"/>
      <c r="G293" s="4" t="n"/>
      <c r="H293" s="10">
        <f>IF(OR(F293="",G293=""),"",IFERROR(F293*VLOOKUP(G293,'Units'!$A$2:$D$13,4,FALSE),""))</f>
        <v/>
      </c>
      <c r="I293" s="5">
        <f>IF(D293="","",IFERROR(VLOOKUP(D293,'Items'!$A$2:$L$201,4,FALSE),""))</f>
        <v/>
      </c>
      <c r="J293" s="10">
        <f>IF(D293="","",IFERROR(VLOOKUP(D293,'Items'!$A$2:$L$201,10,FALSE),""))</f>
        <v/>
      </c>
      <c r="K293" s="10">
        <f>IF(OR(H293="",J293=""),"",H293*J293)</f>
        <v/>
      </c>
      <c r="L293" s="5">
        <f>IF(AND(B293="",D293=""),"",IF(B293="","Missing product",IF(D293="","Missing item",IF(C293="Product not found","Product not found",IF(E293="Item not found","Item not found",IF(OR(F293="",G293=""),"Missing quantity/unit",IF(IFERROR(VLOOKUP(G293,'Units'!$A$2:$D$13,3,FALSE),"")&lt;&gt;I293,"Unit mismatch",IF(J293="","Enter item cost","OK"))))))))</f>
        <v/>
      </c>
      <c r="M293" s="4" t="n"/>
    </row>
    <row r="294">
      <c r="A294" s="5">
        <f>IF(AND(B294="",D294=""),"",ROW()-1)</f>
        <v/>
      </c>
      <c r="B294" s="4" t="n"/>
      <c r="C294" s="5">
        <f>IF(B294="","",IFERROR(VLOOKUP(B294,'Products'!$A$2:$F$201,2,FALSE),"Product not found"))</f>
        <v/>
      </c>
      <c r="D294" s="4" t="n"/>
      <c r="E294" s="5">
        <f>IF(D294="","",IFERROR(VLOOKUP(D294,'Items'!$A$2:$L$201,2,FALSE),"Item not found"))</f>
        <v/>
      </c>
      <c r="F294" s="9" t="n"/>
      <c r="G294" s="4" t="n"/>
      <c r="H294" s="10">
        <f>IF(OR(F294="",G294=""),"",IFERROR(F294*VLOOKUP(G294,'Units'!$A$2:$D$13,4,FALSE),""))</f>
        <v/>
      </c>
      <c r="I294" s="5">
        <f>IF(D294="","",IFERROR(VLOOKUP(D294,'Items'!$A$2:$L$201,4,FALSE),""))</f>
        <v/>
      </c>
      <c r="J294" s="10">
        <f>IF(D294="","",IFERROR(VLOOKUP(D294,'Items'!$A$2:$L$201,10,FALSE),""))</f>
        <v/>
      </c>
      <c r="K294" s="10">
        <f>IF(OR(H294="",J294=""),"",H294*J294)</f>
        <v/>
      </c>
      <c r="L294" s="5">
        <f>IF(AND(B294="",D294=""),"",IF(B294="","Missing product",IF(D294="","Missing item",IF(C294="Product not found","Product not found",IF(E294="Item not found","Item not found",IF(OR(F294="",G294=""),"Missing quantity/unit",IF(IFERROR(VLOOKUP(G294,'Units'!$A$2:$D$13,3,FALSE),"")&lt;&gt;I294,"Unit mismatch",IF(J294="","Enter item cost","OK"))))))))</f>
        <v/>
      </c>
      <c r="M294" s="4" t="n"/>
    </row>
    <row r="295">
      <c r="A295" s="5">
        <f>IF(AND(B295="",D295=""),"",ROW()-1)</f>
        <v/>
      </c>
      <c r="B295" s="4" t="n"/>
      <c r="C295" s="5">
        <f>IF(B295="","",IFERROR(VLOOKUP(B295,'Products'!$A$2:$F$201,2,FALSE),"Product not found"))</f>
        <v/>
      </c>
      <c r="D295" s="4" t="n"/>
      <c r="E295" s="5">
        <f>IF(D295="","",IFERROR(VLOOKUP(D295,'Items'!$A$2:$L$201,2,FALSE),"Item not found"))</f>
        <v/>
      </c>
      <c r="F295" s="9" t="n"/>
      <c r="G295" s="4" t="n"/>
      <c r="H295" s="10">
        <f>IF(OR(F295="",G295=""),"",IFERROR(F295*VLOOKUP(G295,'Units'!$A$2:$D$13,4,FALSE),""))</f>
        <v/>
      </c>
      <c r="I295" s="5">
        <f>IF(D295="","",IFERROR(VLOOKUP(D295,'Items'!$A$2:$L$201,4,FALSE),""))</f>
        <v/>
      </c>
      <c r="J295" s="10">
        <f>IF(D295="","",IFERROR(VLOOKUP(D295,'Items'!$A$2:$L$201,10,FALSE),""))</f>
        <v/>
      </c>
      <c r="K295" s="10">
        <f>IF(OR(H295="",J295=""),"",H295*J295)</f>
        <v/>
      </c>
      <c r="L295" s="5">
        <f>IF(AND(B295="",D295=""),"",IF(B295="","Missing product",IF(D295="","Missing item",IF(C295="Product not found","Product not found",IF(E295="Item not found","Item not found",IF(OR(F295="",G295=""),"Missing quantity/unit",IF(IFERROR(VLOOKUP(G295,'Units'!$A$2:$D$13,3,FALSE),"")&lt;&gt;I295,"Unit mismatch",IF(J295="","Enter item cost","OK"))))))))</f>
        <v/>
      </c>
      <c r="M295" s="4" t="n"/>
    </row>
    <row r="296">
      <c r="A296" s="5">
        <f>IF(AND(B296="",D296=""),"",ROW()-1)</f>
        <v/>
      </c>
      <c r="B296" s="4" t="n"/>
      <c r="C296" s="5">
        <f>IF(B296="","",IFERROR(VLOOKUP(B296,'Products'!$A$2:$F$201,2,FALSE),"Product not found"))</f>
        <v/>
      </c>
      <c r="D296" s="4" t="n"/>
      <c r="E296" s="5">
        <f>IF(D296="","",IFERROR(VLOOKUP(D296,'Items'!$A$2:$L$201,2,FALSE),"Item not found"))</f>
        <v/>
      </c>
      <c r="F296" s="9" t="n"/>
      <c r="G296" s="4" t="n"/>
      <c r="H296" s="10">
        <f>IF(OR(F296="",G296=""),"",IFERROR(F296*VLOOKUP(G296,'Units'!$A$2:$D$13,4,FALSE),""))</f>
        <v/>
      </c>
      <c r="I296" s="5">
        <f>IF(D296="","",IFERROR(VLOOKUP(D296,'Items'!$A$2:$L$201,4,FALSE),""))</f>
        <v/>
      </c>
      <c r="J296" s="10">
        <f>IF(D296="","",IFERROR(VLOOKUP(D296,'Items'!$A$2:$L$201,10,FALSE),""))</f>
        <v/>
      </c>
      <c r="K296" s="10">
        <f>IF(OR(H296="",J296=""),"",H296*J296)</f>
        <v/>
      </c>
      <c r="L296" s="5">
        <f>IF(AND(B296="",D296=""),"",IF(B296="","Missing product",IF(D296="","Missing item",IF(C296="Product not found","Product not found",IF(E296="Item not found","Item not found",IF(OR(F296="",G296=""),"Missing quantity/unit",IF(IFERROR(VLOOKUP(G296,'Units'!$A$2:$D$13,3,FALSE),"")&lt;&gt;I296,"Unit mismatch",IF(J296="","Enter item cost","OK"))))))))</f>
        <v/>
      </c>
      <c r="M296" s="4" t="n"/>
    </row>
    <row r="297">
      <c r="A297" s="5">
        <f>IF(AND(B297="",D297=""),"",ROW()-1)</f>
        <v/>
      </c>
      <c r="B297" s="4" t="n"/>
      <c r="C297" s="5">
        <f>IF(B297="","",IFERROR(VLOOKUP(B297,'Products'!$A$2:$F$201,2,FALSE),"Product not found"))</f>
        <v/>
      </c>
      <c r="D297" s="4" t="n"/>
      <c r="E297" s="5">
        <f>IF(D297="","",IFERROR(VLOOKUP(D297,'Items'!$A$2:$L$201,2,FALSE),"Item not found"))</f>
        <v/>
      </c>
      <c r="F297" s="9" t="n"/>
      <c r="G297" s="4" t="n"/>
      <c r="H297" s="10">
        <f>IF(OR(F297="",G297=""),"",IFERROR(F297*VLOOKUP(G297,'Units'!$A$2:$D$13,4,FALSE),""))</f>
        <v/>
      </c>
      <c r="I297" s="5">
        <f>IF(D297="","",IFERROR(VLOOKUP(D297,'Items'!$A$2:$L$201,4,FALSE),""))</f>
        <v/>
      </c>
      <c r="J297" s="10">
        <f>IF(D297="","",IFERROR(VLOOKUP(D297,'Items'!$A$2:$L$201,10,FALSE),""))</f>
        <v/>
      </c>
      <c r="K297" s="10">
        <f>IF(OR(H297="",J297=""),"",H297*J297)</f>
        <v/>
      </c>
      <c r="L297" s="5">
        <f>IF(AND(B297="",D297=""),"",IF(B297="","Missing product",IF(D297="","Missing item",IF(C297="Product not found","Product not found",IF(E297="Item not found","Item not found",IF(OR(F297="",G297=""),"Missing quantity/unit",IF(IFERROR(VLOOKUP(G297,'Units'!$A$2:$D$13,3,FALSE),"")&lt;&gt;I297,"Unit mismatch",IF(J297="","Enter item cost","OK"))))))))</f>
        <v/>
      </c>
      <c r="M297" s="4" t="n"/>
    </row>
    <row r="298">
      <c r="A298" s="5">
        <f>IF(AND(B298="",D298=""),"",ROW()-1)</f>
        <v/>
      </c>
      <c r="B298" s="4" t="n"/>
      <c r="C298" s="5">
        <f>IF(B298="","",IFERROR(VLOOKUP(B298,'Products'!$A$2:$F$201,2,FALSE),"Product not found"))</f>
        <v/>
      </c>
      <c r="D298" s="4" t="n"/>
      <c r="E298" s="5">
        <f>IF(D298="","",IFERROR(VLOOKUP(D298,'Items'!$A$2:$L$201,2,FALSE),"Item not found"))</f>
        <v/>
      </c>
      <c r="F298" s="9" t="n"/>
      <c r="G298" s="4" t="n"/>
      <c r="H298" s="10">
        <f>IF(OR(F298="",G298=""),"",IFERROR(F298*VLOOKUP(G298,'Units'!$A$2:$D$13,4,FALSE),""))</f>
        <v/>
      </c>
      <c r="I298" s="5">
        <f>IF(D298="","",IFERROR(VLOOKUP(D298,'Items'!$A$2:$L$201,4,FALSE),""))</f>
        <v/>
      </c>
      <c r="J298" s="10">
        <f>IF(D298="","",IFERROR(VLOOKUP(D298,'Items'!$A$2:$L$201,10,FALSE),""))</f>
        <v/>
      </c>
      <c r="K298" s="10">
        <f>IF(OR(H298="",J298=""),"",H298*J298)</f>
        <v/>
      </c>
      <c r="L298" s="5">
        <f>IF(AND(B298="",D298=""),"",IF(B298="","Missing product",IF(D298="","Missing item",IF(C298="Product not found","Product not found",IF(E298="Item not found","Item not found",IF(OR(F298="",G298=""),"Missing quantity/unit",IF(IFERROR(VLOOKUP(G298,'Units'!$A$2:$D$13,3,FALSE),"")&lt;&gt;I298,"Unit mismatch",IF(J298="","Enter item cost","OK"))))))))</f>
        <v/>
      </c>
      <c r="M298" s="4" t="n"/>
    </row>
    <row r="299">
      <c r="A299" s="5">
        <f>IF(AND(B299="",D299=""),"",ROW()-1)</f>
        <v/>
      </c>
      <c r="B299" s="4" t="n"/>
      <c r="C299" s="5">
        <f>IF(B299="","",IFERROR(VLOOKUP(B299,'Products'!$A$2:$F$201,2,FALSE),"Product not found"))</f>
        <v/>
      </c>
      <c r="D299" s="4" t="n"/>
      <c r="E299" s="5">
        <f>IF(D299="","",IFERROR(VLOOKUP(D299,'Items'!$A$2:$L$201,2,FALSE),"Item not found"))</f>
        <v/>
      </c>
      <c r="F299" s="9" t="n"/>
      <c r="G299" s="4" t="n"/>
      <c r="H299" s="10">
        <f>IF(OR(F299="",G299=""),"",IFERROR(F299*VLOOKUP(G299,'Units'!$A$2:$D$13,4,FALSE),""))</f>
        <v/>
      </c>
      <c r="I299" s="5">
        <f>IF(D299="","",IFERROR(VLOOKUP(D299,'Items'!$A$2:$L$201,4,FALSE),""))</f>
        <v/>
      </c>
      <c r="J299" s="10">
        <f>IF(D299="","",IFERROR(VLOOKUP(D299,'Items'!$A$2:$L$201,10,FALSE),""))</f>
        <v/>
      </c>
      <c r="K299" s="10">
        <f>IF(OR(H299="",J299=""),"",H299*J299)</f>
        <v/>
      </c>
      <c r="L299" s="5">
        <f>IF(AND(B299="",D299=""),"",IF(B299="","Missing product",IF(D299="","Missing item",IF(C299="Product not found","Product not found",IF(E299="Item not found","Item not found",IF(OR(F299="",G299=""),"Missing quantity/unit",IF(IFERROR(VLOOKUP(G299,'Units'!$A$2:$D$13,3,FALSE),"")&lt;&gt;I299,"Unit mismatch",IF(J299="","Enter item cost","OK"))))))))</f>
        <v/>
      </c>
      <c r="M299" s="4" t="n"/>
    </row>
    <row r="300">
      <c r="A300" s="5">
        <f>IF(AND(B300="",D300=""),"",ROW()-1)</f>
        <v/>
      </c>
      <c r="B300" s="4" t="n"/>
      <c r="C300" s="5">
        <f>IF(B300="","",IFERROR(VLOOKUP(B300,'Products'!$A$2:$F$201,2,FALSE),"Product not found"))</f>
        <v/>
      </c>
      <c r="D300" s="4" t="n"/>
      <c r="E300" s="5">
        <f>IF(D300="","",IFERROR(VLOOKUP(D300,'Items'!$A$2:$L$201,2,FALSE),"Item not found"))</f>
        <v/>
      </c>
      <c r="F300" s="9" t="n"/>
      <c r="G300" s="4" t="n"/>
      <c r="H300" s="10">
        <f>IF(OR(F300="",G300=""),"",IFERROR(F300*VLOOKUP(G300,'Units'!$A$2:$D$13,4,FALSE),""))</f>
        <v/>
      </c>
      <c r="I300" s="5">
        <f>IF(D300="","",IFERROR(VLOOKUP(D300,'Items'!$A$2:$L$201,4,FALSE),""))</f>
        <v/>
      </c>
      <c r="J300" s="10">
        <f>IF(D300="","",IFERROR(VLOOKUP(D300,'Items'!$A$2:$L$201,10,FALSE),""))</f>
        <v/>
      </c>
      <c r="K300" s="10">
        <f>IF(OR(H300="",J300=""),"",H300*J300)</f>
        <v/>
      </c>
      <c r="L300" s="5">
        <f>IF(AND(B300="",D300=""),"",IF(B300="","Missing product",IF(D300="","Missing item",IF(C300="Product not found","Product not found",IF(E300="Item not found","Item not found",IF(OR(F300="",G300=""),"Missing quantity/unit",IF(IFERROR(VLOOKUP(G300,'Units'!$A$2:$D$13,3,FALSE),"")&lt;&gt;I300,"Unit mismatch",IF(J300="","Enter item cost","OK"))))))))</f>
        <v/>
      </c>
      <c r="M300" s="4" t="n"/>
    </row>
    <row r="301">
      <c r="A301" s="5">
        <f>IF(AND(B301="",D301=""),"",ROW()-1)</f>
        <v/>
      </c>
      <c r="B301" s="4" t="n"/>
      <c r="C301" s="5">
        <f>IF(B301="","",IFERROR(VLOOKUP(B301,'Products'!$A$2:$F$201,2,FALSE),"Product not found"))</f>
        <v/>
      </c>
      <c r="D301" s="4" t="n"/>
      <c r="E301" s="5">
        <f>IF(D301="","",IFERROR(VLOOKUP(D301,'Items'!$A$2:$L$201,2,FALSE),"Item not found"))</f>
        <v/>
      </c>
      <c r="F301" s="9" t="n"/>
      <c r="G301" s="4" t="n"/>
      <c r="H301" s="10">
        <f>IF(OR(F301="",G301=""),"",IFERROR(F301*VLOOKUP(G301,'Units'!$A$2:$D$13,4,FALSE),""))</f>
        <v/>
      </c>
      <c r="I301" s="5">
        <f>IF(D301="","",IFERROR(VLOOKUP(D301,'Items'!$A$2:$L$201,4,FALSE),""))</f>
        <v/>
      </c>
      <c r="J301" s="10">
        <f>IF(D301="","",IFERROR(VLOOKUP(D301,'Items'!$A$2:$L$201,10,FALSE),""))</f>
        <v/>
      </c>
      <c r="K301" s="10">
        <f>IF(OR(H301="",J301=""),"",H301*J301)</f>
        <v/>
      </c>
      <c r="L301" s="5">
        <f>IF(AND(B301="",D301=""),"",IF(B301="","Missing product",IF(D301="","Missing item",IF(C301="Product not found","Product not found",IF(E301="Item not found","Item not found",IF(OR(F301="",G301=""),"Missing quantity/unit",IF(IFERROR(VLOOKUP(G301,'Units'!$A$2:$D$13,3,FALSE),"")&lt;&gt;I301,"Unit mismatch",IF(J301="","Enter item cost","OK"))))))))</f>
        <v/>
      </c>
      <c r="M301" s="4" t="n"/>
    </row>
    <row r="302">
      <c r="A302" s="5">
        <f>IF(AND(B302="",D302=""),"",ROW()-1)</f>
        <v/>
      </c>
      <c r="B302" s="4" t="n"/>
      <c r="C302" s="5">
        <f>IF(B302="","",IFERROR(VLOOKUP(B302,'Products'!$A$2:$F$201,2,FALSE),"Product not found"))</f>
        <v/>
      </c>
      <c r="D302" s="4" t="n"/>
      <c r="E302" s="5">
        <f>IF(D302="","",IFERROR(VLOOKUP(D302,'Items'!$A$2:$L$201,2,FALSE),"Item not found"))</f>
        <v/>
      </c>
      <c r="F302" s="9" t="n"/>
      <c r="G302" s="4" t="n"/>
      <c r="H302" s="10">
        <f>IF(OR(F302="",G302=""),"",IFERROR(F302*VLOOKUP(G302,'Units'!$A$2:$D$13,4,FALSE),""))</f>
        <v/>
      </c>
      <c r="I302" s="5">
        <f>IF(D302="","",IFERROR(VLOOKUP(D302,'Items'!$A$2:$L$201,4,FALSE),""))</f>
        <v/>
      </c>
      <c r="J302" s="10">
        <f>IF(D302="","",IFERROR(VLOOKUP(D302,'Items'!$A$2:$L$201,10,FALSE),""))</f>
        <v/>
      </c>
      <c r="K302" s="10">
        <f>IF(OR(H302="",J302=""),"",H302*J302)</f>
        <v/>
      </c>
      <c r="L302" s="5">
        <f>IF(AND(B302="",D302=""),"",IF(B302="","Missing product",IF(D302="","Missing item",IF(C302="Product not found","Product not found",IF(E302="Item not found","Item not found",IF(OR(F302="",G302=""),"Missing quantity/unit",IF(IFERROR(VLOOKUP(G302,'Units'!$A$2:$D$13,3,FALSE),"")&lt;&gt;I302,"Unit mismatch",IF(J302="","Enter item cost","OK"))))))))</f>
        <v/>
      </c>
      <c r="M302" s="4" t="n"/>
    </row>
    <row r="303">
      <c r="A303" s="5">
        <f>IF(AND(B303="",D303=""),"",ROW()-1)</f>
        <v/>
      </c>
      <c r="B303" s="4" t="n"/>
      <c r="C303" s="5">
        <f>IF(B303="","",IFERROR(VLOOKUP(B303,'Products'!$A$2:$F$201,2,FALSE),"Product not found"))</f>
        <v/>
      </c>
      <c r="D303" s="4" t="n"/>
      <c r="E303" s="5">
        <f>IF(D303="","",IFERROR(VLOOKUP(D303,'Items'!$A$2:$L$201,2,FALSE),"Item not found"))</f>
        <v/>
      </c>
      <c r="F303" s="9" t="n"/>
      <c r="G303" s="4" t="n"/>
      <c r="H303" s="10">
        <f>IF(OR(F303="",G303=""),"",IFERROR(F303*VLOOKUP(G303,'Units'!$A$2:$D$13,4,FALSE),""))</f>
        <v/>
      </c>
      <c r="I303" s="5">
        <f>IF(D303="","",IFERROR(VLOOKUP(D303,'Items'!$A$2:$L$201,4,FALSE),""))</f>
        <v/>
      </c>
      <c r="J303" s="10">
        <f>IF(D303="","",IFERROR(VLOOKUP(D303,'Items'!$A$2:$L$201,10,FALSE),""))</f>
        <v/>
      </c>
      <c r="K303" s="10">
        <f>IF(OR(H303="",J303=""),"",H303*J303)</f>
        <v/>
      </c>
      <c r="L303" s="5">
        <f>IF(AND(B303="",D303=""),"",IF(B303="","Missing product",IF(D303="","Missing item",IF(C303="Product not found","Product not found",IF(E303="Item not found","Item not found",IF(OR(F303="",G303=""),"Missing quantity/unit",IF(IFERROR(VLOOKUP(G303,'Units'!$A$2:$D$13,3,FALSE),"")&lt;&gt;I303,"Unit mismatch",IF(J303="","Enter item cost","OK"))))))))</f>
        <v/>
      </c>
      <c r="M303" s="4" t="n"/>
    </row>
    <row r="304">
      <c r="A304" s="5">
        <f>IF(AND(B304="",D304=""),"",ROW()-1)</f>
        <v/>
      </c>
      <c r="B304" s="4" t="n"/>
      <c r="C304" s="5">
        <f>IF(B304="","",IFERROR(VLOOKUP(B304,'Products'!$A$2:$F$201,2,FALSE),"Product not found"))</f>
        <v/>
      </c>
      <c r="D304" s="4" t="n"/>
      <c r="E304" s="5">
        <f>IF(D304="","",IFERROR(VLOOKUP(D304,'Items'!$A$2:$L$201,2,FALSE),"Item not found"))</f>
        <v/>
      </c>
      <c r="F304" s="9" t="n"/>
      <c r="G304" s="4" t="n"/>
      <c r="H304" s="10">
        <f>IF(OR(F304="",G304=""),"",IFERROR(F304*VLOOKUP(G304,'Units'!$A$2:$D$13,4,FALSE),""))</f>
        <v/>
      </c>
      <c r="I304" s="5">
        <f>IF(D304="","",IFERROR(VLOOKUP(D304,'Items'!$A$2:$L$201,4,FALSE),""))</f>
        <v/>
      </c>
      <c r="J304" s="10">
        <f>IF(D304="","",IFERROR(VLOOKUP(D304,'Items'!$A$2:$L$201,10,FALSE),""))</f>
        <v/>
      </c>
      <c r="K304" s="10">
        <f>IF(OR(H304="",J304=""),"",H304*J304)</f>
        <v/>
      </c>
      <c r="L304" s="5">
        <f>IF(AND(B304="",D304=""),"",IF(B304="","Missing product",IF(D304="","Missing item",IF(C304="Product not found","Product not found",IF(E304="Item not found","Item not found",IF(OR(F304="",G304=""),"Missing quantity/unit",IF(IFERROR(VLOOKUP(G304,'Units'!$A$2:$D$13,3,FALSE),"")&lt;&gt;I304,"Unit mismatch",IF(J304="","Enter item cost","OK"))))))))</f>
        <v/>
      </c>
      <c r="M304" s="4" t="n"/>
    </row>
    <row r="305">
      <c r="A305" s="5">
        <f>IF(AND(B305="",D305=""),"",ROW()-1)</f>
        <v/>
      </c>
      <c r="B305" s="4" t="n"/>
      <c r="C305" s="5">
        <f>IF(B305="","",IFERROR(VLOOKUP(B305,'Products'!$A$2:$F$201,2,FALSE),"Product not found"))</f>
        <v/>
      </c>
      <c r="D305" s="4" t="n"/>
      <c r="E305" s="5">
        <f>IF(D305="","",IFERROR(VLOOKUP(D305,'Items'!$A$2:$L$201,2,FALSE),"Item not found"))</f>
        <v/>
      </c>
      <c r="F305" s="9" t="n"/>
      <c r="G305" s="4" t="n"/>
      <c r="H305" s="10">
        <f>IF(OR(F305="",G305=""),"",IFERROR(F305*VLOOKUP(G305,'Units'!$A$2:$D$13,4,FALSE),""))</f>
        <v/>
      </c>
      <c r="I305" s="5">
        <f>IF(D305="","",IFERROR(VLOOKUP(D305,'Items'!$A$2:$L$201,4,FALSE),""))</f>
        <v/>
      </c>
      <c r="J305" s="10">
        <f>IF(D305="","",IFERROR(VLOOKUP(D305,'Items'!$A$2:$L$201,10,FALSE),""))</f>
        <v/>
      </c>
      <c r="K305" s="10">
        <f>IF(OR(H305="",J305=""),"",H305*J305)</f>
        <v/>
      </c>
      <c r="L305" s="5">
        <f>IF(AND(B305="",D305=""),"",IF(B305="","Missing product",IF(D305="","Missing item",IF(C305="Product not found","Product not found",IF(E305="Item not found","Item not found",IF(OR(F305="",G305=""),"Missing quantity/unit",IF(IFERROR(VLOOKUP(G305,'Units'!$A$2:$D$13,3,FALSE),"")&lt;&gt;I305,"Unit mismatch",IF(J305="","Enter item cost","OK"))))))))</f>
        <v/>
      </c>
      <c r="M305" s="4" t="n"/>
    </row>
    <row r="306">
      <c r="A306" s="5">
        <f>IF(AND(B306="",D306=""),"",ROW()-1)</f>
        <v/>
      </c>
      <c r="B306" s="4" t="n"/>
      <c r="C306" s="5">
        <f>IF(B306="","",IFERROR(VLOOKUP(B306,'Products'!$A$2:$F$201,2,FALSE),"Product not found"))</f>
        <v/>
      </c>
      <c r="D306" s="4" t="n"/>
      <c r="E306" s="5">
        <f>IF(D306="","",IFERROR(VLOOKUP(D306,'Items'!$A$2:$L$201,2,FALSE),"Item not found"))</f>
        <v/>
      </c>
      <c r="F306" s="9" t="n"/>
      <c r="G306" s="4" t="n"/>
      <c r="H306" s="10">
        <f>IF(OR(F306="",G306=""),"",IFERROR(F306*VLOOKUP(G306,'Units'!$A$2:$D$13,4,FALSE),""))</f>
        <v/>
      </c>
      <c r="I306" s="5">
        <f>IF(D306="","",IFERROR(VLOOKUP(D306,'Items'!$A$2:$L$201,4,FALSE),""))</f>
        <v/>
      </c>
      <c r="J306" s="10">
        <f>IF(D306="","",IFERROR(VLOOKUP(D306,'Items'!$A$2:$L$201,10,FALSE),""))</f>
        <v/>
      </c>
      <c r="K306" s="10">
        <f>IF(OR(H306="",J306=""),"",H306*J306)</f>
        <v/>
      </c>
      <c r="L306" s="5">
        <f>IF(AND(B306="",D306=""),"",IF(B306="","Missing product",IF(D306="","Missing item",IF(C306="Product not found","Product not found",IF(E306="Item not found","Item not found",IF(OR(F306="",G306=""),"Missing quantity/unit",IF(IFERROR(VLOOKUP(G306,'Units'!$A$2:$D$13,3,FALSE),"")&lt;&gt;I306,"Unit mismatch",IF(J306="","Enter item cost","OK"))))))))</f>
        <v/>
      </c>
      <c r="M306" s="4" t="n"/>
    </row>
    <row r="307">
      <c r="A307" s="5">
        <f>IF(AND(B307="",D307=""),"",ROW()-1)</f>
        <v/>
      </c>
      <c r="B307" s="4" t="n"/>
      <c r="C307" s="5">
        <f>IF(B307="","",IFERROR(VLOOKUP(B307,'Products'!$A$2:$F$201,2,FALSE),"Product not found"))</f>
        <v/>
      </c>
      <c r="D307" s="4" t="n"/>
      <c r="E307" s="5">
        <f>IF(D307="","",IFERROR(VLOOKUP(D307,'Items'!$A$2:$L$201,2,FALSE),"Item not found"))</f>
        <v/>
      </c>
      <c r="F307" s="9" t="n"/>
      <c r="G307" s="4" t="n"/>
      <c r="H307" s="10">
        <f>IF(OR(F307="",G307=""),"",IFERROR(F307*VLOOKUP(G307,'Units'!$A$2:$D$13,4,FALSE),""))</f>
        <v/>
      </c>
      <c r="I307" s="5">
        <f>IF(D307="","",IFERROR(VLOOKUP(D307,'Items'!$A$2:$L$201,4,FALSE),""))</f>
        <v/>
      </c>
      <c r="J307" s="10">
        <f>IF(D307="","",IFERROR(VLOOKUP(D307,'Items'!$A$2:$L$201,10,FALSE),""))</f>
        <v/>
      </c>
      <c r="K307" s="10">
        <f>IF(OR(H307="",J307=""),"",H307*J307)</f>
        <v/>
      </c>
      <c r="L307" s="5">
        <f>IF(AND(B307="",D307=""),"",IF(B307="","Missing product",IF(D307="","Missing item",IF(C307="Product not found","Product not found",IF(E307="Item not found","Item not found",IF(OR(F307="",G307=""),"Missing quantity/unit",IF(IFERROR(VLOOKUP(G307,'Units'!$A$2:$D$13,3,FALSE),"")&lt;&gt;I307,"Unit mismatch",IF(J307="","Enter item cost","OK"))))))))</f>
        <v/>
      </c>
      <c r="M307" s="4" t="n"/>
    </row>
    <row r="308">
      <c r="A308" s="5">
        <f>IF(AND(B308="",D308=""),"",ROW()-1)</f>
        <v/>
      </c>
      <c r="B308" s="4" t="n"/>
      <c r="C308" s="5">
        <f>IF(B308="","",IFERROR(VLOOKUP(B308,'Products'!$A$2:$F$201,2,FALSE),"Product not found"))</f>
        <v/>
      </c>
      <c r="D308" s="4" t="n"/>
      <c r="E308" s="5">
        <f>IF(D308="","",IFERROR(VLOOKUP(D308,'Items'!$A$2:$L$201,2,FALSE),"Item not found"))</f>
        <v/>
      </c>
      <c r="F308" s="9" t="n"/>
      <c r="G308" s="4" t="n"/>
      <c r="H308" s="10">
        <f>IF(OR(F308="",G308=""),"",IFERROR(F308*VLOOKUP(G308,'Units'!$A$2:$D$13,4,FALSE),""))</f>
        <v/>
      </c>
      <c r="I308" s="5">
        <f>IF(D308="","",IFERROR(VLOOKUP(D308,'Items'!$A$2:$L$201,4,FALSE),""))</f>
        <v/>
      </c>
      <c r="J308" s="10">
        <f>IF(D308="","",IFERROR(VLOOKUP(D308,'Items'!$A$2:$L$201,10,FALSE),""))</f>
        <v/>
      </c>
      <c r="K308" s="10">
        <f>IF(OR(H308="",J308=""),"",H308*J308)</f>
        <v/>
      </c>
      <c r="L308" s="5">
        <f>IF(AND(B308="",D308=""),"",IF(B308="","Missing product",IF(D308="","Missing item",IF(C308="Product not found","Product not found",IF(E308="Item not found","Item not found",IF(OR(F308="",G308=""),"Missing quantity/unit",IF(IFERROR(VLOOKUP(G308,'Units'!$A$2:$D$13,3,FALSE),"")&lt;&gt;I308,"Unit mismatch",IF(J308="","Enter item cost","OK"))))))))</f>
        <v/>
      </c>
      <c r="M308" s="4" t="n"/>
    </row>
    <row r="309">
      <c r="A309" s="5">
        <f>IF(AND(B309="",D309=""),"",ROW()-1)</f>
        <v/>
      </c>
      <c r="B309" s="4" t="n"/>
      <c r="C309" s="5">
        <f>IF(B309="","",IFERROR(VLOOKUP(B309,'Products'!$A$2:$F$201,2,FALSE),"Product not found"))</f>
        <v/>
      </c>
      <c r="D309" s="4" t="n"/>
      <c r="E309" s="5">
        <f>IF(D309="","",IFERROR(VLOOKUP(D309,'Items'!$A$2:$L$201,2,FALSE),"Item not found"))</f>
        <v/>
      </c>
      <c r="F309" s="9" t="n"/>
      <c r="G309" s="4" t="n"/>
      <c r="H309" s="10">
        <f>IF(OR(F309="",G309=""),"",IFERROR(F309*VLOOKUP(G309,'Units'!$A$2:$D$13,4,FALSE),""))</f>
        <v/>
      </c>
      <c r="I309" s="5">
        <f>IF(D309="","",IFERROR(VLOOKUP(D309,'Items'!$A$2:$L$201,4,FALSE),""))</f>
        <v/>
      </c>
      <c r="J309" s="10">
        <f>IF(D309="","",IFERROR(VLOOKUP(D309,'Items'!$A$2:$L$201,10,FALSE),""))</f>
        <v/>
      </c>
      <c r="K309" s="10">
        <f>IF(OR(H309="",J309=""),"",H309*J309)</f>
        <v/>
      </c>
      <c r="L309" s="5">
        <f>IF(AND(B309="",D309=""),"",IF(B309="","Missing product",IF(D309="","Missing item",IF(C309="Product not found","Product not found",IF(E309="Item not found","Item not found",IF(OR(F309="",G309=""),"Missing quantity/unit",IF(IFERROR(VLOOKUP(G309,'Units'!$A$2:$D$13,3,FALSE),"")&lt;&gt;I309,"Unit mismatch",IF(J309="","Enter item cost","OK"))))))))</f>
        <v/>
      </c>
      <c r="M309" s="4" t="n"/>
    </row>
    <row r="310">
      <c r="A310" s="5">
        <f>IF(AND(B310="",D310=""),"",ROW()-1)</f>
        <v/>
      </c>
      <c r="B310" s="4" t="n"/>
      <c r="C310" s="5">
        <f>IF(B310="","",IFERROR(VLOOKUP(B310,'Products'!$A$2:$F$201,2,FALSE),"Product not found"))</f>
        <v/>
      </c>
      <c r="D310" s="4" t="n"/>
      <c r="E310" s="5">
        <f>IF(D310="","",IFERROR(VLOOKUP(D310,'Items'!$A$2:$L$201,2,FALSE),"Item not found"))</f>
        <v/>
      </c>
      <c r="F310" s="9" t="n"/>
      <c r="G310" s="4" t="n"/>
      <c r="H310" s="10">
        <f>IF(OR(F310="",G310=""),"",IFERROR(F310*VLOOKUP(G310,'Units'!$A$2:$D$13,4,FALSE),""))</f>
        <v/>
      </c>
      <c r="I310" s="5">
        <f>IF(D310="","",IFERROR(VLOOKUP(D310,'Items'!$A$2:$L$201,4,FALSE),""))</f>
        <v/>
      </c>
      <c r="J310" s="10">
        <f>IF(D310="","",IFERROR(VLOOKUP(D310,'Items'!$A$2:$L$201,10,FALSE),""))</f>
        <v/>
      </c>
      <c r="K310" s="10">
        <f>IF(OR(H310="",J310=""),"",H310*J310)</f>
        <v/>
      </c>
      <c r="L310" s="5">
        <f>IF(AND(B310="",D310=""),"",IF(B310="","Missing product",IF(D310="","Missing item",IF(C310="Product not found","Product not found",IF(E310="Item not found","Item not found",IF(OR(F310="",G310=""),"Missing quantity/unit",IF(IFERROR(VLOOKUP(G310,'Units'!$A$2:$D$13,3,FALSE),"")&lt;&gt;I310,"Unit mismatch",IF(J310="","Enter item cost","OK"))))))))</f>
        <v/>
      </c>
      <c r="M310" s="4" t="n"/>
    </row>
    <row r="311">
      <c r="A311" s="5">
        <f>IF(AND(B311="",D311=""),"",ROW()-1)</f>
        <v/>
      </c>
      <c r="B311" s="4" t="n"/>
      <c r="C311" s="5">
        <f>IF(B311="","",IFERROR(VLOOKUP(B311,'Products'!$A$2:$F$201,2,FALSE),"Product not found"))</f>
        <v/>
      </c>
      <c r="D311" s="4" t="n"/>
      <c r="E311" s="5">
        <f>IF(D311="","",IFERROR(VLOOKUP(D311,'Items'!$A$2:$L$201,2,FALSE),"Item not found"))</f>
        <v/>
      </c>
      <c r="F311" s="9" t="n"/>
      <c r="G311" s="4" t="n"/>
      <c r="H311" s="10">
        <f>IF(OR(F311="",G311=""),"",IFERROR(F311*VLOOKUP(G311,'Units'!$A$2:$D$13,4,FALSE),""))</f>
        <v/>
      </c>
      <c r="I311" s="5">
        <f>IF(D311="","",IFERROR(VLOOKUP(D311,'Items'!$A$2:$L$201,4,FALSE),""))</f>
        <v/>
      </c>
      <c r="J311" s="10">
        <f>IF(D311="","",IFERROR(VLOOKUP(D311,'Items'!$A$2:$L$201,10,FALSE),""))</f>
        <v/>
      </c>
      <c r="K311" s="10">
        <f>IF(OR(H311="",J311=""),"",H311*J311)</f>
        <v/>
      </c>
      <c r="L311" s="5">
        <f>IF(AND(B311="",D311=""),"",IF(B311="","Missing product",IF(D311="","Missing item",IF(C311="Product not found","Product not found",IF(E311="Item not found","Item not found",IF(OR(F311="",G311=""),"Missing quantity/unit",IF(IFERROR(VLOOKUP(G311,'Units'!$A$2:$D$13,3,FALSE),"")&lt;&gt;I311,"Unit mismatch",IF(J311="","Enter item cost","OK"))))))))</f>
        <v/>
      </c>
      <c r="M311" s="4" t="n"/>
    </row>
    <row r="312">
      <c r="A312" s="5">
        <f>IF(AND(B312="",D312=""),"",ROW()-1)</f>
        <v/>
      </c>
      <c r="B312" s="4" t="n"/>
      <c r="C312" s="5">
        <f>IF(B312="","",IFERROR(VLOOKUP(B312,'Products'!$A$2:$F$201,2,FALSE),"Product not found"))</f>
        <v/>
      </c>
      <c r="D312" s="4" t="n"/>
      <c r="E312" s="5">
        <f>IF(D312="","",IFERROR(VLOOKUP(D312,'Items'!$A$2:$L$201,2,FALSE),"Item not found"))</f>
        <v/>
      </c>
      <c r="F312" s="9" t="n"/>
      <c r="G312" s="4" t="n"/>
      <c r="H312" s="10">
        <f>IF(OR(F312="",G312=""),"",IFERROR(F312*VLOOKUP(G312,'Units'!$A$2:$D$13,4,FALSE),""))</f>
        <v/>
      </c>
      <c r="I312" s="5">
        <f>IF(D312="","",IFERROR(VLOOKUP(D312,'Items'!$A$2:$L$201,4,FALSE),""))</f>
        <v/>
      </c>
      <c r="J312" s="10">
        <f>IF(D312="","",IFERROR(VLOOKUP(D312,'Items'!$A$2:$L$201,10,FALSE),""))</f>
        <v/>
      </c>
      <c r="K312" s="10">
        <f>IF(OR(H312="",J312=""),"",H312*J312)</f>
        <v/>
      </c>
      <c r="L312" s="5">
        <f>IF(AND(B312="",D312=""),"",IF(B312="","Missing product",IF(D312="","Missing item",IF(C312="Product not found","Product not found",IF(E312="Item not found","Item not found",IF(OR(F312="",G312=""),"Missing quantity/unit",IF(IFERROR(VLOOKUP(G312,'Units'!$A$2:$D$13,3,FALSE),"")&lt;&gt;I312,"Unit mismatch",IF(J312="","Enter item cost","OK"))))))))</f>
        <v/>
      </c>
      <c r="M312" s="4" t="n"/>
    </row>
    <row r="313">
      <c r="A313" s="5">
        <f>IF(AND(B313="",D313=""),"",ROW()-1)</f>
        <v/>
      </c>
      <c r="B313" s="4" t="n"/>
      <c r="C313" s="5">
        <f>IF(B313="","",IFERROR(VLOOKUP(B313,'Products'!$A$2:$F$201,2,FALSE),"Product not found"))</f>
        <v/>
      </c>
      <c r="D313" s="4" t="n"/>
      <c r="E313" s="5">
        <f>IF(D313="","",IFERROR(VLOOKUP(D313,'Items'!$A$2:$L$201,2,FALSE),"Item not found"))</f>
        <v/>
      </c>
      <c r="F313" s="9" t="n"/>
      <c r="G313" s="4" t="n"/>
      <c r="H313" s="10">
        <f>IF(OR(F313="",G313=""),"",IFERROR(F313*VLOOKUP(G313,'Units'!$A$2:$D$13,4,FALSE),""))</f>
        <v/>
      </c>
      <c r="I313" s="5">
        <f>IF(D313="","",IFERROR(VLOOKUP(D313,'Items'!$A$2:$L$201,4,FALSE),""))</f>
        <v/>
      </c>
      <c r="J313" s="10">
        <f>IF(D313="","",IFERROR(VLOOKUP(D313,'Items'!$A$2:$L$201,10,FALSE),""))</f>
        <v/>
      </c>
      <c r="K313" s="10">
        <f>IF(OR(H313="",J313=""),"",H313*J313)</f>
        <v/>
      </c>
      <c r="L313" s="5">
        <f>IF(AND(B313="",D313=""),"",IF(B313="","Missing product",IF(D313="","Missing item",IF(C313="Product not found","Product not found",IF(E313="Item not found","Item not found",IF(OR(F313="",G313=""),"Missing quantity/unit",IF(IFERROR(VLOOKUP(G313,'Units'!$A$2:$D$13,3,FALSE),"")&lt;&gt;I313,"Unit mismatch",IF(J313="","Enter item cost","OK"))))))))</f>
        <v/>
      </c>
      <c r="M313" s="4" t="n"/>
    </row>
    <row r="314">
      <c r="A314" s="5">
        <f>IF(AND(B314="",D314=""),"",ROW()-1)</f>
        <v/>
      </c>
      <c r="B314" s="4" t="n"/>
      <c r="C314" s="5">
        <f>IF(B314="","",IFERROR(VLOOKUP(B314,'Products'!$A$2:$F$201,2,FALSE),"Product not found"))</f>
        <v/>
      </c>
      <c r="D314" s="4" t="n"/>
      <c r="E314" s="5">
        <f>IF(D314="","",IFERROR(VLOOKUP(D314,'Items'!$A$2:$L$201,2,FALSE),"Item not found"))</f>
        <v/>
      </c>
      <c r="F314" s="9" t="n"/>
      <c r="G314" s="4" t="n"/>
      <c r="H314" s="10">
        <f>IF(OR(F314="",G314=""),"",IFERROR(F314*VLOOKUP(G314,'Units'!$A$2:$D$13,4,FALSE),""))</f>
        <v/>
      </c>
      <c r="I314" s="5">
        <f>IF(D314="","",IFERROR(VLOOKUP(D314,'Items'!$A$2:$L$201,4,FALSE),""))</f>
        <v/>
      </c>
      <c r="J314" s="10">
        <f>IF(D314="","",IFERROR(VLOOKUP(D314,'Items'!$A$2:$L$201,10,FALSE),""))</f>
        <v/>
      </c>
      <c r="K314" s="10">
        <f>IF(OR(H314="",J314=""),"",H314*J314)</f>
        <v/>
      </c>
      <c r="L314" s="5">
        <f>IF(AND(B314="",D314=""),"",IF(B314="","Missing product",IF(D314="","Missing item",IF(C314="Product not found","Product not found",IF(E314="Item not found","Item not found",IF(OR(F314="",G314=""),"Missing quantity/unit",IF(IFERROR(VLOOKUP(G314,'Units'!$A$2:$D$13,3,FALSE),"")&lt;&gt;I314,"Unit mismatch",IF(J314="","Enter item cost","OK"))))))))</f>
        <v/>
      </c>
      <c r="M314" s="4" t="n"/>
    </row>
    <row r="315">
      <c r="A315" s="5">
        <f>IF(AND(B315="",D315=""),"",ROW()-1)</f>
        <v/>
      </c>
      <c r="B315" s="4" t="n"/>
      <c r="C315" s="5">
        <f>IF(B315="","",IFERROR(VLOOKUP(B315,'Products'!$A$2:$F$201,2,FALSE),"Product not found"))</f>
        <v/>
      </c>
      <c r="D315" s="4" t="n"/>
      <c r="E315" s="5">
        <f>IF(D315="","",IFERROR(VLOOKUP(D315,'Items'!$A$2:$L$201,2,FALSE),"Item not found"))</f>
        <v/>
      </c>
      <c r="F315" s="9" t="n"/>
      <c r="G315" s="4" t="n"/>
      <c r="H315" s="10">
        <f>IF(OR(F315="",G315=""),"",IFERROR(F315*VLOOKUP(G315,'Units'!$A$2:$D$13,4,FALSE),""))</f>
        <v/>
      </c>
      <c r="I315" s="5">
        <f>IF(D315="","",IFERROR(VLOOKUP(D315,'Items'!$A$2:$L$201,4,FALSE),""))</f>
        <v/>
      </c>
      <c r="J315" s="10">
        <f>IF(D315="","",IFERROR(VLOOKUP(D315,'Items'!$A$2:$L$201,10,FALSE),""))</f>
        <v/>
      </c>
      <c r="K315" s="10">
        <f>IF(OR(H315="",J315=""),"",H315*J315)</f>
        <v/>
      </c>
      <c r="L315" s="5">
        <f>IF(AND(B315="",D315=""),"",IF(B315="","Missing product",IF(D315="","Missing item",IF(C315="Product not found","Product not found",IF(E315="Item not found","Item not found",IF(OR(F315="",G315=""),"Missing quantity/unit",IF(IFERROR(VLOOKUP(G315,'Units'!$A$2:$D$13,3,FALSE),"")&lt;&gt;I315,"Unit mismatch",IF(J315="","Enter item cost","OK"))))))))</f>
        <v/>
      </c>
      <c r="M315" s="4" t="n"/>
    </row>
    <row r="316">
      <c r="A316" s="5">
        <f>IF(AND(B316="",D316=""),"",ROW()-1)</f>
        <v/>
      </c>
      <c r="B316" s="4" t="n"/>
      <c r="C316" s="5">
        <f>IF(B316="","",IFERROR(VLOOKUP(B316,'Products'!$A$2:$F$201,2,FALSE),"Product not found"))</f>
        <v/>
      </c>
      <c r="D316" s="4" t="n"/>
      <c r="E316" s="5">
        <f>IF(D316="","",IFERROR(VLOOKUP(D316,'Items'!$A$2:$L$201,2,FALSE),"Item not found"))</f>
        <v/>
      </c>
      <c r="F316" s="9" t="n"/>
      <c r="G316" s="4" t="n"/>
      <c r="H316" s="10">
        <f>IF(OR(F316="",G316=""),"",IFERROR(F316*VLOOKUP(G316,'Units'!$A$2:$D$13,4,FALSE),""))</f>
        <v/>
      </c>
      <c r="I316" s="5">
        <f>IF(D316="","",IFERROR(VLOOKUP(D316,'Items'!$A$2:$L$201,4,FALSE),""))</f>
        <v/>
      </c>
      <c r="J316" s="10">
        <f>IF(D316="","",IFERROR(VLOOKUP(D316,'Items'!$A$2:$L$201,10,FALSE),""))</f>
        <v/>
      </c>
      <c r="K316" s="10">
        <f>IF(OR(H316="",J316=""),"",H316*J316)</f>
        <v/>
      </c>
      <c r="L316" s="5">
        <f>IF(AND(B316="",D316=""),"",IF(B316="","Missing product",IF(D316="","Missing item",IF(C316="Product not found","Product not found",IF(E316="Item not found","Item not found",IF(OR(F316="",G316=""),"Missing quantity/unit",IF(IFERROR(VLOOKUP(G316,'Units'!$A$2:$D$13,3,FALSE),"")&lt;&gt;I316,"Unit mismatch",IF(J316="","Enter item cost","OK"))))))))</f>
        <v/>
      </c>
      <c r="M316" s="4" t="n"/>
    </row>
    <row r="317">
      <c r="A317" s="5">
        <f>IF(AND(B317="",D317=""),"",ROW()-1)</f>
        <v/>
      </c>
      <c r="B317" s="4" t="n"/>
      <c r="C317" s="5">
        <f>IF(B317="","",IFERROR(VLOOKUP(B317,'Products'!$A$2:$F$201,2,FALSE),"Product not found"))</f>
        <v/>
      </c>
      <c r="D317" s="4" t="n"/>
      <c r="E317" s="5">
        <f>IF(D317="","",IFERROR(VLOOKUP(D317,'Items'!$A$2:$L$201,2,FALSE),"Item not found"))</f>
        <v/>
      </c>
      <c r="F317" s="9" t="n"/>
      <c r="G317" s="4" t="n"/>
      <c r="H317" s="10">
        <f>IF(OR(F317="",G317=""),"",IFERROR(F317*VLOOKUP(G317,'Units'!$A$2:$D$13,4,FALSE),""))</f>
        <v/>
      </c>
      <c r="I317" s="5">
        <f>IF(D317="","",IFERROR(VLOOKUP(D317,'Items'!$A$2:$L$201,4,FALSE),""))</f>
        <v/>
      </c>
      <c r="J317" s="10">
        <f>IF(D317="","",IFERROR(VLOOKUP(D317,'Items'!$A$2:$L$201,10,FALSE),""))</f>
        <v/>
      </c>
      <c r="K317" s="10">
        <f>IF(OR(H317="",J317=""),"",H317*J317)</f>
        <v/>
      </c>
      <c r="L317" s="5">
        <f>IF(AND(B317="",D317=""),"",IF(B317="","Missing product",IF(D317="","Missing item",IF(C317="Product not found","Product not found",IF(E317="Item not found","Item not found",IF(OR(F317="",G317=""),"Missing quantity/unit",IF(IFERROR(VLOOKUP(G317,'Units'!$A$2:$D$13,3,FALSE),"")&lt;&gt;I317,"Unit mismatch",IF(J317="","Enter item cost","OK"))))))))</f>
        <v/>
      </c>
      <c r="M317" s="4" t="n"/>
    </row>
    <row r="318">
      <c r="A318" s="5">
        <f>IF(AND(B318="",D318=""),"",ROW()-1)</f>
        <v/>
      </c>
      <c r="B318" s="4" t="n"/>
      <c r="C318" s="5">
        <f>IF(B318="","",IFERROR(VLOOKUP(B318,'Products'!$A$2:$F$201,2,FALSE),"Product not found"))</f>
        <v/>
      </c>
      <c r="D318" s="4" t="n"/>
      <c r="E318" s="5">
        <f>IF(D318="","",IFERROR(VLOOKUP(D318,'Items'!$A$2:$L$201,2,FALSE),"Item not found"))</f>
        <v/>
      </c>
      <c r="F318" s="9" t="n"/>
      <c r="G318" s="4" t="n"/>
      <c r="H318" s="10">
        <f>IF(OR(F318="",G318=""),"",IFERROR(F318*VLOOKUP(G318,'Units'!$A$2:$D$13,4,FALSE),""))</f>
        <v/>
      </c>
      <c r="I318" s="5">
        <f>IF(D318="","",IFERROR(VLOOKUP(D318,'Items'!$A$2:$L$201,4,FALSE),""))</f>
        <v/>
      </c>
      <c r="J318" s="10">
        <f>IF(D318="","",IFERROR(VLOOKUP(D318,'Items'!$A$2:$L$201,10,FALSE),""))</f>
        <v/>
      </c>
      <c r="K318" s="10">
        <f>IF(OR(H318="",J318=""),"",H318*J318)</f>
        <v/>
      </c>
      <c r="L318" s="5">
        <f>IF(AND(B318="",D318=""),"",IF(B318="","Missing product",IF(D318="","Missing item",IF(C318="Product not found","Product not found",IF(E318="Item not found","Item not found",IF(OR(F318="",G318=""),"Missing quantity/unit",IF(IFERROR(VLOOKUP(G318,'Units'!$A$2:$D$13,3,FALSE),"")&lt;&gt;I318,"Unit mismatch",IF(J318="","Enter item cost","OK"))))))))</f>
        <v/>
      </c>
      <c r="M318" s="4" t="n"/>
    </row>
    <row r="319">
      <c r="A319" s="5">
        <f>IF(AND(B319="",D319=""),"",ROW()-1)</f>
        <v/>
      </c>
      <c r="B319" s="4" t="n"/>
      <c r="C319" s="5">
        <f>IF(B319="","",IFERROR(VLOOKUP(B319,'Products'!$A$2:$F$201,2,FALSE),"Product not found"))</f>
        <v/>
      </c>
      <c r="D319" s="4" t="n"/>
      <c r="E319" s="5">
        <f>IF(D319="","",IFERROR(VLOOKUP(D319,'Items'!$A$2:$L$201,2,FALSE),"Item not found"))</f>
        <v/>
      </c>
      <c r="F319" s="9" t="n"/>
      <c r="G319" s="4" t="n"/>
      <c r="H319" s="10">
        <f>IF(OR(F319="",G319=""),"",IFERROR(F319*VLOOKUP(G319,'Units'!$A$2:$D$13,4,FALSE),""))</f>
        <v/>
      </c>
      <c r="I319" s="5">
        <f>IF(D319="","",IFERROR(VLOOKUP(D319,'Items'!$A$2:$L$201,4,FALSE),""))</f>
        <v/>
      </c>
      <c r="J319" s="10">
        <f>IF(D319="","",IFERROR(VLOOKUP(D319,'Items'!$A$2:$L$201,10,FALSE),""))</f>
        <v/>
      </c>
      <c r="K319" s="10">
        <f>IF(OR(H319="",J319=""),"",H319*J319)</f>
        <v/>
      </c>
      <c r="L319" s="5">
        <f>IF(AND(B319="",D319=""),"",IF(B319="","Missing product",IF(D319="","Missing item",IF(C319="Product not found","Product not found",IF(E319="Item not found","Item not found",IF(OR(F319="",G319=""),"Missing quantity/unit",IF(IFERROR(VLOOKUP(G319,'Units'!$A$2:$D$13,3,FALSE),"")&lt;&gt;I319,"Unit mismatch",IF(J319="","Enter item cost","OK"))))))))</f>
        <v/>
      </c>
      <c r="M319" s="4" t="n"/>
    </row>
    <row r="320">
      <c r="A320" s="5">
        <f>IF(AND(B320="",D320=""),"",ROW()-1)</f>
        <v/>
      </c>
      <c r="B320" s="4" t="n"/>
      <c r="C320" s="5">
        <f>IF(B320="","",IFERROR(VLOOKUP(B320,'Products'!$A$2:$F$201,2,FALSE),"Product not found"))</f>
        <v/>
      </c>
      <c r="D320" s="4" t="n"/>
      <c r="E320" s="5">
        <f>IF(D320="","",IFERROR(VLOOKUP(D320,'Items'!$A$2:$L$201,2,FALSE),"Item not found"))</f>
        <v/>
      </c>
      <c r="F320" s="9" t="n"/>
      <c r="G320" s="4" t="n"/>
      <c r="H320" s="10">
        <f>IF(OR(F320="",G320=""),"",IFERROR(F320*VLOOKUP(G320,'Units'!$A$2:$D$13,4,FALSE),""))</f>
        <v/>
      </c>
      <c r="I320" s="5">
        <f>IF(D320="","",IFERROR(VLOOKUP(D320,'Items'!$A$2:$L$201,4,FALSE),""))</f>
        <v/>
      </c>
      <c r="J320" s="10">
        <f>IF(D320="","",IFERROR(VLOOKUP(D320,'Items'!$A$2:$L$201,10,FALSE),""))</f>
        <v/>
      </c>
      <c r="K320" s="10">
        <f>IF(OR(H320="",J320=""),"",H320*J320)</f>
        <v/>
      </c>
      <c r="L320" s="5">
        <f>IF(AND(B320="",D320=""),"",IF(B320="","Missing product",IF(D320="","Missing item",IF(C320="Product not found","Product not found",IF(E320="Item not found","Item not found",IF(OR(F320="",G320=""),"Missing quantity/unit",IF(IFERROR(VLOOKUP(G320,'Units'!$A$2:$D$13,3,FALSE),"")&lt;&gt;I320,"Unit mismatch",IF(J320="","Enter item cost","OK"))))))))</f>
        <v/>
      </c>
      <c r="M320" s="4" t="n"/>
    </row>
    <row r="321">
      <c r="A321" s="5">
        <f>IF(AND(B321="",D321=""),"",ROW()-1)</f>
        <v/>
      </c>
      <c r="B321" s="4" t="n"/>
      <c r="C321" s="5">
        <f>IF(B321="","",IFERROR(VLOOKUP(B321,'Products'!$A$2:$F$201,2,FALSE),"Product not found"))</f>
        <v/>
      </c>
      <c r="D321" s="4" t="n"/>
      <c r="E321" s="5">
        <f>IF(D321="","",IFERROR(VLOOKUP(D321,'Items'!$A$2:$L$201,2,FALSE),"Item not found"))</f>
        <v/>
      </c>
      <c r="F321" s="9" t="n"/>
      <c r="G321" s="4" t="n"/>
      <c r="H321" s="10">
        <f>IF(OR(F321="",G321=""),"",IFERROR(F321*VLOOKUP(G321,'Units'!$A$2:$D$13,4,FALSE),""))</f>
        <v/>
      </c>
      <c r="I321" s="5">
        <f>IF(D321="","",IFERROR(VLOOKUP(D321,'Items'!$A$2:$L$201,4,FALSE),""))</f>
        <v/>
      </c>
      <c r="J321" s="10">
        <f>IF(D321="","",IFERROR(VLOOKUP(D321,'Items'!$A$2:$L$201,10,FALSE),""))</f>
        <v/>
      </c>
      <c r="K321" s="10">
        <f>IF(OR(H321="",J321=""),"",H321*J321)</f>
        <v/>
      </c>
      <c r="L321" s="5">
        <f>IF(AND(B321="",D321=""),"",IF(B321="","Missing product",IF(D321="","Missing item",IF(C321="Product not found","Product not found",IF(E321="Item not found","Item not found",IF(OR(F321="",G321=""),"Missing quantity/unit",IF(IFERROR(VLOOKUP(G321,'Units'!$A$2:$D$13,3,FALSE),"")&lt;&gt;I321,"Unit mismatch",IF(J321="","Enter item cost","OK"))))))))</f>
        <v/>
      </c>
      <c r="M321" s="4" t="n"/>
    </row>
    <row r="322">
      <c r="A322" s="5">
        <f>IF(AND(B322="",D322=""),"",ROW()-1)</f>
        <v/>
      </c>
      <c r="B322" s="4" t="n"/>
      <c r="C322" s="5">
        <f>IF(B322="","",IFERROR(VLOOKUP(B322,'Products'!$A$2:$F$201,2,FALSE),"Product not found"))</f>
        <v/>
      </c>
      <c r="D322" s="4" t="n"/>
      <c r="E322" s="5">
        <f>IF(D322="","",IFERROR(VLOOKUP(D322,'Items'!$A$2:$L$201,2,FALSE),"Item not found"))</f>
        <v/>
      </c>
      <c r="F322" s="9" t="n"/>
      <c r="G322" s="4" t="n"/>
      <c r="H322" s="10">
        <f>IF(OR(F322="",G322=""),"",IFERROR(F322*VLOOKUP(G322,'Units'!$A$2:$D$13,4,FALSE),""))</f>
        <v/>
      </c>
      <c r="I322" s="5">
        <f>IF(D322="","",IFERROR(VLOOKUP(D322,'Items'!$A$2:$L$201,4,FALSE),""))</f>
        <v/>
      </c>
      <c r="J322" s="10">
        <f>IF(D322="","",IFERROR(VLOOKUP(D322,'Items'!$A$2:$L$201,10,FALSE),""))</f>
        <v/>
      </c>
      <c r="K322" s="10">
        <f>IF(OR(H322="",J322=""),"",H322*J322)</f>
        <v/>
      </c>
      <c r="L322" s="5">
        <f>IF(AND(B322="",D322=""),"",IF(B322="","Missing product",IF(D322="","Missing item",IF(C322="Product not found","Product not found",IF(E322="Item not found","Item not found",IF(OR(F322="",G322=""),"Missing quantity/unit",IF(IFERROR(VLOOKUP(G322,'Units'!$A$2:$D$13,3,FALSE),"")&lt;&gt;I322,"Unit mismatch",IF(J322="","Enter item cost","OK"))))))))</f>
        <v/>
      </c>
      <c r="M322" s="4" t="n"/>
    </row>
    <row r="323">
      <c r="A323" s="5">
        <f>IF(AND(B323="",D323=""),"",ROW()-1)</f>
        <v/>
      </c>
      <c r="B323" s="4" t="n"/>
      <c r="C323" s="5">
        <f>IF(B323="","",IFERROR(VLOOKUP(B323,'Products'!$A$2:$F$201,2,FALSE),"Product not found"))</f>
        <v/>
      </c>
      <c r="D323" s="4" t="n"/>
      <c r="E323" s="5">
        <f>IF(D323="","",IFERROR(VLOOKUP(D323,'Items'!$A$2:$L$201,2,FALSE),"Item not found"))</f>
        <v/>
      </c>
      <c r="F323" s="9" t="n"/>
      <c r="G323" s="4" t="n"/>
      <c r="H323" s="10">
        <f>IF(OR(F323="",G323=""),"",IFERROR(F323*VLOOKUP(G323,'Units'!$A$2:$D$13,4,FALSE),""))</f>
        <v/>
      </c>
      <c r="I323" s="5">
        <f>IF(D323="","",IFERROR(VLOOKUP(D323,'Items'!$A$2:$L$201,4,FALSE),""))</f>
        <v/>
      </c>
      <c r="J323" s="10">
        <f>IF(D323="","",IFERROR(VLOOKUP(D323,'Items'!$A$2:$L$201,10,FALSE),""))</f>
        <v/>
      </c>
      <c r="K323" s="10">
        <f>IF(OR(H323="",J323=""),"",H323*J323)</f>
        <v/>
      </c>
      <c r="L323" s="5">
        <f>IF(AND(B323="",D323=""),"",IF(B323="","Missing product",IF(D323="","Missing item",IF(C323="Product not found","Product not found",IF(E323="Item not found","Item not found",IF(OR(F323="",G323=""),"Missing quantity/unit",IF(IFERROR(VLOOKUP(G323,'Units'!$A$2:$D$13,3,FALSE),"")&lt;&gt;I323,"Unit mismatch",IF(J323="","Enter item cost","OK"))))))))</f>
        <v/>
      </c>
      <c r="M323" s="4" t="n"/>
    </row>
    <row r="324">
      <c r="A324" s="5">
        <f>IF(AND(B324="",D324=""),"",ROW()-1)</f>
        <v/>
      </c>
      <c r="B324" s="4" t="n"/>
      <c r="C324" s="5">
        <f>IF(B324="","",IFERROR(VLOOKUP(B324,'Products'!$A$2:$F$201,2,FALSE),"Product not found"))</f>
        <v/>
      </c>
      <c r="D324" s="4" t="n"/>
      <c r="E324" s="5">
        <f>IF(D324="","",IFERROR(VLOOKUP(D324,'Items'!$A$2:$L$201,2,FALSE),"Item not found"))</f>
        <v/>
      </c>
      <c r="F324" s="9" t="n"/>
      <c r="G324" s="4" t="n"/>
      <c r="H324" s="10">
        <f>IF(OR(F324="",G324=""),"",IFERROR(F324*VLOOKUP(G324,'Units'!$A$2:$D$13,4,FALSE),""))</f>
        <v/>
      </c>
      <c r="I324" s="5">
        <f>IF(D324="","",IFERROR(VLOOKUP(D324,'Items'!$A$2:$L$201,4,FALSE),""))</f>
        <v/>
      </c>
      <c r="J324" s="10">
        <f>IF(D324="","",IFERROR(VLOOKUP(D324,'Items'!$A$2:$L$201,10,FALSE),""))</f>
        <v/>
      </c>
      <c r="K324" s="10">
        <f>IF(OR(H324="",J324=""),"",H324*J324)</f>
        <v/>
      </c>
      <c r="L324" s="5">
        <f>IF(AND(B324="",D324=""),"",IF(B324="","Missing product",IF(D324="","Missing item",IF(C324="Product not found","Product not found",IF(E324="Item not found","Item not found",IF(OR(F324="",G324=""),"Missing quantity/unit",IF(IFERROR(VLOOKUP(G324,'Units'!$A$2:$D$13,3,FALSE),"")&lt;&gt;I324,"Unit mismatch",IF(J324="","Enter item cost","OK"))))))))</f>
        <v/>
      </c>
      <c r="M324" s="4" t="n"/>
    </row>
    <row r="325">
      <c r="A325" s="5">
        <f>IF(AND(B325="",D325=""),"",ROW()-1)</f>
        <v/>
      </c>
      <c r="B325" s="4" t="n"/>
      <c r="C325" s="5">
        <f>IF(B325="","",IFERROR(VLOOKUP(B325,'Products'!$A$2:$F$201,2,FALSE),"Product not found"))</f>
        <v/>
      </c>
      <c r="D325" s="4" t="n"/>
      <c r="E325" s="5">
        <f>IF(D325="","",IFERROR(VLOOKUP(D325,'Items'!$A$2:$L$201,2,FALSE),"Item not found"))</f>
        <v/>
      </c>
      <c r="F325" s="9" t="n"/>
      <c r="G325" s="4" t="n"/>
      <c r="H325" s="10">
        <f>IF(OR(F325="",G325=""),"",IFERROR(F325*VLOOKUP(G325,'Units'!$A$2:$D$13,4,FALSE),""))</f>
        <v/>
      </c>
      <c r="I325" s="5">
        <f>IF(D325="","",IFERROR(VLOOKUP(D325,'Items'!$A$2:$L$201,4,FALSE),""))</f>
        <v/>
      </c>
      <c r="J325" s="10">
        <f>IF(D325="","",IFERROR(VLOOKUP(D325,'Items'!$A$2:$L$201,10,FALSE),""))</f>
        <v/>
      </c>
      <c r="K325" s="10">
        <f>IF(OR(H325="",J325=""),"",H325*J325)</f>
        <v/>
      </c>
      <c r="L325" s="5">
        <f>IF(AND(B325="",D325=""),"",IF(B325="","Missing product",IF(D325="","Missing item",IF(C325="Product not found","Product not found",IF(E325="Item not found","Item not found",IF(OR(F325="",G325=""),"Missing quantity/unit",IF(IFERROR(VLOOKUP(G325,'Units'!$A$2:$D$13,3,FALSE),"")&lt;&gt;I325,"Unit mismatch",IF(J325="","Enter item cost","OK"))))))))</f>
        <v/>
      </c>
      <c r="M325" s="4" t="n"/>
    </row>
    <row r="326">
      <c r="A326" s="5">
        <f>IF(AND(B326="",D326=""),"",ROW()-1)</f>
        <v/>
      </c>
      <c r="B326" s="4" t="n"/>
      <c r="C326" s="5">
        <f>IF(B326="","",IFERROR(VLOOKUP(B326,'Products'!$A$2:$F$201,2,FALSE),"Product not found"))</f>
        <v/>
      </c>
      <c r="D326" s="4" t="n"/>
      <c r="E326" s="5">
        <f>IF(D326="","",IFERROR(VLOOKUP(D326,'Items'!$A$2:$L$201,2,FALSE),"Item not found"))</f>
        <v/>
      </c>
      <c r="F326" s="9" t="n"/>
      <c r="G326" s="4" t="n"/>
      <c r="H326" s="10">
        <f>IF(OR(F326="",G326=""),"",IFERROR(F326*VLOOKUP(G326,'Units'!$A$2:$D$13,4,FALSE),""))</f>
        <v/>
      </c>
      <c r="I326" s="5">
        <f>IF(D326="","",IFERROR(VLOOKUP(D326,'Items'!$A$2:$L$201,4,FALSE),""))</f>
        <v/>
      </c>
      <c r="J326" s="10">
        <f>IF(D326="","",IFERROR(VLOOKUP(D326,'Items'!$A$2:$L$201,10,FALSE),""))</f>
        <v/>
      </c>
      <c r="K326" s="10">
        <f>IF(OR(H326="",J326=""),"",H326*J326)</f>
        <v/>
      </c>
      <c r="L326" s="5">
        <f>IF(AND(B326="",D326=""),"",IF(B326="","Missing product",IF(D326="","Missing item",IF(C326="Product not found","Product not found",IF(E326="Item not found","Item not found",IF(OR(F326="",G326=""),"Missing quantity/unit",IF(IFERROR(VLOOKUP(G326,'Units'!$A$2:$D$13,3,FALSE),"")&lt;&gt;I326,"Unit mismatch",IF(J326="","Enter item cost","OK"))))))))</f>
        <v/>
      </c>
      <c r="M326" s="4" t="n"/>
    </row>
    <row r="327">
      <c r="A327" s="5">
        <f>IF(AND(B327="",D327=""),"",ROW()-1)</f>
        <v/>
      </c>
      <c r="B327" s="4" t="n"/>
      <c r="C327" s="5">
        <f>IF(B327="","",IFERROR(VLOOKUP(B327,'Products'!$A$2:$F$201,2,FALSE),"Product not found"))</f>
        <v/>
      </c>
      <c r="D327" s="4" t="n"/>
      <c r="E327" s="5">
        <f>IF(D327="","",IFERROR(VLOOKUP(D327,'Items'!$A$2:$L$201,2,FALSE),"Item not found"))</f>
        <v/>
      </c>
      <c r="F327" s="9" t="n"/>
      <c r="G327" s="4" t="n"/>
      <c r="H327" s="10">
        <f>IF(OR(F327="",G327=""),"",IFERROR(F327*VLOOKUP(G327,'Units'!$A$2:$D$13,4,FALSE),""))</f>
        <v/>
      </c>
      <c r="I327" s="5">
        <f>IF(D327="","",IFERROR(VLOOKUP(D327,'Items'!$A$2:$L$201,4,FALSE),""))</f>
        <v/>
      </c>
      <c r="J327" s="10">
        <f>IF(D327="","",IFERROR(VLOOKUP(D327,'Items'!$A$2:$L$201,10,FALSE),""))</f>
        <v/>
      </c>
      <c r="K327" s="10">
        <f>IF(OR(H327="",J327=""),"",H327*J327)</f>
        <v/>
      </c>
      <c r="L327" s="5">
        <f>IF(AND(B327="",D327=""),"",IF(B327="","Missing product",IF(D327="","Missing item",IF(C327="Product not found","Product not found",IF(E327="Item not found","Item not found",IF(OR(F327="",G327=""),"Missing quantity/unit",IF(IFERROR(VLOOKUP(G327,'Units'!$A$2:$D$13,3,FALSE),"")&lt;&gt;I327,"Unit mismatch",IF(J327="","Enter item cost","OK"))))))))</f>
        <v/>
      </c>
      <c r="M327" s="4" t="n"/>
    </row>
    <row r="328">
      <c r="A328" s="5">
        <f>IF(AND(B328="",D328=""),"",ROW()-1)</f>
        <v/>
      </c>
      <c r="B328" s="4" t="n"/>
      <c r="C328" s="5">
        <f>IF(B328="","",IFERROR(VLOOKUP(B328,'Products'!$A$2:$F$201,2,FALSE),"Product not found"))</f>
        <v/>
      </c>
      <c r="D328" s="4" t="n"/>
      <c r="E328" s="5">
        <f>IF(D328="","",IFERROR(VLOOKUP(D328,'Items'!$A$2:$L$201,2,FALSE),"Item not found"))</f>
        <v/>
      </c>
      <c r="F328" s="9" t="n"/>
      <c r="G328" s="4" t="n"/>
      <c r="H328" s="10">
        <f>IF(OR(F328="",G328=""),"",IFERROR(F328*VLOOKUP(G328,'Units'!$A$2:$D$13,4,FALSE),""))</f>
        <v/>
      </c>
      <c r="I328" s="5">
        <f>IF(D328="","",IFERROR(VLOOKUP(D328,'Items'!$A$2:$L$201,4,FALSE),""))</f>
        <v/>
      </c>
      <c r="J328" s="10">
        <f>IF(D328="","",IFERROR(VLOOKUP(D328,'Items'!$A$2:$L$201,10,FALSE),""))</f>
        <v/>
      </c>
      <c r="K328" s="10">
        <f>IF(OR(H328="",J328=""),"",H328*J328)</f>
        <v/>
      </c>
      <c r="L328" s="5">
        <f>IF(AND(B328="",D328=""),"",IF(B328="","Missing product",IF(D328="","Missing item",IF(C328="Product not found","Product not found",IF(E328="Item not found","Item not found",IF(OR(F328="",G328=""),"Missing quantity/unit",IF(IFERROR(VLOOKUP(G328,'Units'!$A$2:$D$13,3,FALSE),"")&lt;&gt;I328,"Unit mismatch",IF(J328="","Enter item cost","OK"))))))))</f>
        <v/>
      </c>
      <c r="M328" s="4" t="n"/>
    </row>
    <row r="329">
      <c r="A329" s="5">
        <f>IF(AND(B329="",D329=""),"",ROW()-1)</f>
        <v/>
      </c>
      <c r="B329" s="4" t="n"/>
      <c r="C329" s="5">
        <f>IF(B329="","",IFERROR(VLOOKUP(B329,'Products'!$A$2:$F$201,2,FALSE),"Product not found"))</f>
        <v/>
      </c>
      <c r="D329" s="4" t="n"/>
      <c r="E329" s="5">
        <f>IF(D329="","",IFERROR(VLOOKUP(D329,'Items'!$A$2:$L$201,2,FALSE),"Item not found"))</f>
        <v/>
      </c>
      <c r="F329" s="9" t="n"/>
      <c r="G329" s="4" t="n"/>
      <c r="H329" s="10">
        <f>IF(OR(F329="",G329=""),"",IFERROR(F329*VLOOKUP(G329,'Units'!$A$2:$D$13,4,FALSE),""))</f>
        <v/>
      </c>
      <c r="I329" s="5">
        <f>IF(D329="","",IFERROR(VLOOKUP(D329,'Items'!$A$2:$L$201,4,FALSE),""))</f>
        <v/>
      </c>
      <c r="J329" s="10">
        <f>IF(D329="","",IFERROR(VLOOKUP(D329,'Items'!$A$2:$L$201,10,FALSE),""))</f>
        <v/>
      </c>
      <c r="K329" s="10">
        <f>IF(OR(H329="",J329=""),"",H329*J329)</f>
        <v/>
      </c>
      <c r="L329" s="5">
        <f>IF(AND(B329="",D329=""),"",IF(B329="","Missing product",IF(D329="","Missing item",IF(C329="Product not found","Product not found",IF(E329="Item not found","Item not found",IF(OR(F329="",G329=""),"Missing quantity/unit",IF(IFERROR(VLOOKUP(G329,'Units'!$A$2:$D$13,3,FALSE),"")&lt;&gt;I329,"Unit mismatch",IF(J329="","Enter item cost","OK"))))))))</f>
        <v/>
      </c>
      <c r="M329" s="4" t="n"/>
    </row>
    <row r="330">
      <c r="A330" s="5">
        <f>IF(AND(B330="",D330=""),"",ROW()-1)</f>
        <v/>
      </c>
      <c r="B330" s="4" t="n"/>
      <c r="C330" s="5">
        <f>IF(B330="","",IFERROR(VLOOKUP(B330,'Products'!$A$2:$F$201,2,FALSE),"Product not found"))</f>
        <v/>
      </c>
      <c r="D330" s="4" t="n"/>
      <c r="E330" s="5">
        <f>IF(D330="","",IFERROR(VLOOKUP(D330,'Items'!$A$2:$L$201,2,FALSE),"Item not found"))</f>
        <v/>
      </c>
      <c r="F330" s="9" t="n"/>
      <c r="G330" s="4" t="n"/>
      <c r="H330" s="10">
        <f>IF(OR(F330="",G330=""),"",IFERROR(F330*VLOOKUP(G330,'Units'!$A$2:$D$13,4,FALSE),""))</f>
        <v/>
      </c>
      <c r="I330" s="5">
        <f>IF(D330="","",IFERROR(VLOOKUP(D330,'Items'!$A$2:$L$201,4,FALSE),""))</f>
        <v/>
      </c>
      <c r="J330" s="10">
        <f>IF(D330="","",IFERROR(VLOOKUP(D330,'Items'!$A$2:$L$201,10,FALSE),""))</f>
        <v/>
      </c>
      <c r="K330" s="10">
        <f>IF(OR(H330="",J330=""),"",H330*J330)</f>
        <v/>
      </c>
      <c r="L330" s="5">
        <f>IF(AND(B330="",D330=""),"",IF(B330="","Missing product",IF(D330="","Missing item",IF(C330="Product not found","Product not found",IF(E330="Item not found","Item not found",IF(OR(F330="",G330=""),"Missing quantity/unit",IF(IFERROR(VLOOKUP(G330,'Units'!$A$2:$D$13,3,FALSE),"")&lt;&gt;I330,"Unit mismatch",IF(J330="","Enter item cost","OK"))))))))</f>
        <v/>
      </c>
      <c r="M330" s="4" t="n"/>
    </row>
    <row r="331">
      <c r="A331" s="5">
        <f>IF(AND(B331="",D331=""),"",ROW()-1)</f>
        <v/>
      </c>
      <c r="B331" s="4" t="n"/>
      <c r="C331" s="5">
        <f>IF(B331="","",IFERROR(VLOOKUP(B331,'Products'!$A$2:$F$201,2,FALSE),"Product not found"))</f>
        <v/>
      </c>
      <c r="D331" s="4" t="n"/>
      <c r="E331" s="5">
        <f>IF(D331="","",IFERROR(VLOOKUP(D331,'Items'!$A$2:$L$201,2,FALSE),"Item not found"))</f>
        <v/>
      </c>
      <c r="F331" s="9" t="n"/>
      <c r="G331" s="4" t="n"/>
      <c r="H331" s="10">
        <f>IF(OR(F331="",G331=""),"",IFERROR(F331*VLOOKUP(G331,'Units'!$A$2:$D$13,4,FALSE),""))</f>
        <v/>
      </c>
      <c r="I331" s="5">
        <f>IF(D331="","",IFERROR(VLOOKUP(D331,'Items'!$A$2:$L$201,4,FALSE),""))</f>
        <v/>
      </c>
      <c r="J331" s="10">
        <f>IF(D331="","",IFERROR(VLOOKUP(D331,'Items'!$A$2:$L$201,10,FALSE),""))</f>
        <v/>
      </c>
      <c r="K331" s="10">
        <f>IF(OR(H331="",J331=""),"",H331*J331)</f>
        <v/>
      </c>
      <c r="L331" s="5">
        <f>IF(AND(B331="",D331=""),"",IF(B331="","Missing product",IF(D331="","Missing item",IF(C331="Product not found","Product not found",IF(E331="Item not found","Item not found",IF(OR(F331="",G331=""),"Missing quantity/unit",IF(IFERROR(VLOOKUP(G331,'Units'!$A$2:$D$13,3,FALSE),"")&lt;&gt;I331,"Unit mismatch",IF(J331="","Enter item cost","OK"))))))))</f>
        <v/>
      </c>
      <c r="M331" s="4" t="n"/>
    </row>
    <row r="332">
      <c r="A332" s="5">
        <f>IF(AND(B332="",D332=""),"",ROW()-1)</f>
        <v/>
      </c>
      <c r="B332" s="4" t="n"/>
      <c r="C332" s="5">
        <f>IF(B332="","",IFERROR(VLOOKUP(B332,'Products'!$A$2:$F$201,2,FALSE),"Product not found"))</f>
        <v/>
      </c>
      <c r="D332" s="4" t="n"/>
      <c r="E332" s="5">
        <f>IF(D332="","",IFERROR(VLOOKUP(D332,'Items'!$A$2:$L$201,2,FALSE),"Item not found"))</f>
        <v/>
      </c>
      <c r="F332" s="9" t="n"/>
      <c r="G332" s="4" t="n"/>
      <c r="H332" s="10">
        <f>IF(OR(F332="",G332=""),"",IFERROR(F332*VLOOKUP(G332,'Units'!$A$2:$D$13,4,FALSE),""))</f>
        <v/>
      </c>
      <c r="I332" s="5">
        <f>IF(D332="","",IFERROR(VLOOKUP(D332,'Items'!$A$2:$L$201,4,FALSE),""))</f>
        <v/>
      </c>
      <c r="J332" s="10">
        <f>IF(D332="","",IFERROR(VLOOKUP(D332,'Items'!$A$2:$L$201,10,FALSE),""))</f>
        <v/>
      </c>
      <c r="K332" s="10">
        <f>IF(OR(H332="",J332=""),"",H332*J332)</f>
        <v/>
      </c>
      <c r="L332" s="5">
        <f>IF(AND(B332="",D332=""),"",IF(B332="","Missing product",IF(D332="","Missing item",IF(C332="Product not found","Product not found",IF(E332="Item not found","Item not found",IF(OR(F332="",G332=""),"Missing quantity/unit",IF(IFERROR(VLOOKUP(G332,'Units'!$A$2:$D$13,3,FALSE),"")&lt;&gt;I332,"Unit mismatch",IF(J332="","Enter item cost","OK"))))))))</f>
        <v/>
      </c>
      <c r="M332" s="4" t="n"/>
    </row>
    <row r="333">
      <c r="A333" s="5">
        <f>IF(AND(B333="",D333=""),"",ROW()-1)</f>
        <v/>
      </c>
      <c r="B333" s="4" t="n"/>
      <c r="C333" s="5">
        <f>IF(B333="","",IFERROR(VLOOKUP(B333,'Products'!$A$2:$F$201,2,FALSE),"Product not found"))</f>
        <v/>
      </c>
      <c r="D333" s="4" t="n"/>
      <c r="E333" s="5">
        <f>IF(D333="","",IFERROR(VLOOKUP(D333,'Items'!$A$2:$L$201,2,FALSE),"Item not found"))</f>
        <v/>
      </c>
      <c r="F333" s="9" t="n"/>
      <c r="G333" s="4" t="n"/>
      <c r="H333" s="10">
        <f>IF(OR(F333="",G333=""),"",IFERROR(F333*VLOOKUP(G333,'Units'!$A$2:$D$13,4,FALSE),""))</f>
        <v/>
      </c>
      <c r="I333" s="5">
        <f>IF(D333="","",IFERROR(VLOOKUP(D333,'Items'!$A$2:$L$201,4,FALSE),""))</f>
        <v/>
      </c>
      <c r="J333" s="10">
        <f>IF(D333="","",IFERROR(VLOOKUP(D333,'Items'!$A$2:$L$201,10,FALSE),""))</f>
        <v/>
      </c>
      <c r="K333" s="10">
        <f>IF(OR(H333="",J333=""),"",H333*J333)</f>
        <v/>
      </c>
      <c r="L333" s="5">
        <f>IF(AND(B333="",D333=""),"",IF(B333="","Missing product",IF(D333="","Missing item",IF(C333="Product not found","Product not found",IF(E333="Item not found","Item not found",IF(OR(F333="",G333=""),"Missing quantity/unit",IF(IFERROR(VLOOKUP(G333,'Units'!$A$2:$D$13,3,FALSE),"")&lt;&gt;I333,"Unit mismatch",IF(J333="","Enter item cost","OK"))))))))</f>
        <v/>
      </c>
      <c r="M333" s="4" t="n"/>
    </row>
    <row r="334">
      <c r="A334" s="5">
        <f>IF(AND(B334="",D334=""),"",ROW()-1)</f>
        <v/>
      </c>
      <c r="B334" s="4" t="n"/>
      <c r="C334" s="5">
        <f>IF(B334="","",IFERROR(VLOOKUP(B334,'Products'!$A$2:$F$201,2,FALSE),"Product not found"))</f>
        <v/>
      </c>
      <c r="D334" s="4" t="n"/>
      <c r="E334" s="5">
        <f>IF(D334="","",IFERROR(VLOOKUP(D334,'Items'!$A$2:$L$201,2,FALSE),"Item not found"))</f>
        <v/>
      </c>
      <c r="F334" s="9" t="n"/>
      <c r="G334" s="4" t="n"/>
      <c r="H334" s="10">
        <f>IF(OR(F334="",G334=""),"",IFERROR(F334*VLOOKUP(G334,'Units'!$A$2:$D$13,4,FALSE),""))</f>
        <v/>
      </c>
      <c r="I334" s="5">
        <f>IF(D334="","",IFERROR(VLOOKUP(D334,'Items'!$A$2:$L$201,4,FALSE),""))</f>
        <v/>
      </c>
      <c r="J334" s="10">
        <f>IF(D334="","",IFERROR(VLOOKUP(D334,'Items'!$A$2:$L$201,10,FALSE),""))</f>
        <v/>
      </c>
      <c r="K334" s="10">
        <f>IF(OR(H334="",J334=""),"",H334*J334)</f>
        <v/>
      </c>
      <c r="L334" s="5">
        <f>IF(AND(B334="",D334=""),"",IF(B334="","Missing product",IF(D334="","Missing item",IF(C334="Product not found","Product not found",IF(E334="Item not found","Item not found",IF(OR(F334="",G334=""),"Missing quantity/unit",IF(IFERROR(VLOOKUP(G334,'Units'!$A$2:$D$13,3,FALSE),"")&lt;&gt;I334,"Unit mismatch",IF(J334="","Enter item cost","OK"))))))))</f>
        <v/>
      </c>
      <c r="M334" s="4" t="n"/>
    </row>
    <row r="335">
      <c r="A335" s="5">
        <f>IF(AND(B335="",D335=""),"",ROW()-1)</f>
        <v/>
      </c>
      <c r="B335" s="4" t="n"/>
      <c r="C335" s="5">
        <f>IF(B335="","",IFERROR(VLOOKUP(B335,'Products'!$A$2:$F$201,2,FALSE),"Product not found"))</f>
        <v/>
      </c>
      <c r="D335" s="4" t="n"/>
      <c r="E335" s="5">
        <f>IF(D335="","",IFERROR(VLOOKUP(D335,'Items'!$A$2:$L$201,2,FALSE),"Item not found"))</f>
        <v/>
      </c>
      <c r="F335" s="9" t="n"/>
      <c r="G335" s="4" t="n"/>
      <c r="H335" s="10">
        <f>IF(OR(F335="",G335=""),"",IFERROR(F335*VLOOKUP(G335,'Units'!$A$2:$D$13,4,FALSE),""))</f>
        <v/>
      </c>
      <c r="I335" s="5">
        <f>IF(D335="","",IFERROR(VLOOKUP(D335,'Items'!$A$2:$L$201,4,FALSE),""))</f>
        <v/>
      </c>
      <c r="J335" s="10">
        <f>IF(D335="","",IFERROR(VLOOKUP(D335,'Items'!$A$2:$L$201,10,FALSE),""))</f>
        <v/>
      </c>
      <c r="K335" s="10">
        <f>IF(OR(H335="",J335=""),"",H335*J335)</f>
        <v/>
      </c>
      <c r="L335" s="5">
        <f>IF(AND(B335="",D335=""),"",IF(B335="","Missing product",IF(D335="","Missing item",IF(C335="Product not found","Product not found",IF(E335="Item not found","Item not found",IF(OR(F335="",G335=""),"Missing quantity/unit",IF(IFERROR(VLOOKUP(G335,'Units'!$A$2:$D$13,3,FALSE),"")&lt;&gt;I335,"Unit mismatch",IF(J335="","Enter item cost","OK"))))))))</f>
        <v/>
      </c>
      <c r="M335" s="4" t="n"/>
    </row>
    <row r="336">
      <c r="A336" s="5">
        <f>IF(AND(B336="",D336=""),"",ROW()-1)</f>
        <v/>
      </c>
      <c r="B336" s="4" t="n"/>
      <c r="C336" s="5">
        <f>IF(B336="","",IFERROR(VLOOKUP(B336,'Products'!$A$2:$F$201,2,FALSE),"Product not found"))</f>
        <v/>
      </c>
      <c r="D336" s="4" t="n"/>
      <c r="E336" s="5">
        <f>IF(D336="","",IFERROR(VLOOKUP(D336,'Items'!$A$2:$L$201,2,FALSE),"Item not found"))</f>
        <v/>
      </c>
      <c r="F336" s="9" t="n"/>
      <c r="G336" s="4" t="n"/>
      <c r="H336" s="10">
        <f>IF(OR(F336="",G336=""),"",IFERROR(F336*VLOOKUP(G336,'Units'!$A$2:$D$13,4,FALSE),""))</f>
        <v/>
      </c>
      <c r="I336" s="5">
        <f>IF(D336="","",IFERROR(VLOOKUP(D336,'Items'!$A$2:$L$201,4,FALSE),""))</f>
        <v/>
      </c>
      <c r="J336" s="10">
        <f>IF(D336="","",IFERROR(VLOOKUP(D336,'Items'!$A$2:$L$201,10,FALSE),""))</f>
        <v/>
      </c>
      <c r="K336" s="10">
        <f>IF(OR(H336="",J336=""),"",H336*J336)</f>
        <v/>
      </c>
      <c r="L336" s="5">
        <f>IF(AND(B336="",D336=""),"",IF(B336="","Missing product",IF(D336="","Missing item",IF(C336="Product not found","Product not found",IF(E336="Item not found","Item not found",IF(OR(F336="",G336=""),"Missing quantity/unit",IF(IFERROR(VLOOKUP(G336,'Units'!$A$2:$D$13,3,FALSE),"")&lt;&gt;I336,"Unit mismatch",IF(J336="","Enter item cost","OK"))))))))</f>
        <v/>
      </c>
      <c r="M336" s="4" t="n"/>
    </row>
    <row r="337">
      <c r="A337" s="5">
        <f>IF(AND(B337="",D337=""),"",ROW()-1)</f>
        <v/>
      </c>
      <c r="B337" s="4" t="n"/>
      <c r="C337" s="5">
        <f>IF(B337="","",IFERROR(VLOOKUP(B337,'Products'!$A$2:$F$201,2,FALSE),"Product not found"))</f>
        <v/>
      </c>
      <c r="D337" s="4" t="n"/>
      <c r="E337" s="5">
        <f>IF(D337="","",IFERROR(VLOOKUP(D337,'Items'!$A$2:$L$201,2,FALSE),"Item not found"))</f>
        <v/>
      </c>
      <c r="F337" s="9" t="n"/>
      <c r="G337" s="4" t="n"/>
      <c r="H337" s="10">
        <f>IF(OR(F337="",G337=""),"",IFERROR(F337*VLOOKUP(G337,'Units'!$A$2:$D$13,4,FALSE),""))</f>
        <v/>
      </c>
      <c r="I337" s="5">
        <f>IF(D337="","",IFERROR(VLOOKUP(D337,'Items'!$A$2:$L$201,4,FALSE),""))</f>
        <v/>
      </c>
      <c r="J337" s="10">
        <f>IF(D337="","",IFERROR(VLOOKUP(D337,'Items'!$A$2:$L$201,10,FALSE),""))</f>
        <v/>
      </c>
      <c r="K337" s="10">
        <f>IF(OR(H337="",J337=""),"",H337*J337)</f>
        <v/>
      </c>
      <c r="L337" s="5">
        <f>IF(AND(B337="",D337=""),"",IF(B337="","Missing product",IF(D337="","Missing item",IF(C337="Product not found","Product not found",IF(E337="Item not found","Item not found",IF(OR(F337="",G337=""),"Missing quantity/unit",IF(IFERROR(VLOOKUP(G337,'Units'!$A$2:$D$13,3,FALSE),"")&lt;&gt;I337,"Unit mismatch",IF(J337="","Enter item cost","OK"))))))))</f>
        <v/>
      </c>
      <c r="M337" s="4" t="n"/>
    </row>
    <row r="338">
      <c r="A338" s="5">
        <f>IF(AND(B338="",D338=""),"",ROW()-1)</f>
        <v/>
      </c>
      <c r="B338" s="4" t="n"/>
      <c r="C338" s="5">
        <f>IF(B338="","",IFERROR(VLOOKUP(B338,'Products'!$A$2:$F$201,2,FALSE),"Product not found"))</f>
        <v/>
      </c>
      <c r="D338" s="4" t="n"/>
      <c r="E338" s="5">
        <f>IF(D338="","",IFERROR(VLOOKUP(D338,'Items'!$A$2:$L$201,2,FALSE),"Item not found"))</f>
        <v/>
      </c>
      <c r="F338" s="9" t="n"/>
      <c r="G338" s="4" t="n"/>
      <c r="H338" s="10">
        <f>IF(OR(F338="",G338=""),"",IFERROR(F338*VLOOKUP(G338,'Units'!$A$2:$D$13,4,FALSE),""))</f>
        <v/>
      </c>
      <c r="I338" s="5">
        <f>IF(D338="","",IFERROR(VLOOKUP(D338,'Items'!$A$2:$L$201,4,FALSE),""))</f>
        <v/>
      </c>
      <c r="J338" s="10">
        <f>IF(D338="","",IFERROR(VLOOKUP(D338,'Items'!$A$2:$L$201,10,FALSE),""))</f>
        <v/>
      </c>
      <c r="K338" s="10">
        <f>IF(OR(H338="",J338=""),"",H338*J338)</f>
        <v/>
      </c>
      <c r="L338" s="5">
        <f>IF(AND(B338="",D338=""),"",IF(B338="","Missing product",IF(D338="","Missing item",IF(C338="Product not found","Product not found",IF(E338="Item not found","Item not found",IF(OR(F338="",G338=""),"Missing quantity/unit",IF(IFERROR(VLOOKUP(G338,'Units'!$A$2:$D$13,3,FALSE),"")&lt;&gt;I338,"Unit mismatch",IF(J338="","Enter item cost","OK"))))))))</f>
        <v/>
      </c>
      <c r="M338" s="4" t="n"/>
    </row>
    <row r="339">
      <c r="A339" s="5">
        <f>IF(AND(B339="",D339=""),"",ROW()-1)</f>
        <v/>
      </c>
      <c r="B339" s="4" t="n"/>
      <c r="C339" s="5">
        <f>IF(B339="","",IFERROR(VLOOKUP(B339,'Products'!$A$2:$F$201,2,FALSE),"Product not found"))</f>
        <v/>
      </c>
      <c r="D339" s="4" t="n"/>
      <c r="E339" s="5">
        <f>IF(D339="","",IFERROR(VLOOKUP(D339,'Items'!$A$2:$L$201,2,FALSE),"Item not found"))</f>
        <v/>
      </c>
      <c r="F339" s="9" t="n"/>
      <c r="G339" s="4" t="n"/>
      <c r="H339" s="10">
        <f>IF(OR(F339="",G339=""),"",IFERROR(F339*VLOOKUP(G339,'Units'!$A$2:$D$13,4,FALSE),""))</f>
        <v/>
      </c>
      <c r="I339" s="5">
        <f>IF(D339="","",IFERROR(VLOOKUP(D339,'Items'!$A$2:$L$201,4,FALSE),""))</f>
        <v/>
      </c>
      <c r="J339" s="10">
        <f>IF(D339="","",IFERROR(VLOOKUP(D339,'Items'!$A$2:$L$201,10,FALSE),""))</f>
        <v/>
      </c>
      <c r="K339" s="10">
        <f>IF(OR(H339="",J339=""),"",H339*J339)</f>
        <v/>
      </c>
      <c r="L339" s="5">
        <f>IF(AND(B339="",D339=""),"",IF(B339="","Missing product",IF(D339="","Missing item",IF(C339="Product not found","Product not found",IF(E339="Item not found","Item not found",IF(OR(F339="",G339=""),"Missing quantity/unit",IF(IFERROR(VLOOKUP(G339,'Units'!$A$2:$D$13,3,FALSE),"")&lt;&gt;I339,"Unit mismatch",IF(J339="","Enter item cost","OK"))))))))</f>
        <v/>
      </c>
      <c r="M339" s="4" t="n"/>
    </row>
    <row r="340">
      <c r="A340" s="5">
        <f>IF(AND(B340="",D340=""),"",ROW()-1)</f>
        <v/>
      </c>
      <c r="B340" s="4" t="n"/>
      <c r="C340" s="5">
        <f>IF(B340="","",IFERROR(VLOOKUP(B340,'Products'!$A$2:$F$201,2,FALSE),"Product not found"))</f>
        <v/>
      </c>
      <c r="D340" s="4" t="n"/>
      <c r="E340" s="5">
        <f>IF(D340="","",IFERROR(VLOOKUP(D340,'Items'!$A$2:$L$201,2,FALSE),"Item not found"))</f>
        <v/>
      </c>
      <c r="F340" s="9" t="n"/>
      <c r="G340" s="4" t="n"/>
      <c r="H340" s="10">
        <f>IF(OR(F340="",G340=""),"",IFERROR(F340*VLOOKUP(G340,'Units'!$A$2:$D$13,4,FALSE),""))</f>
        <v/>
      </c>
      <c r="I340" s="5">
        <f>IF(D340="","",IFERROR(VLOOKUP(D340,'Items'!$A$2:$L$201,4,FALSE),""))</f>
        <v/>
      </c>
      <c r="J340" s="10">
        <f>IF(D340="","",IFERROR(VLOOKUP(D340,'Items'!$A$2:$L$201,10,FALSE),""))</f>
        <v/>
      </c>
      <c r="K340" s="10">
        <f>IF(OR(H340="",J340=""),"",H340*J340)</f>
        <v/>
      </c>
      <c r="L340" s="5">
        <f>IF(AND(B340="",D340=""),"",IF(B340="","Missing product",IF(D340="","Missing item",IF(C340="Product not found","Product not found",IF(E340="Item not found","Item not found",IF(OR(F340="",G340=""),"Missing quantity/unit",IF(IFERROR(VLOOKUP(G340,'Units'!$A$2:$D$13,3,FALSE),"")&lt;&gt;I340,"Unit mismatch",IF(J340="","Enter item cost","OK"))))))))</f>
        <v/>
      </c>
      <c r="M340" s="4" t="n"/>
    </row>
    <row r="341">
      <c r="A341" s="5">
        <f>IF(AND(B341="",D341=""),"",ROW()-1)</f>
        <v/>
      </c>
      <c r="B341" s="4" t="n"/>
      <c r="C341" s="5">
        <f>IF(B341="","",IFERROR(VLOOKUP(B341,'Products'!$A$2:$F$201,2,FALSE),"Product not found"))</f>
        <v/>
      </c>
      <c r="D341" s="4" t="n"/>
      <c r="E341" s="5">
        <f>IF(D341="","",IFERROR(VLOOKUP(D341,'Items'!$A$2:$L$201,2,FALSE),"Item not found"))</f>
        <v/>
      </c>
      <c r="F341" s="9" t="n"/>
      <c r="G341" s="4" t="n"/>
      <c r="H341" s="10">
        <f>IF(OR(F341="",G341=""),"",IFERROR(F341*VLOOKUP(G341,'Units'!$A$2:$D$13,4,FALSE),""))</f>
        <v/>
      </c>
      <c r="I341" s="5">
        <f>IF(D341="","",IFERROR(VLOOKUP(D341,'Items'!$A$2:$L$201,4,FALSE),""))</f>
        <v/>
      </c>
      <c r="J341" s="10">
        <f>IF(D341="","",IFERROR(VLOOKUP(D341,'Items'!$A$2:$L$201,10,FALSE),""))</f>
        <v/>
      </c>
      <c r="K341" s="10">
        <f>IF(OR(H341="",J341=""),"",H341*J341)</f>
        <v/>
      </c>
      <c r="L341" s="5">
        <f>IF(AND(B341="",D341=""),"",IF(B341="","Missing product",IF(D341="","Missing item",IF(C341="Product not found","Product not found",IF(E341="Item not found","Item not found",IF(OR(F341="",G341=""),"Missing quantity/unit",IF(IFERROR(VLOOKUP(G341,'Units'!$A$2:$D$13,3,FALSE),"")&lt;&gt;I341,"Unit mismatch",IF(J341="","Enter item cost","OK"))))))))</f>
        <v/>
      </c>
      <c r="M341" s="4" t="n"/>
    </row>
    <row r="342">
      <c r="A342" s="5">
        <f>IF(AND(B342="",D342=""),"",ROW()-1)</f>
        <v/>
      </c>
      <c r="B342" s="4" t="n"/>
      <c r="C342" s="5">
        <f>IF(B342="","",IFERROR(VLOOKUP(B342,'Products'!$A$2:$F$201,2,FALSE),"Product not found"))</f>
        <v/>
      </c>
      <c r="D342" s="4" t="n"/>
      <c r="E342" s="5">
        <f>IF(D342="","",IFERROR(VLOOKUP(D342,'Items'!$A$2:$L$201,2,FALSE),"Item not found"))</f>
        <v/>
      </c>
      <c r="F342" s="9" t="n"/>
      <c r="G342" s="4" t="n"/>
      <c r="H342" s="10">
        <f>IF(OR(F342="",G342=""),"",IFERROR(F342*VLOOKUP(G342,'Units'!$A$2:$D$13,4,FALSE),""))</f>
        <v/>
      </c>
      <c r="I342" s="5">
        <f>IF(D342="","",IFERROR(VLOOKUP(D342,'Items'!$A$2:$L$201,4,FALSE),""))</f>
        <v/>
      </c>
      <c r="J342" s="10">
        <f>IF(D342="","",IFERROR(VLOOKUP(D342,'Items'!$A$2:$L$201,10,FALSE),""))</f>
        <v/>
      </c>
      <c r="K342" s="10">
        <f>IF(OR(H342="",J342=""),"",H342*J342)</f>
        <v/>
      </c>
      <c r="L342" s="5">
        <f>IF(AND(B342="",D342=""),"",IF(B342="","Missing product",IF(D342="","Missing item",IF(C342="Product not found","Product not found",IF(E342="Item not found","Item not found",IF(OR(F342="",G342=""),"Missing quantity/unit",IF(IFERROR(VLOOKUP(G342,'Units'!$A$2:$D$13,3,FALSE),"")&lt;&gt;I342,"Unit mismatch",IF(J342="","Enter item cost","OK"))))))))</f>
        <v/>
      </c>
      <c r="M342" s="4" t="n"/>
    </row>
    <row r="343">
      <c r="A343" s="5">
        <f>IF(AND(B343="",D343=""),"",ROW()-1)</f>
        <v/>
      </c>
      <c r="B343" s="4" t="n"/>
      <c r="C343" s="5">
        <f>IF(B343="","",IFERROR(VLOOKUP(B343,'Products'!$A$2:$F$201,2,FALSE),"Product not found"))</f>
        <v/>
      </c>
      <c r="D343" s="4" t="n"/>
      <c r="E343" s="5">
        <f>IF(D343="","",IFERROR(VLOOKUP(D343,'Items'!$A$2:$L$201,2,FALSE),"Item not found"))</f>
        <v/>
      </c>
      <c r="F343" s="9" t="n"/>
      <c r="G343" s="4" t="n"/>
      <c r="H343" s="10">
        <f>IF(OR(F343="",G343=""),"",IFERROR(F343*VLOOKUP(G343,'Units'!$A$2:$D$13,4,FALSE),""))</f>
        <v/>
      </c>
      <c r="I343" s="5">
        <f>IF(D343="","",IFERROR(VLOOKUP(D343,'Items'!$A$2:$L$201,4,FALSE),""))</f>
        <v/>
      </c>
      <c r="J343" s="10">
        <f>IF(D343="","",IFERROR(VLOOKUP(D343,'Items'!$A$2:$L$201,10,FALSE),""))</f>
        <v/>
      </c>
      <c r="K343" s="10">
        <f>IF(OR(H343="",J343=""),"",H343*J343)</f>
        <v/>
      </c>
      <c r="L343" s="5">
        <f>IF(AND(B343="",D343=""),"",IF(B343="","Missing product",IF(D343="","Missing item",IF(C343="Product not found","Product not found",IF(E343="Item not found","Item not found",IF(OR(F343="",G343=""),"Missing quantity/unit",IF(IFERROR(VLOOKUP(G343,'Units'!$A$2:$D$13,3,FALSE),"")&lt;&gt;I343,"Unit mismatch",IF(J343="","Enter item cost","OK"))))))))</f>
        <v/>
      </c>
      <c r="M343" s="4" t="n"/>
    </row>
    <row r="344">
      <c r="A344" s="5">
        <f>IF(AND(B344="",D344=""),"",ROW()-1)</f>
        <v/>
      </c>
      <c r="B344" s="4" t="n"/>
      <c r="C344" s="5">
        <f>IF(B344="","",IFERROR(VLOOKUP(B344,'Products'!$A$2:$F$201,2,FALSE),"Product not found"))</f>
        <v/>
      </c>
      <c r="D344" s="4" t="n"/>
      <c r="E344" s="5">
        <f>IF(D344="","",IFERROR(VLOOKUP(D344,'Items'!$A$2:$L$201,2,FALSE),"Item not found"))</f>
        <v/>
      </c>
      <c r="F344" s="9" t="n"/>
      <c r="G344" s="4" t="n"/>
      <c r="H344" s="10">
        <f>IF(OR(F344="",G344=""),"",IFERROR(F344*VLOOKUP(G344,'Units'!$A$2:$D$13,4,FALSE),""))</f>
        <v/>
      </c>
      <c r="I344" s="5">
        <f>IF(D344="","",IFERROR(VLOOKUP(D344,'Items'!$A$2:$L$201,4,FALSE),""))</f>
        <v/>
      </c>
      <c r="J344" s="10">
        <f>IF(D344="","",IFERROR(VLOOKUP(D344,'Items'!$A$2:$L$201,10,FALSE),""))</f>
        <v/>
      </c>
      <c r="K344" s="10">
        <f>IF(OR(H344="",J344=""),"",H344*J344)</f>
        <v/>
      </c>
      <c r="L344" s="5">
        <f>IF(AND(B344="",D344=""),"",IF(B344="","Missing product",IF(D344="","Missing item",IF(C344="Product not found","Product not found",IF(E344="Item not found","Item not found",IF(OR(F344="",G344=""),"Missing quantity/unit",IF(IFERROR(VLOOKUP(G344,'Units'!$A$2:$D$13,3,FALSE),"")&lt;&gt;I344,"Unit mismatch",IF(J344="","Enter item cost","OK"))))))))</f>
        <v/>
      </c>
      <c r="M344" s="4" t="n"/>
    </row>
    <row r="345">
      <c r="A345" s="5">
        <f>IF(AND(B345="",D345=""),"",ROW()-1)</f>
        <v/>
      </c>
      <c r="B345" s="4" t="n"/>
      <c r="C345" s="5">
        <f>IF(B345="","",IFERROR(VLOOKUP(B345,'Products'!$A$2:$F$201,2,FALSE),"Product not found"))</f>
        <v/>
      </c>
      <c r="D345" s="4" t="n"/>
      <c r="E345" s="5">
        <f>IF(D345="","",IFERROR(VLOOKUP(D345,'Items'!$A$2:$L$201,2,FALSE),"Item not found"))</f>
        <v/>
      </c>
      <c r="F345" s="9" t="n"/>
      <c r="G345" s="4" t="n"/>
      <c r="H345" s="10">
        <f>IF(OR(F345="",G345=""),"",IFERROR(F345*VLOOKUP(G345,'Units'!$A$2:$D$13,4,FALSE),""))</f>
        <v/>
      </c>
      <c r="I345" s="5">
        <f>IF(D345="","",IFERROR(VLOOKUP(D345,'Items'!$A$2:$L$201,4,FALSE),""))</f>
        <v/>
      </c>
      <c r="J345" s="10">
        <f>IF(D345="","",IFERROR(VLOOKUP(D345,'Items'!$A$2:$L$201,10,FALSE),""))</f>
        <v/>
      </c>
      <c r="K345" s="10">
        <f>IF(OR(H345="",J345=""),"",H345*J345)</f>
        <v/>
      </c>
      <c r="L345" s="5">
        <f>IF(AND(B345="",D345=""),"",IF(B345="","Missing product",IF(D345="","Missing item",IF(C345="Product not found","Product not found",IF(E345="Item not found","Item not found",IF(OR(F345="",G345=""),"Missing quantity/unit",IF(IFERROR(VLOOKUP(G345,'Units'!$A$2:$D$13,3,FALSE),"")&lt;&gt;I345,"Unit mismatch",IF(J345="","Enter item cost","OK"))))))))</f>
        <v/>
      </c>
      <c r="M345" s="4" t="n"/>
    </row>
    <row r="346">
      <c r="A346" s="5">
        <f>IF(AND(B346="",D346=""),"",ROW()-1)</f>
        <v/>
      </c>
      <c r="B346" s="4" t="n"/>
      <c r="C346" s="5">
        <f>IF(B346="","",IFERROR(VLOOKUP(B346,'Products'!$A$2:$F$201,2,FALSE),"Product not found"))</f>
        <v/>
      </c>
      <c r="D346" s="4" t="n"/>
      <c r="E346" s="5">
        <f>IF(D346="","",IFERROR(VLOOKUP(D346,'Items'!$A$2:$L$201,2,FALSE),"Item not found"))</f>
        <v/>
      </c>
      <c r="F346" s="9" t="n"/>
      <c r="G346" s="4" t="n"/>
      <c r="H346" s="10">
        <f>IF(OR(F346="",G346=""),"",IFERROR(F346*VLOOKUP(G346,'Units'!$A$2:$D$13,4,FALSE),""))</f>
        <v/>
      </c>
      <c r="I346" s="5">
        <f>IF(D346="","",IFERROR(VLOOKUP(D346,'Items'!$A$2:$L$201,4,FALSE),""))</f>
        <v/>
      </c>
      <c r="J346" s="10">
        <f>IF(D346="","",IFERROR(VLOOKUP(D346,'Items'!$A$2:$L$201,10,FALSE),""))</f>
        <v/>
      </c>
      <c r="K346" s="10">
        <f>IF(OR(H346="",J346=""),"",H346*J346)</f>
        <v/>
      </c>
      <c r="L346" s="5">
        <f>IF(AND(B346="",D346=""),"",IF(B346="","Missing product",IF(D346="","Missing item",IF(C346="Product not found","Product not found",IF(E346="Item not found","Item not found",IF(OR(F346="",G346=""),"Missing quantity/unit",IF(IFERROR(VLOOKUP(G346,'Units'!$A$2:$D$13,3,FALSE),"")&lt;&gt;I346,"Unit mismatch",IF(J346="","Enter item cost","OK"))))))))</f>
        <v/>
      </c>
      <c r="M346" s="4" t="n"/>
    </row>
    <row r="347">
      <c r="A347" s="5">
        <f>IF(AND(B347="",D347=""),"",ROW()-1)</f>
        <v/>
      </c>
      <c r="B347" s="4" t="n"/>
      <c r="C347" s="5">
        <f>IF(B347="","",IFERROR(VLOOKUP(B347,'Products'!$A$2:$F$201,2,FALSE),"Product not found"))</f>
        <v/>
      </c>
      <c r="D347" s="4" t="n"/>
      <c r="E347" s="5">
        <f>IF(D347="","",IFERROR(VLOOKUP(D347,'Items'!$A$2:$L$201,2,FALSE),"Item not found"))</f>
        <v/>
      </c>
      <c r="F347" s="9" t="n"/>
      <c r="G347" s="4" t="n"/>
      <c r="H347" s="10">
        <f>IF(OR(F347="",G347=""),"",IFERROR(F347*VLOOKUP(G347,'Units'!$A$2:$D$13,4,FALSE),""))</f>
        <v/>
      </c>
      <c r="I347" s="5">
        <f>IF(D347="","",IFERROR(VLOOKUP(D347,'Items'!$A$2:$L$201,4,FALSE),""))</f>
        <v/>
      </c>
      <c r="J347" s="10">
        <f>IF(D347="","",IFERROR(VLOOKUP(D347,'Items'!$A$2:$L$201,10,FALSE),""))</f>
        <v/>
      </c>
      <c r="K347" s="10">
        <f>IF(OR(H347="",J347=""),"",H347*J347)</f>
        <v/>
      </c>
      <c r="L347" s="5">
        <f>IF(AND(B347="",D347=""),"",IF(B347="","Missing product",IF(D347="","Missing item",IF(C347="Product not found","Product not found",IF(E347="Item not found","Item not found",IF(OR(F347="",G347=""),"Missing quantity/unit",IF(IFERROR(VLOOKUP(G347,'Units'!$A$2:$D$13,3,FALSE),"")&lt;&gt;I347,"Unit mismatch",IF(J347="","Enter item cost","OK"))))))))</f>
        <v/>
      </c>
      <c r="M347" s="4" t="n"/>
    </row>
    <row r="348">
      <c r="A348" s="5">
        <f>IF(AND(B348="",D348=""),"",ROW()-1)</f>
        <v/>
      </c>
      <c r="B348" s="4" t="n"/>
      <c r="C348" s="5">
        <f>IF(B348="","",IFERROR(VLOOKUP(B348,'Products'!$A$2:$F$201,2,FALSE),"Product not found"))</f>
        <v/>
      </c>
      <c r="D348" s="4" t="n"/>
      <c r="E348" s="5">
        <f>IF(D348="","",IFERROR(VLOOKUP(D348,'Items'!$A$2:$L$201,2,FALSE),"Item not found"))</f>
        <v/>
      </c>
      <c r="F348" s="9" t="n"/>
      <c r="G348" s="4" t="n"/>
      <c r="H348" s="10">
        <f>IF(OR(F348="",G348=""),"",IFERROR(F348*VLOOKUP(G348,'Units'!$A$2:$D$13,4,FALSE),""))</f>
        <v/>
      </c>
      <c r="I348" s="5">
        <f>IF(D348="","",IFERROR(VLOOKUP(D348,'Items'!$A$2:$L$201,4,FALSE),""))</f>
        <v/>
      </c>
      <c r="J348" s="10">
        <f>IF(D348="","",IFERROR(VLOOKUP(D348,'Items'!$A$2:$L$201,10,FALSE),""))</f>
        <v/>
      </c>
      <c r="K348" s="10">
        <f>IF(OR(H348="",J348=""),"",H348*J348)</f>
        <v/>
      </c>
      <c r="L348" s="5">
        <f>IF(AND(B348="",D348=""),"",IF(B348="","Missing product",IF(D348="","Missing item",IF(C348="Product not found","Product not found",IF(E348="Item not found","Item not found",IF(OR(F348="",G348=""),"Missing quantity/unit",IF(IFERROR(VLOOKUP(G348,'Units'!$A$2:$D$13,3,FALSE),"")&lt;&gt;I348,"Unit mismatch",IF(J348="","Enter item cost","OK"))))))))</f>
        <v/>
      </c>
      <c r="M348" s="4" t="n"/>
    </row>
    <row r="349">
      <c r="A349" s="5">
        <f>IF(AND(B349="",D349=""),"",ROW()-1)</f>
        <v/>
      </c>
      <c r="B349" s="4" t="n"/>
      <c r="C349" s="5">
        <f>IF(B349="","",IFERROR(VLOOKUP(B349,'Products'!$A$2:$F$201,2,FALSE),"Product not found"))</f>
        <v/>
      </c>
      <c r="D349" s="4" t="n"/>
      <c r="E349" s="5">
        <f>IF(D349="","",IFERROR(VLOOKUP(D349,'Items'!$A$2:$L$201,2,FALSE),"Item not found"))</f>
        <v/>
      </c>
      <c r="F349" s="9" t="n"/>
      <c r="G349" s="4" t="n"/>
      <c r="H349" s="10">
        <f>IF(OR(F349="",G349=""),"",IFERROR(F349*VLOOKUP(G349,'Units'!$A$2:$D$13,4,FALSE),""))</f>
        <v/>
      </c>
      <c r="I349" s="5">
        <f>IF(D349="","",IFERROR(VLOOKUP(D349,'Items'!$A$2:$L$201,4,FALSE),""))</f>
        <v/>
      </c>
      <c r="J349" s="10">
        <f>IF(D349="","",IFERROR(VLOOKUP(D349,'Items'!$A$2:$L$201,10,FALSE),""))</f>
        <v/>
      </c>
      <c r="K349" s="10">
        <f>IF(OR(H349="",J349=""),"",H349*J349)</f>
        <v/>
      </c>
      <c r="L349" s="5">
        <f>IF(AND(B349="",D349=""),"",IF(B349="","Missing product",IF(D349="","Missing item",IF(C349="Product not found","Product not found",IF(E349="Item not found","Item not found",IF(OR(F349="",G349=""),"Missing quantity/unit",IF(IFERROR(VLOOKUP(G349,'Units'!$A$2:$D$13,3,FALSE),"")&lt;&gt;I349,"Unit mismatch",IF(J349="","Enter item cost","OK"))))))))</f>
        <v/>
      </c>
      <c r="M349" s="4" t="n"/>
    </row>
    <row r="350">
      <c r="A350" s="5">
        <f>IF(AND(B350="",D350=""),"",ROW()-1)</f>
        <v/>
      </c>
      <c r="B350" s="4" t="n"/>
      <c r="C350" s="5">
        <f>IF(B350="","",IFERROR(VLOOKUP(B350,'Products'!$A$2:$F$201,2,FALSE),"Product not found"))</f>
        <v/>
      </c>
      <c r="D350" s="4" t="n"/>
      <c r="E350" s="5">
        <f>IF(D350="","",IFERROR(VLOOKUP(D350,'Items'!$A$2:$L$201,2,FALSE),"Item not found"))</f>
        <v/>
      </c>
      <c r="F350" s="9" t="n"/>
      <c r="G350" s="4" t="n"/>
      <c r="H350" s="10">
        <f>IF(OR(F350="",G350=""),"",IFERROR(F350*VLOOKUP(G350,'Units'!$A$2:$D$13,4,FALSE),""))</f>
        <v/>
      </c>
      <c r="I350" s="5">
        <f>IF(D350="","",IFERROR(VLOOKUP(D350,'Items'!$A$2:$L$201,4,FALSE),""))</f>
        <v/>
      </c>
      <c r="J350" s="10">
        <f>IF(D350="","",IFERROR(VLOOKUP(D350,'Items'!$A$2:$L$201,10,FALSE),""))</f>
        <v/>
      </c>
      <c r="K350" s="10">
        <f>IF(OR(H350="",J350=""),"",H350*J350)</f>
        <v/>
      </c>
      <c r="L350" s="5">
        <f>IF(AND(B350="",D350=""),"",IF(B350="","Missing product",IF(D350="","Missing item",IF(C350="Product not found","Product not found",IF(E350="Item not found","Item not found",IF(OR(F350="",G350=""),"Missing quantity/unit",IF(IFERROR(VLOOKUP(G350,'Units'!$A$2:$D$13,3,FALSE),"")&lt;&gt;I350,"Unit mismatch",IF(J350="","Enter item cost","OK"))))))))</f>
        <v/>
      </c>
      <c r="M350" s="4" t="n"/>
    </row>
    <row r="351">
      <c r="A351" s="5">
        <f>IF(AND(B351="",D351=""),"",ROW()-1)</f>
        <v/>
      </c>
      <c r="B351" s="4" t="n"/>
      <c r="C351" s="5">
        <f>IF(B351="","",IFERROR(VLOOKUP(B351,'Products'!$A$2:$F$201,2,FALSE),"Product not found"))</f>
        <v/>
      </c>
      <c r="D351" s="4" t="n"/>
      <c r="E351" s="5">
        <f>IF(D351="","",IFERROR(VLOOKUP(D351,'Items'!$A$2:$L$201,2,FALSE),"Item not found"))</f>
        <v/>
      </c>
      <c r="F351" s="9" t="n"/>
      <c r="G351" s="4" t="n"/>
      <c r="H351" s="10">
        <f>IF(OR(F351="",G351=""),"",IFERROR(F351*VLOOKUP(G351,'Units'!$A$2:$D$13,4,FALSE),""))</f>
        <v/>
      </c>
      <c r="I351" s="5">
        <f>IF(D351="","",IFERROR(VLOOKUP(D351,'Items'!$A$2:$L$201,4,FALSE),""))</f>
        <v/>
      </c>
      <c r="J351" s="10">
        <f>IF(D351="","",IFERROR(VLOOKUP(D351,'Items'!$A$2:$L$201,10,FALSE),""))</f>
        <v/>
      </c>
      <c r="K351" s="10">
        <f>IF(OR(H351="",J351=""),"",H351*J351)</f>
        <v/>
      </c>
      <c r="L351" s="5">
        <f>IF(AND(B351="",D351=""),"",IF(B351="","Missing product",IF(D351="","Missing item",IF(C351="Product not found","Product not found",IF(E351="Item not found","Item not found",IF(OR(F351="",G351=""),"Missing quantity/unit",IF(IFERROR(VLOOKUP(G351,'Units'!$A$2:$D$13,3,FALSE),"")&lt;&gt;I351,"Unit mismatch",IF(J351="","Enter item cost","OK"))))))))</f>
        <v/>
      </c>
      <c r="M351" s="4" t="n"/>
    </row>
    <row r="352">
      <c r="A352" s="5">
        <f>IF(AND(B352="",D352=""),"",ROW()-1)</f>
        <v/>
      </c>
      <c r="B352" s="4" t="n"/>
      <c r="C352" s="5">
        <f>IF(B352="","",IFERROR(VLOOKUP(B352,'Products'!$A$2:$F$201,2,FALSE),"Product not found"))</f>
        <v/>
      </c>
      <c r="D352" s="4" t="n"/>
      <c r="E352" s="5">
        <f>IF(D352="","",IFERROR(VLOOKUP(D352,'Items'!$A$2:$L$201,2,FALSE),"Item not found"))</f>
        <v/>
      </c>
      <c r="F352" s="9" t="n"/>
      <c r="G352" s="4" t="n"/>
      <c r="H352" s="10">
        <f>IF(OR(F352="",G352=""),"",IFERROR(F352*VLOOKUP(G352,'Units'!$A$2:$D$13,4,FALSE),""))</f>
        <v/>
      </c>
      <c r="I352" s="5">
        <f>IF(D352="","",IFERROR(VLOOKUP(D352,'Items'!$A$2:$L$201,4,FALSE),""))</f>
        <v/>
      </c>
      <c r="J352" s="10">
        <f>IF(D352="","",IFERROR(VLOOKUP(D352,'Items'!$A$2:$L$201,10,FALSE),""))</f>
        <v/>
      </c>
      <c r="K352" s="10">
        <f>IF(OR(H352="",J352=""),"",H352*J352)</f>
        <v/>
      </c>
      <c r="L352" s="5">
        <f>IF(AND(B352="",D352=""),"",IF(B352="","Missing product",IF(D352="","Missing item",IF(C352="Product not found","Product not found",IF(E352="Item not found","Item not found",IF(OR(F352="",G352=""),"Missing quantity/unit",IF(IFERROR(VLOOKUP(G352,'Units'!$A$2:$D$13,3,FALSE),"")&lt;&gt;I352,"Unit mismatch",IF(J352="","Enter item cost","OK"))))))))</f>
        <v/>
      </c>
      <c r="M352" s="4" t="n"/>
    </row>
    <row r="353">
      <c r="A353" s="5">
        <f>IF(AND(B353="",D353=""),"",ROW()-1)</f>
        <v/>
      </c>
      <c r="B353" s="4" t="n"/>
      <c r="C353" s="5">
        <f>IF(B353="","",IFERROR(VLOOKUP(B353,'Products'!$A$2:$F$201,2,FALSE),"Product not found"))</f>
        <v/>
      </c>
      <c r="D353" s="4" t="n"/>
      <c r="E353" s="5">
        <f>IF(D353="","",IFERROR(VLOOKUP(D353,'Items'!$A$2:$L$201,2,FALSE),"Item not found"))</f>
        <v/>
      </c>
      <c r="F353" s="9" t="n"/>
      <c r="G353" s="4" t="n"/>
      <c r="H353" s="10">
        <f>IF(OR(F353="",G353=""),"",IFERROR(F353*VLOOKUP(G353,'Units'!$A$2:$D$13,4,FALSE),""))</f>
        <v/>
      </c>
      <c r="I353" s="5">
        <f>IF(D353="","",IFERROR(VLOOKUP(D353,'Items'!$A$2:$L$201,4,FALSE),""))</f>
        <v/>
      </c>
      <c r="J353" s="10">
        <f>IF(D353="","",IFERROR(VLOOKUP(D353,'Items'!$A$2:$L$201,10,FALSE),""))</f>
        <v/>
      </c>
      <c r="K353" s="10">
        <f>IF(OR(H353="",J353=""),"",H353*J353)</f>
        <v/>
      </c>
      <c r="L353" s="5">
        <f>IF(AND(B353="",D353=""),"",IF(B353="","Missing product",IF(D353="","Missing item",IF(C353="Product not found","Product not found",IF(E353="Item not found","Item not found",IF(OR(F353="",G353=""),"Missing quantity/unit",IF(IFERROR(VLOOKUP(G353,'Units'!$A$2:$D$13,3,FALSE),"")&lt;&gt;I353,"Unit mismatch",IF(J353="","Enter item cost","OK"))))))))</f>
        <v/>
      </c>
      <c r="M353" s="4" t="n"/>
    </row>
    <row r="354">
      <c r="A354" s="5">
        <f>IF(AND(B354="",D354=""),"",ROW()-1)</f>
        <v/>
      </c>
      <c r="B354" s="4" t="n"/>
      <c r="C354" s="5">
        <f>IF(B354="","",IFERROR(VLOOKUP(B354,'Products'!$A$2:$F$201,2,FALSE),"Product not found"))</f>
        <v/>
      </c>
      <c r="D354" s="4" t="n"/>
      <c r="E354" s="5">
        <f>IF(D354="","",IFERROR(VLOOKUP(D354,'Items'!$A$2:$L$201,2,FALSE),"Item not found"))</f>
        <v/>
      </c>
      <c r="F354" s="9" t="n"/>
      <c r="G354" s="4" t="n"/>
      <c r="H354" s="10">
        <f>IF(OR(F354="",G354=""),"",IFERROR(F354*VLOOKUP(G354,'Units'!$A$2:$D$13,4,FALSE),""))</f>
        <v/>
      </c>
      <c r="I354" s="5">
        <f>IF(D354="","",IFERROR(VLOOKUP(D354,'Items'!$A$2:$L$201,4,FALSE),""))</f>
        <v/>
      </c>
      <c r="J354" s="10">
        <f>IF(D354="","",IFERROR(VLOOKUP(D354,'Items'!$A$2:$L$201,10,FALSE),""))</f>
        <v/>
      </c>
      <c r="K354" s="10">
        <f>IF(OR(H354="",J354=""),"",H354*J354)</f>
        <v/>
      </c>
      <c r="L354" s="5">
        <f>IF(AND(B354="",D354=""),"",IF(B354="","Missing product",IF(D354="","Missing item",IF(C354="Product not found","Product not found",IF(E354="Item not found","Item not found",IF(OR(F354="",G354=""),"Missing quantity/unit",IF(IFERROR(VLOOKUP(G354,'Units'!$A$2:$D$13,3,FALSE),"")&lt;&gt;I354,"Unit mismatch",IF(J354="","Enter item cost","OK"))))))))</f>
        <v/>
      </c>
      <c r="M354" s="4" t="n"/>
    </row>
    <row r="355">
      <c r="A355" s="5">
        <f>IF(AND(B355="",D355=""),"",ROW()-1)</f>
        <v/>
      </c>
      <c r="B355" s="4" t="n"/>
      <c r="C355" s="5">
        <f>IF(B355="","",IFERROR(VLOOKUP(B355,'Products'!$A$2:$F$201,2,FALSE),"Product not found"))</f>
        <v/>
      </c>
      <c r="D355" s="4" t="n"/>
      <c r="E355" s="5">
        <f>IF(D355="","",IFERROR(VLOOKUP(D355,'Items'!$A$2:$L$201,2,FALSE),"Item not found"))</f>
        <v/>
      </c>
      <c r="F355" s="9" t="n"/>
      <c r="G355" s="4" t="n"/>
      <c r="H355" s="10">
        <f>IF(OR(F355="",G355=""),"",IFERROR(F355*VLOOKUP(G355,'Units'!$A$2:$D$13,4,FALSE),""))</f>
        <v/>
      </c>
      <c r="I355" s="5">
        <f>IF(D355="","",IFERROR(VLOOKUP(D355,'Items'!$A$2:$L$201,4,FALSE),""))</f>
        <v/>
      </c>
      <c r="J355" s="10">
        <f>IF(D355="","",IFERROR(VLOOKUP(D355,'Items'!$A$2:$L$201,10,FALSE),""))</f>
        <v/>
      </c>
      <c r="K355" s="10">
        <f>IF(OR(H355="",J355=""),"",H355*J355)</f>
        <v/>
      </c>
      <c r="L355" s="5">
        <f>IF(AND(B355="",D355=""),"",IF(B355="","Missing product",IF(D355="","Missing item",IF(C355="Product not found","Product not found",IF(E355="Item not found","Item not found",IF(OR(F355="",G355=""),"Missing quantity/unit",IF(IFERROR(VLOOKUP(G355,'Units'!$A$2:$D$13,3,FALSE),"")&lt;&gt;I355,"Unit mismatch",IF(J355="","Enter item cost","OK"))))))))</f>
        <v/>
      </c>
      <c r="M355" s="4" t="n"/>
    </row>
    <row r="356">
      <c r="A356" s="5">
        <f>IF(AND(B356="",D356=""),"",ROW()-1)</f>
        <v/>
      </c>
      <c r="B356" s="4" t="n"/>
      <c r="C356" s="5">
        <f>IF(B356="","",IFERROR(VLOOKUP(B356,'Products'!$A$2:$F$201,2,FALSE),"Product not found"))</f>
        <v/>
      </c>
      <c r="D356" s="4" t="n"/>
      <c r="E356" s="5">
        <f>IF(D356="","",IFERROR(VLOOKUP(D356,'Items'!$A$2:$L$201,2,FALSE),"Item not found"))</f>
        <v/>
      </c>
      <c r="F356" s="9" t="n"/>
      <c r="G356" s="4" t="n"/>
      <c r="H356" s="10">
        <f>IF(OR(F356="",G356=""),"",IFERROR(F356*VLOOKUP(G356,'Units'!$A$2:$D$13,4,FALSE),""))</f>
        <v/>
      </c>
      <c r="I356" s="5">
        <f>IF(D356="","",IFERROR(VLOOKUP(D356,'Items'!$A$2:$L$201,4,FALSE),""))</f>
        <v/>
      </c>
      <c r="J356" s="10">
        <f>IF(D356="","",IFERROR(VLOOKUP(D356,'Items'!$A$2:$L$201,10,FALSE),""))</f>
        <v/>
      </c>
      <c r="K356" s="10">
        <f>IF(OR(H356="",J356=""),"",H356*J356)</f>
        <v/>
      </c>
      <c r="L356" s="5">
        <f>IF(AND(B356="",D356=""),"",IF(B356="","Missing product",IF(D356="","Missing item",IF(C356="Product not found","Product not found",IF(E356="Item not found","Item not found",IF(OR(F356="",G356=""),"Missing quantity/unit",IF(IFERROR(VLOOKUP(G356,'Units'!$A$2:$D$13,3,FALSE),"")&lt;&gt;I356,"Unit mismatch",IF(J356="","Enter item cost","OK"))))))))</f>
        <v/>
      </c>
      <c r="M356" s="4" t="n"/>
    </row>
    <row r="357">
      <c r="A357" s="5">
        <f>IF(AND(B357="",D357=""),"",ROW()-1)</f>
        <v/>
      </c>
      <c r="B357" s="4" t="n"/>
      <c r="C357" s="5">
        <f>IF(B357="","",IFERROR(VLOOKUP(B357,'Products'!$A$2:$F$201,2,FALSE),"Product not found"))</f>
        <v/>
      </c>
      <c r="D357" s="4" t="n"/>
      <c r="E357" s="5">
        <f>IF(D357="","",IFERROR(VLOOKUP(D357,'Items'!$A$2:$L$201,2,FALSE),"Item not found"))</f>
        <v/>
      </c>
      <c r="F357" s="9" t="n"/>
      <c r="G357" s="4" t="n"/>
      <c r="H357" s="10">
        <f>IF(OR(F357="",G357=""),"",IFERROR(F357*VLOOKUP(G357,'Units'!$A$2:$D$13,4,FALSE),""))</f>
        <v/>
      </c>
      <c r="I357" s="5">
        <f>IF(D357="","",IFERROR(VLOOKUP(D357,'Items'!$A$2:$L$201,4,FALSE),""))</f>
        <v/>
      </c>
      <c r="J357" s="10">
        <f>IF(D357="","",IFERROR(VLOOKUP(D357,'Items'!$A$2:$L$201,10,FALSE),""))</f>
        <v/>
      </c>
      <c r="K357" s="10">
        <f>IF(OR(H357="",J357=""),"",H357*J357)</f>
        <v/>
      </c>
      <c r="L357" s="5">
        <f>IF(AND(B357="",D357=""),"",IF(B357="","Missing product",IF(D357="","Missing item",IF(C357="Product not found","Product not found",IF(E357="Item not found","Item not found",IF(OR(F357="",G357=""),"Missing quantity/unit",IF(IFERROR(VLOOKUP(G357,'Units'!$A$2:$D$13,3,FALSE),"")&lt;&gt;I357,"Unit mismatch",IF(J357="","Enter item cost","OK"))))))))</f>
        <v/>
      </c>
      <c r="M357" s="4" t="n"/>
    </row>
    <row r="358">
      <c r="A358" s="5">
        <f>IF(AND(B358="",D358=""),"",ROW()-1)</f>
        <v/>
      </c>
      <c r="B358" s="4" t="n"/>
      <c r="C358" s="5">
        <f>IF(B358="","",IFERROR(VLOOKUP(B358,'Products'!$A$2:$F$201,2,FALSE),"Product not found"))</f>
        <v/>
      </c>
      <c r="D358" s="4" t="n"/>
      <c r="E358" s="5">
        <f>IF(D358="","",IFERROR(VLOOKUP(D358,'Items'!$A$2:$L$201,2,FALSE),"Item not found"))</f>
        <v/>
      </c>
      <c r="F358" s="9" t="n"/>
      <c r="G358" s="4" t="n"/>
      <c r="H358" s="10">
        <f>IF(OR(F358="",G358=""),"",IFERROR(F358*VLOOKUP(G358,'Units'!$A$2:$D$13,4,FALSE),""))</f>
        <v/>
      </c>
      <c r="I358" s="5">
        <f>IF(D358="","",IFERROR(VLOOKUP(D358,'Items'!$A$2:$L$201,4,FALSE),""))</f>
        <v/>
      </c>
      <c r="J358" s="10">
        <f>IF(D358="","",IFERROR(VLOOKUP(D358,'Items'!$A$2:$L$201,10,FALSE),""))</f>
        <v/>
      </c>
      <c r="K358" s="10">
        <f>IF(OR(H358="",J358=""),"",H358*J358)</f>
        <v/>
      </c>
      <c r="L358" s="5">
        <f>IF(AND(B358="",D358=""),"",IF(B358="","Missing product",IF(D358="","Missing item",IF(C358="Product not found","Product not found",IF(E358="Item not found","Item not found",IF(OR(F358="",G358=""),"Missing quantity/unit",IF(IFERROR(VLOOKUP(G358,'Units'!$A$2:$D$13,3,FALSE),"")&lt;&gt;I358,"Unit mismatch",IF(J358="","Enter item cost","OK"))))))))</f>
        <v/>
      </c>
      <c r="M358" s="4" t="n"/>
    </row>
    <row r="359">
      <c r="A359" s="5">
        <f>IF(AND(B359="",D359=""),"",ROW()-1)</f>
        <v/>
      </c>
      <c r="B359" s="4" t="n"/>
      <c r="C359" s="5">
        <f>IF(B359="","",IFERROR(VLOOKUP(B359,'Products'!$A$2:$F$201,2,FALSE),"Product not found"))</f>
        <v/>
      </c>
      <c r="D359" s="4" t="n"/>
      <c r="E359" s="5">
        <f>IF(D359="","",IFERROR(VLOOKUP(D359,'Items'!$A$2:$L$201,2,FALSE),"Item not found"))</f>
        <v/>
      </c>
      <c r="F359" s="9" t="n"/>
      <c r="G359" s="4" t="n"/>
      <c r="H359" s="10">
        <f>IF(OR(F359="",G359=""),"",IFERROR(F359*VLOOKUP(G359,'Units'!$A$2:$D$13,4,FALSE),""))</f>
        <v/>
      </c>
      <c r="I359" s="5">
        <f>IF(D359="","",IFERROR(VLOOKUP(D359,'Items'!$A$2:$L$201,4,FALSE),""))</f>
        <v/>
      </c>
      <c r="J359" s="10">
        <f>IF(D359="","",IFERROR(VLOOKUP(D359,'Items'!$A$2:$L$201,10,FALSE),""))</f>
        <v/>
      </c>
      <c r="K359" s="10">
        <f>IF(OR(H359="",J359=""),"",H359*J359)</f>
        <v/>
      </c>
      <c r="L359" s="5">
        <f>IF(AND(B359="",D359=""),"",IF(B359="","Missing product",IF(D359="","Missing item",IF(C359="Product not found","Product not found",IF(E359="Item not found","Item not found",IF(OR(F359="",G359=""),"Missing quantity/unit",IF(IFERROR(VLOOKUP(G359,'Units'!$A$2:$D$13,3,FALSE),"")&lt;&gt;I359,"Unit mismatch",IF(J359="","Enter item cost","OK"))))))))</f>
        <v/>
      </c>
      <c r="M359" s="4" t="n"/>
    </row>
    <row r="360">
      <c r="A360" s="5">
        <f>IF(AND(B360="",D360=""),"",ROW()-1)</f>
        <v/>
      </c>
      <c r="B360" s="4" t="n"/>
      <c r="C360" s="5">
        <f>IF(B360="","",IFERROR(VLOOKUP(B360,'Products'!$A$2:$F$201,2,FALSE),"Product not found"))</f>
        <v/>
      </c>
      <c r="D360" s="4" t="n"/>
      <c r="E360" s="5">
        <f>IF(D360="","",IFERROR(VLOOKUP(D360,'Items'!$A$2:$L$201,2,FALSE),"Item not found"))</f>
        <v/>
      </c>
      <c r="F360" s="9" t="n"/>
      <c r="G360" s="4" t="n"/>
      <c r="H360" s="10">
        <f>IF(OR(F360="",G360=""),"",IFERROR(F360*VLOOKUP(G360,'Units'!$A$2:$D$13,4,FALSE),""))</f>
        <v/>
      </c>
      <c r="I360" s="5">
        <f>IF(D360="","",IFERROR(VLOOKUP(D360,'Items'!$A$2:$L$201,4,FALSE),""))</f>
        <v/>
      </c>
      <c r="J360" s="10">
        <f>IF(D360="","",IFERROR(VLOOKUP(D360,'Items'!$A$2:$L$201,10,FALSE),""))</f>
        <v/>
      </c>
      <c r="K360" s="10">
        <f>IF(OR(H360="",J360=""),"",H360*J360)</f>
        <v/>
      </c>
      <c r="L360" s="5">
        <f>IF(AND(B360="",D360=""),"",IF(B360="","Missing product",IF(D360="","Missing item",IF(C360="Product not found","Product not found",IF(E360="Item not found","Item not found",IF(OR(F360="",G360=""),"Missing quantity/unit",IF(IFERROR(VLOOKUP(G360,'Units'!$A$2:$D$13,3,FALSE),"")&lt;&gt;I360,"Unit mismatch",IF(J360="","Enter item cost","OK"))))))))</f>
        <v/>
      </c>
      <c r="M360" s="4" t="n"/>
    </row>
    <row r="361">
      <c r="A361" s="5">
        <f>IF(AND(B361="",D361=""),"",ROW()-1)</f>
        <v/>
      </c>
      <c r="B361" s="4" t="n"/>
      <c r="C361" s="5">
        <f>IF(B361="","",IFERROR(VLOOKUP(B361,'Products'!$A$2:$F$201,2,FALSE),"Product not found"))</f>
        <v/>
      </c>
      <c r="D361" s="4" t="n"/>
      <c r="E361" s="5">
        <f>IF(D361="","",IFERROR(VLOOKUP(D361,'Items'!$A$2:$L$201,2,FALSE),"Item not found"))</f>
        <v/>
      </c>
      <c r="F361" s="9" t="n"/>
      <c r="G361" s="4" t="n"/>
      <c r="H361" s="10">
        <f>IF(OR(F361="",G361=""),"",IFERROR(F361*VLOOKUP(G361,'Units'!$A$2:$D$13,4,FALSE),""))</f>
        <v/>
      </c>
      <c r="I361" s="5">
        <f>IF(D361="","",IFERROR(VLOOKUP(D361,'Items'!$A$2:$L$201,4,FALSE),""))</f>
        <v/>
      </c>
      <c r="J361" s="10">
        <f>IF(D361="","",IFERROR(VLOOKUP(D361,'Items'!$A$2:$L$201,10,FALSE),""))</f>
        <v/>
      </c>
      <c r="K361" s="10">
        <f>IF(OR(H361="",J361=""),"",H361*J361)</f>
        <v/>
      </c>
      <c r="L361" s="5">
        <f>IF(AND(B361="",D361=""),"",IF(B361="","Missing product",IF(D361="","Missing item",IF(C361="Product not found","Product not found",IF(E361="Item not found","Item not found",IF(OR(F361="",G361=""),"Missing quantity/unit",IF(IFERROR(VLOOKUP(G361,'Units'!$A$2:$D$13,3,FALSE),"")&lt;&gt;I361,"Unit mismatch",IF(J361="","Enter item cost","OK"))))))))</f>
        <v/>
      </c>
      <c r="M361" s="4" t="n"/>
    </row>
    <row r="362">
      <c r="A362" s="5">
        <f>IF(AND(B362="",D362=""),"",ROW()-1)</f>
        <v/>
      </c>
      <c r="B362" s="4" t="n"/>
      <c r="C362" s="5">
        <f>IF(B362="","",IFERROR(VLOOKUP(B362,'Products'!$A$2:$F$201,2,FALSE),"Product not found"))</f>
        <v/>
      </c>
      <c r="D362" s="4" t="n"/>
      <c r="E362" s="5">
        <f>IF(D362="","",IFERROR(VLOOKUP(D362,'Items'!$A$2:$L$201,2,FALSE),"Item not found"))</f>
        <v/>
      </c>
      <c r="F362" s="9" t="n"/>
      <c r="G362" s="4" t="n"/>
      <c r="H362" s="10">
        <f>IF(OR(F362="",G362=""),"",IFERROR(F362*VLOOKUP(G362,'Units'!$A$2:$D$13,4,FALSE),""))</f>
        <v/>
      </c>
      <c r="I362" s="5">
        <f>IF(D362="","",IFERROR(VLOOKUP(D362,'Items'!$A$2:$L$201,4,FALSE),""))</f>
        <v/>
      </c>
      <c r="J362" s="10">
        <f>IF(D362="","",IFERROR(VLOOKUP(D362,'Items'!$A$2:$L$201,10,FALSE),""))</f>
        <v/>
      </c>
      <c r="K362" s="10">
        <f>IF(OR(H362="",J362=""),"",H362*J362)</f>
        <v/>
      </c>
      <c r="L362" s="5">
        <f>IF(AND(B362="",D362=""),"",IF(B362="","Missing product",IF(D362="","Missing item",IF(C362="Product not found","Product not found",IF(E362="Item not found","Item not found",IF(OR(F362="",G362=""),"Missing quantity/unit",IF(IFERROR(VLOOKUP(G362,'Units'!$A$2:$D$13,3,FALSE),"")&lt;&gt;I362,"Unit mismatch",IF(J362="","Enter item cost","OK"))))))))</f>
        <v/>
      </c>
      <c r="M362" s="4" t="n"/>
    </row>
    <row r="363">
      <c r="A363" s="5">
        <f>IF(AND(B363="",D363=""),"",ROW()-1)</f>
        <v/>
      </c>
      <c r="B363" s="4" t="n"/>
      <c r="C363" s="5">
        <f>IF(B363="","",IFERROR(VLOOKUP(B363,'Products'!$A$2:$F$201,2,FALSE),"Product not found"))</f>
        <v/>
      </c>
      <c r="D363" s="4" t="n"/>
      <c r="E363" s="5">
        <f>IF(D363="","",IFERROR(VLOOKUP(D363,'Items'!$A$2:$L$201,2,FALSE),"Item not found"))</f>
        <v/>
      </c>
      <c r="F363" s="9" t="n"/>
      <c r="G363" s="4" t="n"/>
      <c r="H363" s="10">
        <f>IF(OR(F363="",G363=""),"",IFERROR(F363*VLOOKUP(G363,'Units'!$A$2:$D$13,4,FALSE),""))</f>
        <v/>
      </c>
      <c r="I363" s="5">
        <f>IF(D363="","",IFERROR(VLOOKUP(D363,'Items'!$A$2:$L$201,4,FALSE),""))</f>
        <v/>
      </c>
      <c r="J363" s="10">
        <f>IF(D363="","",IFERROR(VLOOKUP(D363,'Items'!$A$2:$L$201,10,FALSE),""))</f>
        <v/>
      </c>
      <c r="K363" s="10">
        <f>IF(OR(H363="",J363=""),"",H363*J363)</f>
        <v/>
      </c>
      <c r="L363" s="5">
        <f>IF(AND(B363="",D363=""),"",IF(B363="","Missing product",IF(D363="","Missing item",IF(C363="Product not found","Product not found",IF(E363="Item not found","Item not found",IF(OR(F363="",G363=""),"Missing quantity/unit",IF(IFERROR(VLOOKUP(G363,'Units'!$A$2:$D$13,3,FALSE),"")&lt;&gt;I363,"Unit mismatch",IF(J363="","Enter item cost","OK"))))))))</f>
        <v/>
      </c>
      <c r="M363" s="4" t="n"/>
    </row>
    <row r="364">
      <c r="A364" s="5">
        <f>IF(AND(B364="",D364=""),"",ROW()-1)</f>
        <v/>
      </c>
      <c r="B364" s="4" t="n"/>
      <c r="C364" s="5">
        <f>IF(B364="","",IFERROR(VLOOKUP(B364,'Products'!$A$2:$F$201,2,FALSE),"Product not found"))</f>
        <v/>
      </c>
      <c r="D364" s="4" t="n"/>
      <c r="E364" s="5">
        <f>IF(D364="","",IFERROR(VLOOKUP(D364,'Items'!$A$2:$L$201,2,FALSE),"Item not found"))</f>
        <v/>
      </c>
      <c r="F364" s="9" t="n"/>
      <c r="G364" s="4" t="n"/>
      <c r="H364" s="10">
        <f>IF(OR(F364="",G364=""),"",IFERROR(F364*VLOOKUP(G364,'Units'!$A$2:$D$13,4,FALSE),""))</f>
        <v/>
      </c>
      <c r="I364" s="5">
        <f>IF(D364="","",IFERROR(VLOOKUP(D364,'Items'!$A$2:$L$201,4,FALSE),""))</f>
        <v/>
      </c>
      <c r="J364" s="10">
        <f>IF(D364="","",IFERROR(VLOOKUP(D364,'Items'!$A$2:$L$201,10,FALSE),""))</f>
        <v/>
      </c>
      <c r="K364" s="10">
        <f>IF(OR(H364="",J364=""),"",H364*J364)</f>
        <v/>
      </c>
      <c r="L364" s="5">
        <f>IF(AND(B364="",D364=""),"",IF(B364="","Missing product",IF(D364="","Missing item",IF(C364="Product not found","Product not found",IF(E364="Item not found","Item not found",IF(OR(F364="",G364=""),"Missing quantity/unit",IF(IFERROR(VLOOKUP(G364,'Units'!$A$2:$D$13,3,FALSE),"")&lt;&gt;I364,"Unit mismatch",IF(J364="","Enter item cost","OK"))))))))</f>
        <v/>
      </c>
      <c r="M364" s="4" t="n"/>
    </row>
    <row r="365">
      <c r="A365" s="5">
        <f>IF(AND(B365="",D365=""),"",ROW()-1)</f>
        <v/>
      </c>
      <c r="B365" s="4" t="n"/>
      <c r="C365" s="5">
        <f>IF(B365="","",IFERROR(VLOOKUP(B365,'Products'!$A$2:$F$201,2,FALSE),"Product not found"))</f>
        <v/>
      </c>
      <c r="D365" s="4" t="n"/>
      <c r="E365" s="5">
        <f>IF(D365="","",IFERROR(VLOOKUP(D365,'Items'!$A$2:$L$201,2,FALSE),"Item not found"))</f>
        <v/>
      </c>
      <c r="F365" s="9" t="n"/>
      <c r="G365" s="4" t="n"/>
      <c r="H365" s="10">
        <f>IF(OR(F365="",G365=""),"",IFERROR(F365*VLOOKUP(G365,'Units'!$A$2:$D$13,4,FALSE),""))</f>
        <v/>
      </c>
      <c r="I365" s="5">
        <f>IF(D365="","",IFERROR(VLOOKUP(D365,'Items'!$A$2:$L$201,4,FALSE),""))</f>
        <v/>
      </c>
      <c r="J365" s="10">
        <f>IF(D365="","",IFERROR(VLOOKUP(D365,'Items'!$A$2:$L$201,10,FALSE),""))</f>
        <v/>
      </c>
      <c r="K365" s="10">
        <f>IF(OR(H365="",J365=""),"",H365*J365)</f>
        <v/>
      </c>
      <c r="L365" s="5">
        <f>IF(AND(B365="",D365=""),"",IF(B365="","Missing product",IF(D365="","Missing item",IF(C365="Product not found","Product not found",IF(E365="Item not found","Item not found",IF(OR(F365="",G365=""),"Missing quantity/unit",IF(IFERROR(VLOOKUP(G365,'Units'!$A$2:$D$13,3,FALSE),"")&lt;&gt;I365,"Unit mismatch",IF(J365="","Enter item cost","OK"))))))))</f>
        <v/>
      </c>
      <c r="M365" s="4" t="n"/>
    </row>
    <row r="366">
      <c r="A366" s="5">
        <f>IF(AND(B366="",D366=""),"",ROW()-1)</f>
        <v/>
      </c>
      <c r="B366" s="4" t="n"/>
      <c r="C366" s="5">
        <f>IF(B366="","",IFERROR(VLOOKUP(B366,'Products'!$A$2:$F$201,2,FALSE),"Product not found"))</f>
        <v/>
      </c>
      <c r="D366" s="4" t="n"/>
      <c r="E366" s="5">
        <f>IF(D366="","",IFERROR(VLOOKUP(D366,'Items'!$A$2:$L$201,2,FALSE),"Item not found"))</f>
        <v/>
      </c>
      <c r="F366" s="9" t="n"/>
      <c r="G366" s="4" t="n"/>
      <c r="H366" s="10">
        <f>IF(OR(F366="",G366=""),"",IFERROR(F366*VLOOKUP(G366,'Units'!$A$2:$D$13,4,FALSE),""))</f>
        <v/>
      </c>
      <c r="I366" s="5">
        <f>IF(D366="","",IFERROR(VLOOKUP(D366,'Items'!$A$2:$L$201,4,FALSE),""))</f>
        <v/>
      </c>
      <c r="J366" s="10">
        <f>IF(D366="","",IFERROR(VLOOKUP(D366,'Items'!$A$2:$L$201,10,FALSE),""))</f>
        <v/>
      </c>
      <c r="K366" s="10">
        <f>IF(OR(H366="",J366=""),"",H366*J366)</f>
        <v/>
      </c>
      <c r="L366" s="5">
        <f>IF(AND(B366="",D366=""),"",IF(B366="","Missing product",IF(D366="","Missing item",IF(C366="Product not found","Product not found",IF(E366="Item not found","Item not found",IF(OR(F366="",G366=""),"Missing quantity/unit",IF(IFERROR(VLOOKUP(G366,'Units'!$A$2:$D$13,3,FALSE),"")&lt;&gt;I366,"Unit mismatch",IF(J366="","Enter item cost","OK"))))))))</f>
        <v/>
      </c>
      <c r="M366" s="4" t="n"/>
    </row>
    <row r="367">
      <c r="A367" s="5">
        <f>IF(AND(B367="",D367=""),"",ROW()-1)</f>
        <v/>
      </c>
      <c r="B367" s="4" t="n"/>
      <c r="C367" s="5">
        <f>IF(B367="","",IFERROR(VLOOKUP(B367,'Products'!$A$2:$F$201,2,FALSE),"Product not found"))</f>
        <v/>
      </c>
      <c r="D367" s="4" t="n"/>
      <c r="E367" s="5">
        <f>IF(D367="","",IFERROR(VLOOKUP(D367,'Items'!$A$2:$L$201,2,FALSE),"Item not found"))</f>
        <v/>
      </c>
      <c r="F367" s="9" t="n"/>
      <c r="G367" s="4" t="n"/>
      <c r="H367" s="10">
        <f>IF(OR(F367="",G367=""),"",IFERROR(F367*VLOOKUP(G367,'Units'!$A$2:$D$13,4,FALSE),""))</f>
        <v/>
      </c>
      <c r="I367" s="5">
        <f>IF(D367="","",IFERROR(VLOOKUP(D367,'Items'!$A$2:$L$201,4,FALSE),""))</f>
        <v/>
      </c>
      <c r="J367" s="10">
        <f>IF(D367="","",IFERROR(VLOOKUP(D367,'Items'!$A$2:$L$201,10,FALSE),""))</f>
        <v/>
      </c>
      <c r="K367" s="10">
        <f>IF(OR(H367="",J367=""),"",H367*J367)</f>
        <v/>
      </c>
      <c r="L367" s="5">
        <f>IF(AND(B367="",D367=""),"",IF(B367="","Missing product",IF(D367="","Missing item",IF(C367="Product not found","Product not found",IF(E367="Item not found","Item not found",IF(OR(F367="",G367=""),"Missing quantity/unit",IF(IFERROR(VLOOKUP(G367,'Units'!$A$2:$D$13,3,FALSE),"")&lt;&gt;I367,"Unit mismatch",IF(J367="","Enter item cost","OK"))))))))</f>
        <v/>
      </c>
      <c r="M367" s="4" t="n"/>
    </row>
    <row r="368">
      <c r="A368" s="5">
        <f>IF(AND(B368="",D368=""),"",ROW()-1)</f>
        <v/>
      </c>
      <c r="B368" s="4" t="n"/>
      <c r="C368" s="5">
        <f>IF(B368="","",IFERROR(VLOOKUP(B368,'Products'!$A$2:$F$201,2,FALSE),"Product not found"))</f>
        <v/>
      </c>
      <c r="D368" s="4" t="n"/>
      <c r="E368" s="5">
        <f>IF(D368="","",IFERROR(VLOOKUP(D368,'Items'!$A$2:$L$201,2,FALSE),"Item not found"))</f>
        <v/>
      </c>
      <c r="F368" s="9" t="n"/>
      <c r="G368" s="4" t="n"/>
      <c r="H368" s="10">
        <f>IF(OR(F368="",G368=""),"",IFERROR(F368*VLOOKUP(G368,'Units'!$A$2:$D$13,4,FALSE),""))</f>
        <v/>
      </c>
      <c r="I368" s="5">
        <f>IF(D368="","",IFERROR(VLOOKUP(D368,'Items'!$A$2:$L$201,4,FALSE),""))</f>
        <v/>
      </c>
      <c r="J368" s="10">
        <f>IF(D368="","",IFERROR(VLOOKUP(D368,'Items'!$A$2:$L$201,10,FALSE),""))</f>
        <v/>
      </c>
      <c r="K368" s="10">
        <f>IF(OR(H368="",J368=""),"",H368*J368)</f>
        <v/>
      </c>
      <c r="L368" s="5">
        <f>IF(AND(B368="",D368=""),"",IF(B368="","Missing product",IF(D368="","Missing item",IF(C368="Product not found","Product not found",IF(E368="Item not found","Item not found",IF(OR(F368="",G368=""),"Missing quantity/unit",IF(IFERROR(VLOOKUP(G368,'Units'!$A$2:$D$13,3,FALSE),"")&lt;&gt;I368,"Unit mismatch",IF(J368="","Enter item cost","OK"))))))))</f>
        <v/>
      </c>
      <c r="M368" s="4" t="n"/>
    </row>
    <row r="369">
      <c r="A369" s="5">
        <f>IF(AND(B369="",D369=""),"",ROW()-1)</f>
        <v/>
      </c>
      <c r="B369" s="4" t="n"/>
      <c r="C369" s="5">
        <f>IF(B369="","",IFERROR(VLOOKUP(B369,'Products'!$A$2:$F$201,2,FALSE),"Product not found"))</f>
        <v/>
      </c>
      <c r="D369" s="4" t="n"/>
      <c r="E369" s="5">
        <f>IF(D369="","",IFERROR(VLOOKUP(D369,'Items'!$A$2:$L$201,2,FALSE),"Item not found"))</f>
        <v/>
      </c>
      <c r="F369" s="9" t="n"/>
      <c r="G369" s="4" t="n"/>
      <c r="H369" s="10">
        <f>IF(OR(F369="",G369=""),"",IFERROR(F369*VLOOKUP(G369,'Units'!$A$2:$D$13,4,FALSE),""))</f>
        <v/>
      </c>
      <c r="I369" s="5">
        <f>IF(D369="","",IFERROR(VLOOKUP(D369,'Items'!$A$2:$L$201,4,FALSE),""))</f>
        <v/>
      </c>
      <c r="J369" s="10">
        <f>IF(D369="","",IFERROR(VLOOKUP(D369,'Items'!$A$2:$L$201,10,FALSE),""))</f>
        <v/>
      </c>
      <c r="K369" s="10">
        <f>IF(OR(H369="",J369=""),"",H369*J369)</f>
        <v/>
      </c>
      <c r="L369" s="5">
        <f>IF(AND(B369="",D369=""),"",IF(B369="","Missing product",IF(D369="","Missing item",IF(C369="Product not found","Product not found",IF(E369="Item not found","Item not found",IF(OR(F369="",G369=""),"Missing quantity/unit",IF(IFERROR(VLOOKUP(G369,'Units'!$A$2:$D$13,3,FALSE),"")&lt;&gt;I369,"Unit mismatch",IF(J369="","Enter item cost","OK"))))))))</f>
        <v/>
      </c>
      <c r="M369" s="4" t="n"/>
    </row>
    <row r="370">
      <c r="A370" s="5">
        <f>IF(AND(B370="",D370=""),"",ROW()-1)</f>
        <v/>
      </c>
      <c r="B370" s="4" t="n"/>
      <c r="C370" s="5">
        <f>IF(B370="","",IFERROR(VLOOKUP(B370,'Products'!$A$2:$F$201,2,FALSE),"Product not found"))</f>
        <v/>
      </c>
      <c r="D370" s="4" t="n"/>
      <c r="E370" s="5">
        <f>IF(D370="","",IFERROR(VLOOKUP(D370,'Items'!$A$2:$L$201,2,FALSE),"Item not found"))</f>
        <v/>
      </c>
      <c r="F370" s="9" t="n"/>
      <c r="G370" s="4" t="n"/>
      <c r="H370" s="10">
        <f>IF(OR(F370="",G370=""),"",IFERROR(F370*VLOOKUP(G370,'Units'!$A$2:$D$13,4,FALSE),""))</f>
        <v/>
      </c>
      <c r="I370" s="5">
        <f>IF(D370="","",IFERROR(VLOOKUP(D370,'Items'!$A$2:$L$201,4,FALSE),""))</f>
        <v/>
      </c>
      <c r="J370" s="10">
        <f>IF(D370="","",IFERROR(VLOOKUP(D370,'Items'!$A$2:$L$201,10,FALSE),""))</f>
        <v/>
      </c>
      <c r="K370" s="10">
        <f>IF(OR(H370="",J370=""),"",H370*J370)</f>
        <v/>
      </c>
      <c r="L370" s="5">
        <f>IF(AND(B370="",D370=""),"",IF(B370="","Missing product",IF(D370="","Missing item",IF(C370="Product not found","Product not found",IF(E370="Item not found","Item not found",IF(OR(F370="",G370=""),"Missing quantity/unit",IF(IFERROR(VLOOKUP(G370,'Units'!$A$2:$D$13,3,FALSE),"")&lt;&gt;I370,"Unit mismatch",IF(J370="","Enter item cost","OK"))))))))</f>
        <v/>
      </c>
      <c r="M370" s="4" t="n"/>
    </row>
    <row r="371">
      <c r="A371" s="5">
        <f>IF(AND(B371="",D371=""),"",ROW()-1)</f>
        <v/>
      </c>
      <c r="B371" s="4" t="n"/>
      <c r="C371" s="5">
        <f>IF(B371="","",IFERROR(VLOOKUP(B371,'Products'!$A$2:$F$201,2,FALSE),"Product not found"))</f>
        <v/>
      </c>
      <c r="D371" s="4" t="n"/>
      <c r="E371" s="5">
        <f>IF(D371="","",IFERROR(VLOOKUP(D371,'Items'!$A$2:$L$201,2,FALSE),"Item not found"))</f>
        <v/>
      </c>
      <c r="F371" s="9" t="n"/>
      <c r="G371" s="4" t="n"/>
      <c r="H371" s="10">
        <f>IF(OR(F371="",G371=""),"",IFERROR(F371*VLOOKUP(G371,'Units'!$A$2:$D$13,4,FALSE),""))</f>
        <v/>
      </c>
      <c r="I371" s="5">
        <f>IF(D371="","",IFERROR(VLOOKUP(D371,'Items'!$A$2:$L$201,4,FALSE),""))</f>
        <v/>
      </c>
      <c r="J371" s="10">
        <f>IF(D371="","",IFERROR(VLOOKUP(D371,'Items'!$A$2:$L$201,10,FALSE),""))</f>
        <v/>
      </c>
      <c r="K371" s="10">
        <f>IF(OR(H371="",J371=""),"",H371*J371)</f>
        <v/>
      </c>
      <c r="L371" s="5">
        <f>IF(AND(B371="",D371=""),"",IF(B371="","Missing product",IF(D371="","Missing item",IF(C371="Product not found","Product not found",IF(E371="Item not found","Item not found",IF(OR(F371="",G371=""),"Missing quantity/unit",IF(IFERROR(VLOOKUP(G371,'Units'!$A$2:$D$13,3,FALSE),"")&lt;&gt;I371,"Unit mismatch",IF(J371="","Enter item cost","OK"))))))))</f>
        <v/>
      </c>
      <c r="M371" s="4" t="n"/>
    </row>
    <row r="372">
      <c r="A372" s="5">
        <f>IF(AND(B372="",D372=""),"",ROW()-1)</f>
        <v/>
      </c>
      <c r="B372" s="4" t="n"/>
      <c r="C372" s="5">
        <f>IF(B372="","",IFERROR(VLOOKUP(B372,'Products'!$A$2:$F$201,2,FALSE),"Product not found"))</f>
        <v/>
      </c>
      <c r="D372" s="4" t="n"/>
      <c r="E372" s="5">
        <f>IF(D372="","",IFERROR(VLOOKUP(D372,'Items'!$A$2:$L$201,2,FALSE),"Item not found"))</f>
        <v/>
      </c>
      <c r="F372" s="9" t="n"/>
      <c r="G372" s="4" t="n"/>
      <c r="H372" s="10">
        <f>IF(OR(F372="",G372=""),"",IFERROR(F372*VLOOKUP(G372,'Units'!$A$2:$D$13,4,FALSE),""))</f>
        <v/>
      </c>
      <c r="I372" s="5">
        <f>IF(D372="","",IFERROR(VLOOKUP(D372,'Items'!$A$2:$L$201,4,FALSE),""))</f>
        <v/>
      </c>
      <c r="J372" s="10">
        <f>IF(D372="","",IFERROR(VLOOKUP(D372,'Items'!$A$2:$L$201,10,FALSE),""))</f>
        <v/>
      </c>
      <c r="K372" s="10">
        <f>IF(OR(H372="",J372=""),"",H372*J372)</f>
        <v/>
      </c>
      <c r="L372" s="5">
        <f>IF(AND(B372="",D372=""),"",IF(B372="","Missing product",IF(D372="","Missing item",IF(C372="Product not found","Product not found",IF(E372="Item not found","Item not found",IF(OR(F372="",G372=""),"Missing quantity/unit",IF(IFERROR(VLOOKUP(G372,'Units'!$A$2:$D$13,3,FALSE),"")&lt;&gt;I372,"Unit mismatch",IF(J372="","Enter item cost","OK"))))))))</f>
        <v/>
      </c>
      <c r="M372" s="4" t="n"/>
    </row>
    <row r="373">
      <c r="A373" s="5">
        <f>IF(AND(B373="",D373=""),"",ROW()-1)</f>
        <v/>
      </c>
      <c r="B373" s="4" t="n"/>
      <c r="C373" s="5">
        <f>IF(B373="","",IFERROR(VLOOKUP(B373,'Products'!$A$2:$F$201,2,FALSE),"Product not found"))</f>
        <v/>
      </c>
      <c r="D373" s="4" t="n"/>
      <c r="E373" s="5">
        <f>IF(D373="","",IFERROR(VLOOKUP(D373,'Items'!$A$2:$L$201,2,FALSE),"Item not found"))</f>
        <v/>
      </c>
      <c r="F373" s="9" t="n"/>
      <c r="G373" s="4" t="n"/>
      <c r="H373" s="10">
        <f>IF(OR(F373="",G373=""),"",IFERROR(F373*VLOOKUP(G373,'Units'!$A$2:$D$13,4,FALSE),""))</f>
        <v/>
      </c>
      <c r="I373" s="5">
        <f>IF(D373="","",IFERROR(VLOOKUP(D373,'Items'!$A$2:$L$201,4,FALSE),""))</f>
        <v/>
      </c>
      <c r="J373" s="10">
        <f>IF(D373="","",IFERROR(VLOOKUP(D373,'Items'!$A$2:$L$201,10,FALSE),""))</f>
        <v/>
      </c>
      <c r="K373" s="10">
        <f>IF(OR(H373="",J373=""),"",H373*J373)</f>
        <v/>
      </c>
      <c r="L373" s="5">
        <f>IF(AND(B373="",D373=""),"",IF(B373="","Missing product",IF(D373="","Missing item",IF(C373="Product not found","Product not found",IF(E373="Item not found","Item not found",IF(OR(F373="",G373=""),"Missing quantity/unit",IF(IFERROR(VLOOKUP(G373,'Units'!$A$2:$D$13,3,FALSE),"")&lt;&gt;I373,"Unit mismatch",IF(J373="","Enter item cost","OK"))))))))</f>
        <v/>
      </c>
      <c r="M373" s="4" t="n"/>
    </row>
    <row r="374">
      <c r="A374" s="5">
        <f>IF(AND(B374="",D374=""),"",ROW()-1)</f>
        <v/>
      </c>
      <c r="B374" s="4" t="n"/>
      <c r="C374" s="5">
        <f>IF(B374="","",IFERROR(VLOOKUP(B374,'Products'!$A$2:$F$201,2,FALSE),"Product not found"))</f>
        <v/>
      </c>
      <c r="D374" s="4" t="n"/>
      <c r="E374" s="5">
        <f>IF(D374="","",IFERROR(VLOOKUP(D374,'Items'!$A$2:$L$201,2,FALSE),"Item not found"))</f>
        <v/>
      </c>
      <c r="F374" s="9" t="n"/>
      <c r="G374" s="4" t="n"/>
      <c r="H374" s="10">
        <f>IF(OR(F374="",G374=""),"",IFERROR(F374*VLOOKUP(G374,'Units'!$A$2:$D$13,4,FALSE),""))</f>
        <v/>
      </c>
      <c r="I374" s="5">
        <f>IF(D374="","",IFERROR(VLOOKUP(D374,'Items'!$A$2:$L$201,4,FALSE),""))</f>
        <v/>
      </c>
      <c r="J374" s="10">
        <f>IF(D374="","",IFERROR(VLOOKUP(D374,'Items'!$A$2:$L$201,10,FALSE),""))</f>
        <v/>
      </c>
      <c r="K374" s="10">
        <f>IF(OR(H374="",J374=""),"",H374*J374)</f>
        <v/>
      </c>
      <c r="L374" s="5">
        <f>IF(AND(B374="",D374=""),"",IF(B374="","Missing product",IF(D374="","Missing item",IF(C374="Product not found","Product not found",IF(E374="Item not found","Item not found",IF(OR(F374="",G374=""),"Missing quantity/unit",IF(IFERROR(VLOOKUP(G374,'Units'!$A$2:$D$13,3,FALSE),"")&lt;&gt;I374,"Unit mismatch",IF(J374="","Enter item cost","OK"))))))))</f>
        <v/>
      </c>
      <c r="M374" s="4" t="n"/>
    </row>
    <row r="375">
      <c r="A375" s="5">
        <f>IF(AND(B375="",D375=""),"",ROW()-1)</f>
        <v/>
      </c>
      <c r="B375" s="4" t="n"/>
      <c r="C375" s="5">
        <f>IF(B375="","",IFERROR(VLOOKUP(B375,'Products'!$A$2:$F$201,2,FALSE),"Product not found"))</f>
        <v/>
      </c>
      <c r="D375" s="4" t="n"/>
      <c r="E375" s="5">
        <f>IF(D375="","",IFERROR(VLOOKUP(D375,'Items'!$A$2:$L$201,2,FALSE),"Item not found"))</f>
        <v/>
      </c>
      <c r="F375" s="9" t="n"/>
      <c r="G375" s="4" t="n"/>
      <c r="H375" s="10">
        <f>IF(OR(F375="",G375=""),"",IFERROR(F375*VLOOKUP(G375,'Units'!$A$2:$D$13,4,FALSE),""))</f>
        <v/>
      </c>
      <c r="I375" s="5">
        <f>IF(D375="","",IFERROR(VLOOKUP(D375,'Items'!$A$2:$L$201,4,FALSE),""))</f>
        <v/>
      </c>
      <c r="J375" s="10">
        <f>IF(D375="","",IFERROR(VLOOKUP(D375,'Items'!$A$2:$L$201,10,FALSE),""))</f>
        <v/>
      </c>
      <c r="K375" s="10">
        <f>IF(OR(H375="",J375=""),"",H375*J375)</f>
        <v/>
      </c>
      <c r="L375" s="5">
        <f>IF(AND(B375="",D375=""),"",IF(B375="","Missing product",IF(D375="","Missing item",IF(C375="Product not found","Product not found",IF(E375="Item not found","Item not found",IF(OR(F375="",G375=""),"Missing quantity/unit",IF(IFERROR(VLOOKUP(G375,'Units'!$A$2:$D$13,3,FALSE),"")&lt;&gt;I375,"Unit mismatch",IF(J375="","Enter item cost","OK"))))))))</f>
        <v/>
      </c>
      <c r="M375" s="4" t="n"/>
    </row>
    <row r="376">
      <c r="A376" s="5">
        <f>IF(AND(B376="",D376=""),"",ROW()-1)</f>
        <v/>
      </c>
      <c r="B376" s="4" t="n"/>
      <c r="C376" s="5">
        <f>IF(B376="","",IFERROR(VLOOKUP(B376,'Products'!$A$2:$F$201,2,FALSE),"Product not found"))</f>
        <v/>
      </c>
      <c r="D376" s="4" t="n"/>
      <c r="E376" s="5">
        <f>IF(D376="","",IFERROR(VLOOKUP(D376,'Items'!$A$2:$L$201,2,FALSE),"Item not found"))</f>
        <v/>
      </c>
      <c r="F376" s="9" t="n"/>
      <c r="G376" s="4" t="n"/>
      <c r="H376" s="10">
        <f>IF(OR(F376="",G376=""),"",IFERROR(F376*VLOOKUP(G376,'Units'!$A$2:$D$13,4,FALSE),""))</f>
        <v/>
      </c>
      <c r="I376" s="5">
        <f>IF(D376="","",IFERROR(VLOOKUP(D376,'Items'!$A$2:$L$201,4,FALSE),""))</f>
        <v/>
      </c>
      <c r="J376" s="10">
        <f>IF(D376="","",IFERROR(VLOOKUP(D376,'Items'!$A$2:$L$201,10,FALSE),""))</f>
        <v/>
      </c>
      <c r="K376" s="10">
        <f>IF(OR(H376="",J376=""),"",H376*J376)</f>
        <v/>
      </c>
      <c r="L376" s="5">
        <f>IF(AND(B376="",D376=""),"",IF(B376="","Missing product",IF(D376="","Missing item",IF(C376="Product not found","Product not found",IF(E376="Item not found","Item not found",IF(OR(F376="",G376=""),"Missing quantity/unit",IF(IFERROR(VLOOKUP(G376,'Units'!$A$2:$D$13,3,FALSE),"")&lt;&gt;I376,"Unit mismatch",IF(J376="","Enter item cost","OK"))))))))</f>
        <v/>
      </c>
      <c r="M376" s="4" t="n"/>
    </row>
    <row r="377">
      <c r="A377" s="5">
        <f>IF(AND(B377="",D377=""),"",ROW()-1)</f>
        <v/>
      </c>
      <c r="B377" s="4" t="n"/>
      <c r="C377" s="5">
        <f>IF(B377="","",IFERROR(VLOOKUP(B377,'Products'!$A$2:$F$201,2,FALSE),"Product not found"))</f>
        <v/>
      </c>
      <c r="D377" s="4" t="n"/>
      <c r="E377" s="5">
        <f>IF(D377="","",IFERROR(VLOOKUP(D377,'Items'!$A$2:$L$201,2,FALSE),"Item not found"))</f>
        <v/>
      </c>
      <c r="F377" s="9" t="n"/>
      <c r="G377" s="4" t="n"/>
      <c r="H377" s="10">
        <f>IF(OR(F377="",G377=""),"",IFERROR(F377*VLOOKUP(G377,'Units'!$A$2:$D$13,4,FALSE),""))</f>
        <v/>
      </c>
      <c r="I377" s="5">
        <f>IF(D377="","",IFERROR(VLOOKUP(D377,'Items'!$A$2:$L$201,4,FALSE),""))</f>
        <v/>
      </c>
      <c r="J377" s="10">
        <f>IF(D377="","",IFERROR(VLOOKUP(D377,'Items'!$A$2:$L$201,10,FALSE),""))</f>
        <v/>
      </c>
      <c r="K377" s="10">
        <f>IF(OR(H377="",J377=""),"",H377*J377)</f>
        <v/>
      </c>
      <c r="L377" s="5">
        <f>IF(AND(B377="",D377=""),"",IF(B377="","Missing product",IF(D377="","Missing item",IF(C377="Product not found","Product not found",IF(E377="Item not found","Item not found",IF(OR(F377="",G377=""),"Missing quantity/unit",IF(IFERROR(VLOOKUP(G377,'Units'!$A$2:$D$13,3,FALSE),"")&lt;&gt;I377,"Unit mismatch",IF(J377="","Enter item cost","OK"))))))))</f>
        <v/>
      </c>
      <c r="M377" s="4" t="n"/>
    </row>
    <row r="378">
      <c r="A378" s="5">
        <f>IF(AND(B378="",D378=""),"",ROW()-1)</f>
        <v/>
      </c>
      <c r="B378" s="4" t="n"/>
      <c r="C378" s="5">
        <f>IF(B378="","",IFERROR(VLOOKUP(B378,'Products'!$A$2:$F$201,2,FALSE),"Product not found"))</f>
        <v/>
      </c>
      <c r="D378" s="4" t="n"/>
      <c r="E378" s="5">
        <f>IF(D378="","",IFERROR(VLOOKUP(D378,'Items'!$A$2:$L$201,2,FALSE),"Item not found"))</f>
        <v/>
      </c>
      <c r="F378" s="9" t="n"/>
      <c r="G378" s="4" t="n"/>
      <c r="H378" s="10">
        <f>IF(OR(F378="",G378=""),"",IFERROR(F378*VLOOKUP(G378,'Units'!$A$2:$D$13,4,FALSE),""))</f>
        <v/>
      </c>
      <c r="I378" s="5">
        <f>IF(D378="","",IFERROR(VLOOKUP(D378,'Items'!$A$2:$L$201,4,FALSE),""))</f>
        <v/>
      </c>
      <c r="J378" s="10">
        <f>IF(D378="","",IFERROR(VLOOKUP(D378,'Items'!$A$2:$L$201,10,FALSE),""))</f>
        <v/>
      </c>
      <c r="K378" s="10">
        <f>IF(OR(H378="",J378=""),"",H378*J378)</f>
        <v/>
      </c>
      <c r="L378" s="5">
        <f>IF(AND(B378="",D378=""),"",IF(B378="","Missing product",IF(D378="","Missing item",IF(C378="Product not found","Product not found",IF(E378="Item not found","Item not found",IF(OR(F378="",G378=""),"Missing quantity/unit",IF(IFERROR(VLOOKUP(G378,'Units'!$A$2:$D$13,3,FALSE),"")&lt;&gt;I378,"Unit mismatch",IF(J378="","Enter item cost","OK"))))))))</f>
        <v/>
      </c>
      <c r="M378" s="4" t="n"/>
    </row>
    <row r="379">
      <c r="A379" s="5">
        <f>IF(AND(B379="",D379=""),"",ROW()-1)</f>
        <v/>
      </c>
      <c r="B379" s="4" t="n"/>
      <c r="C379" s="5">
        <f>IF(B379="","",IFERROR(VLOOKUP(B379,'Products'!$A$2:$F$201,2,FALSE),"Product not found"))</f>
        <v/>
      </c>
      <c r="D379" s="4" t="n"/>
      <c r="E379" s="5">
        <f>IF(D379="","",IFERROR(VLOOKUP(D379,'Items'!$A$2:$L$201,2,FALSE),"Item not found"))</f>
        <v/>
      </c>
      <c r="F379" s="9" t="n"/>
      <c r="G379" s="4" t="n"/>
      <c r="H379" s="10">
        <f>IF(OR(F379="",G379=""),"",IFERROR(F379*VLOOKUP(G379,'Units'!$A$2:$D$13,4,FALSE),""))</f>
        <v/>
      </c>
      <c r="I379" s="5">
        <f>IF(D379="","",IFERROR(VLOOKUP(D379,'Items'!$A$2:$L$201,4,FALSE),""))</f>
        <v/>
      </c>
      <c r="J379" s="10">
        <f>IF(D379="","",IFERROR(VLOOKUP(D379,'Items'!$A$2:$L$201,10,FALSE),""))</f>
        <v/>
      </c>
      <c r="K379" s="10">
        <f>IF(OR(H379="",J379=""),"",H379*J379)</f>
        <v/>
      </c>
      <c r="L379" s="5">
        <f>IF(AND(B379="",D379=""),"",IF(B379="","Missing product",IF(D379="","Missing item",IF(C379="Product not found","Product not found",IF(E379="Item not found","Item not found",IF(OR(F379="",G379=""),"Missing quantity/unit",IF(IFERROR(VLOOKUP(G379,'Units'!$A$2:$D$13,3,FALSE),"")&lt;&gt;I379,"Unit mismatch",IF(J379="","Enter item cost","OK"))))))))</f>
        <v/>
      </c>
      <c r="M379" s="4" t="n"/>
    </row>
    <row r="380">
      <c r="A380" s="5">
        <f>IF(AND(B380="",D380=""),"",ROW()-1)</f>
        <v/>
      </c>
      <c r="B380" s="4" t="n"/>
      <c r="C380" s="5">
        <f>IF(B380="","",IFERROR(VLOOKUP(B380,'Products'!$A$2:$F$201,2,FALSE),"Product not found"))</f>
        <v/>
      </c>
      <c r="D380" s="4" t="n"/>
      <c r="E380" s="5">
        <f>IF(D380="","",IFERROR(VLOOKUP(D380,'Items'!$A$2:$L$201,2,FALSE),"Item not found"))</f>
        <v/>
      </c>
      <c r="F380" s="9" t="n"/>
      <c r="G380" s="4" t="n"/>
      <c r="H380" s="10">
        <f>IF(OR(F380="",G380=""),"",IFERROR(F380*VLOOKUP(G380,'Units'!$A$2:$D$13,4,FALSE),""))</f>
        <v/>
      </c>
      <c r="I380" s="5">
        <f>IF(D380="","",IFERROR(VLOOKUP(D380,'Items'!$A$2:$L$201,4,FALSE),""))</f>
        <v/>
      </c>
      <c r="J380" s="10">
        <f>IF(D380="","",IFERROR(VLOOKUP(D380,'Items'!$A$2:$L$201,10,FALSE),""))</f>
        <v/>
      </c>
      <c r="K380" s="10">
        <f>IF(OR(H380="",J380=""),"",H380*J380)</f>
        <v/>
      </c>
      <c r="L380" s="5">
        <f>IF(AND(B380="",D380=""),"",IF(B380="","Missing product",IF(D380="","Missing item",IF(C380="Product not found","Product not found",IF(E380="Item not found","Item not found",IF(OR(F380="",G380=""),"Missing quantity/unit",IF(IFERROR(VLOOKUP(G380,'Units'!$A$2:$D$13,3,FALSE),"")&lt;&gt;I380,"Unit mismatch",IF(J380="","Enter item cost","OK"))))))))</f>
        <v/>
      </c>
      <c r="M380" s="4" t="n"/>
    </row>
    <row r="381">
      <c r="A381" s="5">
        <f>IF(AND(B381="",D381=""),"",ROW()-1)</f>
        <v/>
      </c>
      <c r="B381" s="4" t="n"/>
      <c r="C381" s="5">
        <f>IF(B381="","",IFERROR(VLOOKUP(B381,'Products'!$A$2:$F$201,2,FALSE),"Product not found"))</f>
        <v/>
      </c>
      <c r="D381" s="4" t="n"/>
      <c r="E381" s="5">
        <f>IF(D381="","",IFERROR(VLOOKUP(D381,'Items'!$A$2:$L$201,2,FALSE),"Item not found"))</f>
        <v/>
      </c>
      <c r="F381" s="9" t="n"/>
      <c r="G381" s="4" t="n"/>
      <c r="H381" s="10">
        <f>IF(OR(F381="",G381=""),"",IFERROR(F381*VLOOKUP(G381,'Units'!$A$2:$D$13,4,FALSE),""))</f>
        <v/>
      </c>
      <c r="I381" s="5">
        <f>IF(D381="","",IFERROR(VLOOKUP(D381,'Items'!$A$2:$L$201,4,FALSE),""))</f>
        <v/>
      </c>
      <c r="J381" s="10">
        <f>IF(D381="","",IFERROR(VLOOKUP(D381,'Items'!$A$2:$L$201,10,FALSE),""))</f>
        <v/>
      </c>
      <c r="K381" s="10">
        <f>IF(OR(H381="",J381=""),"",H381*J381)</f>
        <v/>
      </c>
      <c r="L381" s="5">
        <f>IF(AND(B381="",D381=""),"",IF(B381="","Missing product",IF(D381="","Missing item",IF(C381="Product not found","Product not found",IF(E381="Item not found","Item not found",IF(OR(F381="",G381=""),"Missing quantity/unit",IF(IFERROR(VLOOKUP(G381,'Units'!$A$2:$D$13,3,FALSE),"")&lt;&gt;I381,"Unit mismatch",IF(J381="","Enter item cost","OK"))))))))</f>
        <v/>
      </c>
      <c r="M381" s="4" t="n"/>
    </row>
    <row r="382">
      <c r="A382" s="5">
        <f>IF(AND(B382="",D382=""),"",ROW()-1)</f>
        <v/>
      </c>
      <c r="B382" s="4" t="n"/>
      <c r="C382" s="5">
        <f>IF(B382="","",IFERROR(VLOOKUP(B382,'Products'!$A$2:$F$201,2,FALSE),"Product not found"))</f>
        <v/>
      </c>
      <c r="D382" s="4" t="n"/>
      <c r="E382" s="5">
        <f>IF(D382="","",IFERROR(VLOOKUP(D382,'Items'!$A$2:$L$201,2,FALSE),"Item not found"))</f>
        <v/>
      </c>
      <c r="F382" s="9" t="n"/>
      <c r="G382" s="4" t="n"/>
      <c r="H382" s="10">
        <f>IF(OR(F382="",G382=""),"",IFERROR(F382*VLOOKUP(G382,'Units'!$A$2:$D$13,4,FALSE),""))</f>
        <v/>
      </c>
      <c r="I382" s="5">
        <f>IF(D382="","",IFERROR(VLOOKUP(D382,'Items'!$A$2:$L$201,4,FALSE),""))</f>
        <v/>
      </c>
      <c r="J382" s="10">
        <f>IF(D382="","",IFERROR(VLOOKUP(D382,'Items'!$A$2:$L$201,10,FALSE),""))</f>
        <v/>
      </c>
      <c r="K382" s="10">
        <f>IF(OR(H382="",J382=""),"",H382*J382)</f>
        <v/>
      </c>
      <c r="L382" s="5">
        <f>IF(AND(B382="",D382=""),"",IF(B382="","Missing product",IF(D382="","Missing item",IF(C382="Product not found","Product not found",IF(E382="Item not found","Item not found",IF(OR(F382="",G382=""),"Missing quantity/unit",IF(IFERROR(VLOOKUP(G382,'Units'!$A$2:$D$13,3,FALSE),"")&lt;&gt;I382,"Unit mismatch",IF(J382="","Enter item cost","OK"))))))))</f>
        <v/>
      </c>
      <c r="M382" s="4" t="n"/>
    </row>
    <row r="383">
      <c r="A383" s="5">
        <f>IF(AND(B383="",D383=""),"",ROW()-1)</f>
        <v/>
      </c>
      <c r="B383" s="4" t="n"/>
      <c r="C383" s="5">
        <f>IF(B383="","",IFERROR(VLOOKUP(B383,'Products'!$A$2:$F$201,2,FALSE),"Product not found"))</f>
        <v/>
      </c>
      <c r="D383" s="4" t="n"/>
      <c r="E383" s="5">
        <f>IF(D383="","",IFERROR(VLOOKUP(D383,'Items'!$A$2:$L$201,2,FALSE),"Item not found"))</f>
        <v/>
      </c>
      <c r="F383" s="9" t="n"/>
      <c r="G383" s="4" t="n"/>
      <c r="H383" s="10">
        <f>IF(OR(F383="",G383=""),"",IFERROR(F383*VLOOKUP(G383,'Units'!$A$2:$D$13,4,FALSE),""))</f>
        <v/>
      </c>
      <c r="I383" s="5">
        <f>IF(D383="","",IFERROR(VLOOKUP(D383,'Items'!$A$2:$L$201,4,FALSE),""))</f>
        <v/>
      </c>
      <c r="J383" s="10">
        <f>IF(D383="","",IFERROR(VLOOKUP(D383,'Items'!$A$2:$L$201,10,FALSE),""))</f>
        <v/>
      </c>
      <c r="K383" s="10">
        <f>IF(OR(H383="",J383=""),"",H383*J383)</f>
        <v/>
      </c>
      <c r="L383" s="5">
        <f>IF(AND(B383="",D383=""),"",IF(B383="","Missing product",IF(D383="","Missing item",IF(C383="Product not found","Product not found",IF(E383="Item not found","Item not found",IF(OR(F383="",G383=""),"Missing quantity/unit",IF(IFERROR(VLOOKUP(G383,'Units'!$A$2:$D$13,3,FALSE),"")&lt;&gt;I383,"Unit mismatch",IF(J383="","Enter item cost","OK"))))))))</f>
        <v/>
      </c>
      <c r="M383" s="4" t="n"/>
    </row>
    <row r="384">
      <c r="A384" s="5">
        <f>IF(AND(B384="",D384=""),"",ROW()-1)</f>
        <v/>
      </c>
      <c r="B384" s="4" t="n"/>
      <c r="C384" s="5">
        <f>IF(B384="","",IFERROR(VLOOKUP(B384,'Products'!$A$2:$F$201,2,FALSE),"Product not found"))</f>
        <v/>
      </c>
      <c r="D384" s="4" t="n"/>
      <c r="E384" s="5">
        <f>IF(D384="","",IFERROR(VLOOKUP(D384,'Items'!$A$2:$L$201,2,FALSE),"Item not found"))</f>
        <v/>
      </c>
      <c r="F384" s="9" t="n"/>
      <c r="G384" s="4" t="n"/>
      <c r="H384" s="10">
        <f>IF(OR(F384="",G384=""),"",IFERROR(F384*VLOOKUP(G384,'Units'!$A$2:$D$13,4,FALSE),""))</f>
        <v/>
      </c>
      <c r="I384" s="5">
        <f>IF(D384="","",IFERROR(VLOOKUP(D384,'Items'!$A$2:$L$201,4,FALSE),""))</f>
        <v/>
      </c>
      <c r="J384" s="10">
        <f>IF(D384="","",IFERROR(VLOOKUP(D384,'Items'!$A$2:$L$201,10,FALSE),""))</f>
        <v/>
      </c>
      <c r="K384" s="10">
        <f>IF(OR(H384="",J384=""),"",H384*J384)</f>
        <v/>
      </c>
      <c r="L384" s="5">
        <f>IF(AND(B384="",D384=""),"",IF(B384="","Missing product",IF(D384="","Missing item",IF(C384="Product not found","Product not found",IF(E384="Item not found","Item not found",IF(OR(F384="",G384=""),"Missing quantity/unit",IF(IFERROR(VLOOKUP(G384,'Units'!$A$2:$D$13,3,FALSE),"")&lt;&gt;I384,"Unit mismatch",IF(J384="","Enter item cost","OK"))))))))</f>
        <v/>
      </c>
      <c r="M384" s="4" t="n"/>
    </row>
    <row r="385">
      <c r="A385" s="5">
        <f>IF(AND(B385="",D385=""),"",ROW()-1)</f>
        <v/>
      </c>
      <c r="B385" s="4" t="n"/>
      <c r="C385" s="5">
        <f>IF(B385="","",IFERROR(VLOOKUP(B385,'Products'!$A$2:$F$201,2,FALSE),"Product not found"))</f>
        <v/>
      </c>
      <c r="D385" s="4" t="n"/>
      <c r="E385" s="5">
        <f>IF(D385="","",IFERROR(VLOOKUP(D385,'Items'!$A$2:$L$201,2,FALSE),"Item not found"))</f>
        <v/>
      </c>
      <c r="F385" s="9" t="n"/>
      <c r="G385" s="4" t="n"/>
      <c r="H385" s="10">
        <f>IF(OR(F385="",G385=""),"",IFERROR(F385*VLOOKUP(G385,'Units'!$A$2:$D$13,4,FALSE),""))</f>
        <v/>
      </c>
      <c r="I385" s="5">
        <f>IF(D385="","",IFERROR(VLOOKUP(D385,'Items'!$A$2:$L$201,4,FALSE),""))</f>
        <v/>
      </c>
      <c r="J385" s="10">
        <f>IF(D385="","",IFERROR(VLOOKUP(D385,'Items'!$A$2:$L$201,10,FALSE),""))</f>
        <v/>
      </c>
      <c r="K385" s="10">
        <f>IF(OR(H385="",J385=""),"",H385*J385)</f>
        <v/>
      </c>
      <c r="L385" s="5">
        <f>IF(AND(B385="",D385=""),"",IF(B385="","Missing product",IF(D385="","Missing item",IF(C385="Product not found","Product not found",IF(E385="Item not found","Item not found",IF(OR(F385="",G385=""),"Missing quantity/unit",IF(IFERROR(VLOOKUP(G385,'Units'!$A$2:$D$13,3,FALSE),"")&lt;&gt;I385,"Unit mismatch",IF(J385="","Enter item cost","OK"))))))))</f>
        <v/>
      </c>
      <c r="M385" s="4" t="n"/>
    </row>
    <row r="386">
      <c r="A386" s="5">
        <f>IF(AND(B386="",D386=""),"",ROW()-1)</f>
        <v/>
      </c>
      <c r="B386" s="4" t="n"/>
      <c r="C386" s="5">
        <f>IF(B386="","",IFERROR(VLOOKUP(B386,'Products'!$A$2:$F$201,2,FALSE),"Product not found"))</f>
        <v/>
      </c>
      <c r="D386" s="4" t="n"/>
      <c r="E386" s="5">
        <f>IF(D386="","",IFERROR(VLOOKUP(D386,'Items'!$A$2:$L$201,2,FALSE),"Item not found"))</f>
        <v/>
      </c>
      <c r="F386" s="9" t="n"/>
      <c r="G386" s="4" t="n"/>
      <c r="H386" s="10">
        <f>IF(OR(F386="",G386=""),"",IFERROR(F386*VLOOKUP(G386,'Units'!$A$2:$D$13,4,FALSE),""))</f>
        <v/>
      </c>
      <c r="I386" s="5">
        <f>IF(D386="","",IFERROR(VLOOKUP(D386,'Items'!$A$2:$L$201,4,FALSE),""))</f>
        <v/>
      </c>
      <c r="J386" s="10">
        <f>IF(D386="","",IFERROR(VLOOKUP(D386,'Items'!$A$2:$L$201,10,FALSE),""))</f>
        <v/>
      </c>
      <c r="K386" s="10">
        <f>IF(OR(H386="",J386=""),"",H386*J386)</f>
        <v/>
      </c>
      <c r="L386" s="5">
        <f>IF(AND(B386="",D386=""),"",IF(B386="","Missing product",IF(D386="","Missing item",IF(C386="Product not found","Product not found",IF(E386="Item not found","Item not found",IF(OR(F386="",G386=""),"Missing quantity/unit",IF(IFERROR(VLOOKUP(G386,'Units'!$A$2:$D$13,3,FALSE),"")&lt;&gt;I386,"Unit mismatch",IF(J386="","Enter item cost","OK"))))))))</f>
        <v/>
      </c>
      <c r="M386" s="4" t="n"/>
    </row>
    <row r="387">
      <c r="A387" s="5">
        <f>IF(AND(B387="",D387=""),"",ROW()-1)</f>
        <v/>
      </c>
      <c r="B387" s="4" t="n"/>
      <c r="C387" s="5">
        <f>IF(B387="","",IFERROR(VLOOKUP(B387,'Products'!$A$2:$F$201,2,FALSE),"Product not found"))</f>
        <v/>
      </c>
      <c r="D387" s="4" t="n"/>
      <c r="E387" s="5">
        <f>IF(D387="","",IFERROR(VLOOKUP(D387,'Items'!$A$2:$L$201,2,FALSE),"Item not found"))</f>
        <v/>
      </c>
      <c r="F387" s="9" t="n"/>
      <c r="G387" s="4" t="n"/>
      <c r="H387" s="10">
        <f>IF(OR(F387="",G387=""),"",IFERROR(F387*VLOOKUP(G387,'Units'!$A$2:$D$13,4,FALSE),""))</f>
        <v/>
      </c>
      <c r="I387" s="5">
        <f>IF(D387="","",IFERROR(VLOOKUP(D387,'Items'!$A$2:$L$201,4,FALSE),""))</f>
        <v/>
      </c>
      <c r="J387" s="10">
        <f>IF(D387="","",IFERROR(VLOOKUP(D387,'Items'!$A$2:$L$201,10,FALSE),""))</f>
        <v/>
      </c>
      <c r="K387" s="10">
        <f>IF(OR(H387="",J387=""),"",H387*J387)</f>
        <v/>
      </c>
      <c r="L387" s="5">
        <f>IF(AND(B387="",D387=""),"",IF(B387="","Missing product",IF(D387="","Missing item",IF(C387="Product not found","Product not found",IF(E387="Item not found","Item not found",IF(OR(F387="",G387=""),"Missing quantity/unit",IF(IFERROR(VLOOKUP(G387,'Units'!$A$2:$D$13,3,FALSE),"")&lt;&gt;I387,"Unit mismatch",IF(J387="","Enter item cost","OK"))))))))</f>
        <v/>
      </c>
      <c r="M387" s="4" t="n"/>
    </row>
    <row r="388">
      <c r="A388" s="5">
        <f>IF(AND(B388="",D388=""),"",ROW()-1)</f>
        <v/>
      </c>
      <c r="B388" s="4" t="n"/>
      <c r="C388" s="5">
        <f>IF(B388="","",IFERROR(VLOOKUP(B388,'Products'!$A$2:$F$201,2,FALSE),"Product not found"))</f>
        <v/>
      </c>
      <c r="D388" s="4" t="n"/>
      <c r="E388" s="5">
        <f>IF(D388="","",IFERROR(VLOOKUP(D388,'Items'!$A$2:$L$201,2,FALSE),"Item not found"))</f>
        <v/>
      </c>
      <c r="F388" s="9" t="n"/>
      <c r="G388" s="4" t="n"/>
      <c r="H388" s="10">
        <f>IF(OR(F388="",G388=""),"",IFERROR(F388*VLOOKUP(G388,'Units'!$A$2:$D$13,4,FALSE),""))</f>
        <v/>
      </c>
      <c r="I388" s="5">
        <f>IF(D388="","",IFERROR(VLOOKUP(D388,'Items'!$A$2:$L$201,4,FALSE),""))</f>
        <v/>
      </c>
      <c r="J388" s="10">
        <f>IF(D388="","",IFERROR(VLOOKUP(D388,'Items'!$A$2:$L$201,10,FALSE),""))</f>
        <v/>
      </c>
      <c r="K388" s="10">
        <f>IF(OR(H388="",J388=""),"",H388*J388)</f>
        <v/>
      </c>
      <c r="L388" s="5">
        <f>IF(AND(B388="",D388=""),"",IF(B388="","Missing product",IF(D388="","Missing item",IF(C388="Product not found","Product not found",IF(E388="Item not found","Item not found",IF(OR(F388="",G388=""),"Missing quantity/unit",IF(IFERROR(VLOOKUP(G388,'Units'!$A$2:$D$13,3,FALSE),"")&lt;&gt;I388,"Unit mismatch",IF(J388="","Enter item cost","OK"))))))))</f>
        <v/>
      </c>
      <c r="M388" s="4" t="n"/>
    </row>
    <row r="389">
      <c r="A389" s="5">
        <f>IF(AND(B389="",D389=""),"",ROW()-1)</f>
        <v/>
      </c>
      <c r="B389" s="4" t="n"/>
      <c r="C389" s="5">
        <f>IF(B389="","",IFERROR(VLOOKUP(B389,'Products'!$A$2:$F$201,2,FALSE),"Product not found"))</f>
        <v/>
      </c>
      <c r="D389" s="4" t="n"/>
      <c r="E389" s="5">
        <f>IF(D389="","",IFERROR(VLOOKUP(D389,'Items'!$A$2:$L$201,2,FALSE),"Item not found"))</f>
        <v/>
      </c>
      <c r="F389" s="9" t="n"/>
      <c r="G389" s="4" t="n"/>
      <c r="H389" s="10">
        <f>IF(OR(F389="",G389=""),"",IFERROR(F389*VLOOKUP(G389,'Units'!$A$2:$D$13,4,FALSE),""))</f>
        <v/>
      </c>
      <c r="I389" s="5">
        <f>IF(D389="","",IFERROR(VLOOKUP(D389,'Items'!$A$2:$L$201,4,FALSE),""))</f>
        <v/>
      </c>
      <c r="J389" s="10">
        <f>IF(D389="","",IFERROR(VLOOKUP(D389,'Items'!$A$2:$L$201,10,FALSE),""))</f>
        <v/>
      </c>
      <c r="K389" s="10">
        <f>IF(OR(H389="",J389=""),"",H389*J389)</f>
        <v/>
      </c>
      <c r="L389" s="5">
        <f>IF(AND(B389="",D389=""),"",IF(B389="","Missing product",IF(D389="","Missing item",IF(C389="Product not found","Product not found",IF(E389="Item not found","Item not found",IF(OR(F389="",G389=""),"Missing quantity/unit",IF(IFERROR(VLOOKUP(G389,'Units'!$A$2:$D$13,3,FALSE),"")&lt;&gt;I389,"Unit mismatch",IF(J389="","Enter item cost","OK"))))))))</f>
        <v/>
      </c>
      <c r="M389" s="4" t="n"/>
    </row>
    <row r="390">
      <c r="A390" s="5">
        <f>IF(AND(B390="",D390=""),"",ROW()-1)</f>
        <v/>
      </c>
      <c r="B390" s="4" t="n"/>
      <c r="C390" s="5">
        <f>IF(B390="","",IFERROR(VLOOKUP(B390,'Products'!$A$2:$F$201,2,FALSE),"Product not found"))</f>
        <v/>
      </c>
      <c r="D390" s="4" t="n"/>
      <c r="E390" s="5">
        <f>IF(D390="","",IFERROR(VLOOKUP(D390,'Items'!$A$2:$L$201,2,FALSE),"Item not found"))</f>
        <v/>
      </c>
      <c r="F390" s="9" t="n"/>
      <c r="G390" s="4" t="n"/>
      <c r="H390" s="10">
        <f>IF(OR(F390="",G390=""),"",IFERROR(F390*VLOOKUP(G390,'Units'!$A$2:$D$13,4,FALSE),""))</f>
        <v/>
      </c>
      <c r="I390" s="5">
        <f>IF(D390="","",IFERROR(VLOOKUP(D390,'Items'!$A$2:$L$201,4,FALSE),""))</f>
        <v/>
      </c>
      <c r="J390" s="10">
        <f>IF(D390="","",IFERROR(VLOOKUP(D390,'Items'!$A$2:$L$201,10,FALSE),""))</f>
        <v/>
      </c>
      <c r="K390" s="10">
        <f>IF(OR(H390="",J390=""),"",H390*J390)</f>
        <v/>
      </c>
      <c r="L390" s="5">
        <f>IF(AND(B390="",D390=""),"",IF(B390="","Missing product",IF(D390="","Missing item",IF(C390="Product not found","Product not found",IF(E390="Item not found","Item not found",IF(OR(F390="",G390=""),"Missing quantity/unit",IF(IFERROR(VLOOKUP(G390,'Units'!$A$2:$D$13,3,FALSE),"")&lt;&gt;I390,"Unit mismatch",IF(J390="","Enter item cost","OK"))))))))</f>
        <v/>
      </c>
      <c r="M390" s="4" t="n"/>
    </row>
    <row r="391">
      <c r="A391" s="5">
        <f>IF(AND(B391="",D391=""),"",ROW()-1)</f>
        <v/>
      </c>
      <c r="B391" s="4" t="n"/>
      <c r="C391" s="5">
        <f>IF(B391="","",IFERROR(VLOOKUP(B391,'Products'!$A$2:$F$201,2,FALSE),"Product not found"))</f>
        <v/>
      </c>
      <c r="D391" s="4" t="n"/>
      <c r="E391" s="5">
        <f>IF(D391="","",IFERROR(VLOOKUP(D391,'Items'!$A$2:$L$201,2,FALSE),"Item not found"))</f>
        <v/>
      </c>
      <c r="F391" s="9" t="n"/>
      <c r="G391" s="4" t="n"/>
      <c r="H391" s="10">
        <f>IF(OR(F391="",G391=""),"",IFERROR(F391*VLOOKUP(G391,'Units'!$A$2:$D$13,4,FALSE),""))</f>
        <v/>
      </c>
      <c r="I391" s="5">
        <f>IF(D391="","",IFERROR(VLOOKUP(D391,'Items'!$A$2:$L$201,4,FALSE),""))</f>
        <v/>
      </c>
      <c r="J391" s="10">
        <f>IF(D391="","",IFERROR(VLOOKUP(D391,'Items'!$A$2:$L$201,10,FALSE),""))</f>
        <v/>
      </c>
      <c r="K391" s="10">
        <f>IF(OR(H391="",J391=""),"",H391*J391)</f>
        <v/>
      </c>
      <c r="L391" s="5">
        <f>IF(AND(B391="",D391=""),"",IF(B391="","Missing product",IF(D391="","Missing item",IF(C391="Product not found","Product not found",IF(E391="Item not found","Item not found",IF(OR(F391="",G391=""),"Missing quantity/unit",IF(IFERROR(VLOOKUP(G391,'Units'!$A$2:$D$13,3,FALSE),"")&lt;&gt;I391,"Unit mismatch",IF(J391="","Enter item cost","OK"))))))))</f>
        <v/>
      </c>
      <c r="M391" s="4" t="n"/>
    </row>
    <row r="392">
      <c r="A392" s="5">
        <f>IF(AND(B392="",D392=""),"",ROW()-1)</f>
        <v/>
      </c>
      <c r="B392" s="4" t="n"/>
      <c r="C392" s="5">
        <f>IF(B392="","",IFERROR(VLOOKUP(B392,'Products'!$A$2:$F$201,2,FALSE),"Product not found"))</f>
        <v/>
      </c>
      <c r="D392" s="4" t="n"/>
      <c r="E392" s="5">
        <f>IF(D392="","",IFERROR(VLOOKUP(D392,'Items'!$A$2:$L$201,2,FALSE),"Item not found"))</f>
        <v/>
      </c>
      <c r="F392" s="9" t="n"/>
      <c r="G392" s="4" t="n"/>
      <c r="H392" s="10">
        <f>IF(OR(F392="",G392=""),"",IFERROR(F392*VLOOKUP(G392,'Units'!$A$2:$D$13,4,FALSE),""))</f>
        <v/>
      </c>
      <c r="I392" s="5">
        <f>IF(D392="","",IFERROR(VLOOKUP(D392,'Items'!$A$2:$L$201,4,FALSE),""))</f>
        <v/>
      </c>
      <c r="J392" s="10">
        <f>IF(D392="","",IFERROR(VLOOKUP(D392,'Items'!$A$2:$L$201,10,FALSE),""))</f>
        <v/>
      </c>
      <c r="K392" s="10">
        <f>IF(OR(H392="",J392=""),"",H392*J392)</f>
        <v/>
      </c>
      <c r="L392" s="5">
        <f>IF(AND(B392="",D392=""),"",IF(B392="","Missing product",IF(D392="","Missing item",IF(C392="Product not found","Product not found",IF(E392="Item not found","Item not found",IF(OR(F392="",G392=""),"Missing quantity/unit",IF(IFERROR(VLOOKUP(G392,'Units'!$A$2:$D$13,3,FALSE),"")&lt;&gt;I392,"Unit mismatch",IF(J392="","Enter item cost","OK"))))))))</f>
        <v/>
      </c>
      <c r="M392" s="4" t="n"/>
    </row>
    <row r="393">
      <c r="A393" s="5">
        <f>IF(AND(B393="",D393=""),"",ROW()-1)</f>
        <v/>
      </c>
      <c r="B393" s="4" t="n"/>
      <c r="C393" s="5">
        <f>IF(B393="","",IFERROR(VLOOKUP(B393,'Products'!$A$2:$F$201,2,FALSE),"Product not found"))</f>
        <v/>
      </c>
      <c r="D393" s="4" t="n"/>
      <c r="E393" s="5">
        <f>IF(D393="","",IFERROR(VLOOKUP(D393,'Items'!$A$2:$L$201,2,FALSE),"Item not found"))</f>
        <v/>
      </c>
      <c r="F393" s="9" t="n"/>
      <c r="G393" s="4" t="n"/>
      <c r="H393" s="10">
        <f>IF(OR(F393="",G393=""),"",IFERROR(F393*VLOOKUP(G393,'Units'!$A$2:$D$13,4,FALSE),""))</f>
        <v/>
      </c>
      <c r="I393" s="5">
        <f>IF(D393="","",IFERROR(VLOOKUP(D393,'Items'!$A$2:$L$201,4,FALSE),""))</f>
        <v/>
      </c>
      <c r="J393" s="10">
        <f>IF(D393="","",IFERROR(VLOOKUP(D393,'Items'!$A$2:$L$201,10,FALSE),""))</f>
        <v/>
      </c>
      <c r="K393" s="10">
        <f>IF(OR(H393="",J393=""),"",H393*J393)</f>
        <v/>
      </c>
      <c r="L393" s="5">
        <f>IF(AND(B393="",D393=""),"",IF(B393="","Missing product",IF(D393="","Missing item",IF(C393="Product not found","Product not found",IF(E393="Item not found","Item not found",IF(OR(F393="",G393=""),"Missing quantity/unit",IF(IFERROR(VLOOKUP(G393,'Units'!$A$2:$D$13,3,FALSE),"")&lt;&gt;I393,"Unit mismatch",IF(J393="","Enter item cost","OK"))))))))</f>
        <v/>
      </c>
      <c r="M393" s="4" t="n"/>
    </row>
    <row r="394">
      <c r="A394" s="5">
        <f>IF(AND(B394="",D394=""),"",ROW()-1)</f>
        <v/>
      </c>
      <c r="B394" s="4" t="n"/>
      <c r="C394" s="5">
        <f>IF(B394="","",IFERROR(VLOOKUP(B394,'Products'!$A$2:$F$201,2,FALSE),"Product not found"))</f>
        <v/>
      </c>
      <c r="D394" s="4" t="n"/>
      <c r="E394" s="5">
        <f>IF(D394="","",IFERROR(VLOOKUP(D394,'Items'!$A$2:$L$201,2,FALSE),"Item not found"))</f>
        <v/>
      </c>
      <c r="F394" s="9" t="n"/>
      <c r="G394" s="4" t="n"/>
      <c r="H394" s="10">
        <f>IF(OR(F394="",G394=""),"",IFERROR(F394*VLOOKUP(G394,'Units'!$A$2:$D$13,4,FALSE),""))</f>
        <v/>
      </c>
      <c r="I394" s="5">
        <f>IF(D394="","",IFERROR(VLOOKUP(D394,'Items'!$A$2:$L$201,4,FALSE),""))</f>
        <v/>
      </c>
      <c r="J394" s="10">
        <f>IF(D394="","",IFERROR(VLOOKUP(D394,'Items'!$A$2:$L$201,10,FALSE),""))</f>
        <v/>
      </c>
      <c r="K394" s="10">
        <f>IF(OR(H394="",J394=""),"",H394*J394)</f>
        <v/>
      </c>
      <c r="L394" s="5">
        <f>IF(AND(B394="",D394=""),"",IF(B394="","Missing product",IF(D394="","Missing item",IF(C394="Product not found","Product not found",IF(E394="Item not found","Item not found",IF(OR(F394="",G394=""),"Missing quantity/unit",IF(IFERROR(VLOOKUP(G394,'Units'!$A$2:$D$13,3,FALSE),"")&lt;&gt;I394,"Unit mismatch",IF(J394="","Enter item cost","OK"))))))))</f>
        <v/>
      </c>
      <c r="M394" s="4" t="n"/>
    </row>
    <row r="395">
      <c r="A395" s="5">
        <f>IF(AND(B395="",D395=""),"",ROW()-1)</f>
        <v/>
      </c>
      <c r="B395" s="4" t="n"/>
      <c r="C395" s="5">
        <f>IF(B395="","",IFERROR(VLOOKUP(B395,'Products'!$A$2:$F$201,2,FALSE),"Product not found"))</f>
        <v/>
      </c>
      <c r="D395" s="4" t="n"/>
      <c r="E395" s="5">
        <f>IF(D395="","",IFERROR(VLOOKUP(D395,'Items'!$A$2:$L$201,2,FALSE),"Item not found"))</f>
        <v/>
      </c>
      <c r="F395" s="9" t="n"/>
      <c r="G395" s="4" t="n"/>
      <c r="H395" s="10">
        <f>IF(OR(F395="",G395=""),"",IFERROR(F395*VLOOKUP(G395,'Units'!$A$2:$D$13,4,FALSE),""))</f>
        <v/>
      </c>
      <c r="I395" s="5">
        <f>IF(D395="","",IFERROR(VLOOKUP(D395,'Items'!$A$2:$L$201,4,FALSE),""))</f>
        <v/>
      </c>
      <c r="J395" s="10">
        <f>IF(D395="","",IFERROR(VLOOKUP(D395,'Items'!$A$2:$L$201,10,FALSE),""))</f>
        <v/>
      </c>
      <c r="K395" s="10">
        <f>IF(OR(H395="",J395=""),"",H395*J395)</f>
        <v/>
      </c>
      <c r="L395" s="5">
        <f>IF(AND(B395="",D395=""),"",IF(B395="","Missing product",IF(D395="","Missing item",IF(C395="Product not found","Product not found",IF(E395="Item not found","Item not found",IF(OR(F395="",G395=""),"Missing quantity/unit",IF(IFERROR(VLOOKUP(G395,'Units'!$A$2:$D$13,3,FALSE),"")&lt;&gt;I395,"Unit mismatch",IF(J395="","Enter item cost","OK"))))))))</f>
        <v/>
      </c>
      <c r="M395" s="4" t="n"/>
    </row>
    <row r="396">
      <c r="A396" s="5">
        <f>IF(AND(B396="",D396=""),"",ROW()-1)</f>
        <v/>
      </c>
      <c r="B396" s="4" t="n"/>
      <c r="C396" s="5">
        <f>IF(B396="","",IFERROR(VLOOKUP(B396,'Products'!$A$2:$F$201,2,FALSE),"Product not found"))</f>
        <v/>
      </c>
      <c r="D396" s="4" t="n"/>
      <c r="E396" s="5">
        <f>IF(D396="","",IFERROR(VLOOKUP(D396,'Items'!$A$2:$L$201,2,FALSE),"Item not found"))</f>
        <v/>
      </c>
      <c r="F396" s="9" t="n"/>
      <c r="G396" s="4" t="n"/>
      <c r="H396" s="10">
        <f>IF(OR(F396="",G396=""),"",IFERROR(F396*VLOOKUP(G396,'Units'!$A$2:$D$13,4,FALSE),""))</f>
        <v/>
      </c>
      <c r="I396" s="5">
        <f>IF(D396="","",IFERROR(VLOOKUP(D396,'Items'!$A$2:$L$201,4,FALSE),""))</f>
        <v/>
      </c>
      <c r="J396" s="10">
        <f>IF(D396="","",IFERROR(VLOOKUP(D396,'Items'!$A$2:$L$201,10,FALSE),""))</f>
        <v/>
      </c>
      <c r="K396" s="10">
        <f>IF(OR(H396="",J396=""),"",H396*J396)</f>
        <v/>
      </c>
      <c r="L396" s="5">
        <f>IF(AND(B396="",D396=""),"",IF(B396="","Missing product",IF(D396="","Missing item",IF(C396="Product not found","Product not found",IF(E396="Item not found","Item not found",IF(OR(F396="",G396=""),"Missing quantity/unit",IF(IFERROR(VLOOKUP(G396,'Units'!$A$2:$D$13,3,FALSE),"")&lt;&gt;I396,"Unit mismatch",IF(J396="","Enter item cost","OK"))))))))</f>
        <v/>
      </c>
      <c r="M396" s="4" t="n"/>
    </row>
    <row r="397">
      <c r="A397" s="5">
        <f>IF(AND(B397="",D397=""),"",ROW()-1)</f>
        <v/>
      </c>
      <c r="B397" s="4" t="n"/>
      <c r="C397" s="5">
        <f>IF(B397="","",IFERROR(VLOOKUP(B397,'Products'!$A$2:$F$201,2,FALSE),"Product not found"))</f>
        <v/>
      </c>
      <c r="D397" s="4" t="n"/>
      <c r="E397" s="5">
        <f>IF(D397="","",IFERROR(VLOOKUP(D397,'Items'!$A$2:$L$201,2,FALSE),"Item not found"))</f>
        <v/>
      </c>
      <c r="F397" s="9" t="n"/>
      <c r="G397" s="4" t="n"/>
      <c r="H397" s="10">
        <f>IF(OR(F397="",G397=""),"",IFERROR(F397*VLOOKUP(G397,'Units'!$A$2:$D$13,4,FALSE),""))</f>
        <v/>
      </c>
      <c r="I397" s="5">
        <f>IF(D397="","",IFERROR(VLOOKUP(D397,'Items'!$A$2:$L$201,4,FALSE),""))</f>
        <v/>
      </c>
      <c r="J397" s="10">
        <f>IF(D397="","",IFERROR(VLOOKUP(D397,'Items'!$A$2:$L$201,10,FALSE),""))</f>
        <v/>
      </c>
      <c r="K397" s="10">
        <f>IF(OR(H397="",J397=""),"",H397*J397)</f>
        <v/>
      </c>
      <c r="L397" s="5">
        <f>IF(AND(B397="",D397=""),"",IF(B397="","Missing product",IF(D397="","Missing item",IF(C397="Product not found","Product not found",IF(E397="Item not found","Item not found",IF(OR(F397="",G397=""),"Missing quantity/unit",IF(IFERROR(VLOOKUP(G397,'Units'!$A$2:$D$13,3,FALSE),"")&lt;&gt;I397,"Unit mismatch",IF(J397="","Enter item cost","OK"))))))))</f>
        <v/>
      </c>
      <c r="M397" s="4" t="n"/>
    </row>
    <row r="398">
      <c r="A398" s="5">
        <f>IF(AND(B398="",D398=""),"",ROW()-1)</f>
        <v/>
      </c>
      <c r="B398" s="4" t="n"/>
      <c r="C398" s="5">
        <f>IF(B398="","",IFERROR(VLOOKUP(B398,'Products'!$A$2:$F$201,2,FALSE),"Product not found"))</f>
        <v/>
      </c>
      <c r="D398" s="4" t="n"/>
      <c r="E398" s="5">
        <f>IF(D398="","",IFERROR(VLOOKUP(D398,'Items'!$A$2:$L$201,2,FALSE),"Item not found"))</f>
        <v/>
      </c>
      <c r="F398" s="9" t="n"/>
      <c r="G398" s="4" t="n"/>
      <c r="H398" s="10">
        <f>IF(OR(F398="",G398=""),"",IFERROR(F398*VLOOKUP(G398,'Units'!$A$2:$D$13,4,FALSE),""))</f>
        <v/>
      </c>
      <c r="I398" s="5">
        <f>IF(D398="","",IFERROR(VLOOKUP(D398,'Items'!$A$2:$L$201,4,FALSE),""))</f>
        <v/>
      </c>
      <c r="J398" s="10">
        <f>IF(D398="","",IFERROR(VLOOKUP(D398,'Items'!$A$2:$L$201,10,FALSE),""))</f>
        <v/>
      </c>
      <c r="K398" s="10">
        <f>IF(OR(H398="",J398=""),"",H398*J398)</f>
        <v/>
      </c>
      <c r="L398" s="5">
        <f>IF(AND(B398="",D398=""),"",IF(B398="","Missing product",IF(D398="","Missing item",IF(C398="Product not found","Product not found",IF(E398="Item not found","Item not found",IF(OR(F398="",G398=""),"Missing quantity/unit",IF(IFERROR(VLOOKUP(G398,'Units'!$A$2:$D$13,3,FALSE),"")&lt;&gt;I398,"Unit mismatch",IF(J398="","Enter item cost","OK"))))))))</f>
        <v/>
      </c>
      <c r="M398" s="4" t="n"/>
    </row>
    <row r="399">
      <c r="A399" s="5">
        <f>IF(AND(B399="",D399=""),"",ROW()-1)</f>
        <v/>
      </c>
      <c r="B399" s="4" t="n"/>
      <c r="C399" s="5">
        <f>IF(B399="","",IFERROR(VLOOKUP(B399,'Products'!$A$2:$F$201,2,FALSE),"Product not found"))</f>
        <v/>
      </c>
      <c r="D399" s="4" t="n"/>
      <c r="E399" s="5">
        <f>IF(D399="","",IFERROR(VLOOKUP(D399,'Items'!$A$2:$L$201,2,FALSE),"Item not found"))</f>
        <v/>
      </c>
      <c r="F399" s="9" t="n"/>
      <c r="G399" s="4" t="n"/>
      <c r="H399" s="10">
        <f>IF(OR(F399="",G399=""),"",IFERROR(F399*VLOOKUP(G399,'Units'!$A$2:$D$13,4,FALSE),""))</f>
        <v/>
      </c>
      <c r="I399" s="5">
        <f>IF(D399="","",IFERROR(VLOOKUP(D399,'Items'!$A$2:$L$201,4,FALSE),""))</f>
        <v/>
      </c>
      <c r="J399" s="10">
        <f>IF(D399="","",IFERROR(VLOOKUP(D399,'Items'!$A$2:$L$201,10,FALSE),""))</f>
        <v/>
      </c>
      <c r="K399" s="10">
        <f>IF(OR(H399="",J399=""),"",H399*J399)</f>
        <v/>
      </c>
      <c r="L399" s="5">
        <f>IF(AND(B399="",D399=""),"",IF(B399="","Missing product",IF(D399="","Missing item",IF(C399="Product not found","Product not found",IF(E399="Item not found","Item not found",IF(OR(F399="",G399=""),"Missing quantity/unit",IF(IFERROR(VLOOKUP(G399,'Units'!$A$2:$D$13,3,FALSE),"")&lt;&gt;I399,"Unit mismatch",IF(J399="","Enter item cost","OK"))))))))</f>
        <v/>
      </c>
      <c r="M399" s="4" t="n"/>
    </row>
    <row r="400">
      <c r="A400" s="5">
        <f>IF(AND(B400="",D400=""),"",ROW()-1)</f>
        <v/>
      </c>
      <c r="B400" s="4" t="n"/>
      <c r="C400" s="5">
        <f>IF(B400="","",IFERROR(VLOOKUP(B400,'Products'!$A$2:$F$201,2,FALSE),"Product not found"))</f>
        <v/>
      </c>
      <c r="D400" s="4" t="n"/>
      <c r="E400" s="5">
        <f>IF(D400="","",IFERROR(VLOOKUP(D400,'Items'!$A$2:$L$201,2,FALSE),"Item not found"))</f>
        <v/>
      </c>
      <c r="F400" s="9" t="n"/>
      <c r="G400" s="4" t="n"/>
      <c r="H400" s="10">
        <f>IF(OR(F400="",G400=""),"",IFERROR(F400*VLOOKUP(G400,'Units'!$A$2:$D$13,4,FALSE),""))</f>
        <v/>
      </c>
      <c r="I400" s="5">
        <f>IF(D400="","",IFERROR(VLOOKUP(D400,'Items'!$A$2:$L$201,4,FALSE),""))</f>
        <v/>
      </c>
      <c r="J400" s="10">
        <f>IF(D400="","",IFERROR(VLOOKUP(D400,'Items'!$A$2:$L$201,10,FALSE),""))</f>
        <v/>
      </c>
      <c r="K400" s="10">
        <f>IF(OR(H400="",J400=""),"",H400*J400)</f>
        <v/>
      </c>
      <c r="L400" s="5">
        <f>IF(AND(B400="",D400=""),"",IF(B400="","Missing product",IF(D400="","Missing item",IF(C400="Product not found","Product not found",IF(E400="Item not found","Item not found",IF(OR(F400="",G400=""),"Missing quantity/unit",IF(IFERROR(VLOOKUP(G400,'Units'!$A$2:$D$13,3,FALSE),"")&lt;&gt;I400,"Unit mismatch",IF(J400="","Enter item cost","OK"))))))))</f>
        <v/>
      </c>
      <c r="M400" s="4" t="n"/>
    </row>
    <row r="401">
      <c r="A401" s="5">
        <f>IF(AND(B401="",D401=""),"",ROW()-1)</f>
        <v/>
      </c>
      <c r="B401" s="4" t="n"/>
      <c r="C401" s="5">
        <f>IF(B401="","",IFERROR(VLOOKUP(B401,'Products'!$A$2:$F$201,2,FALSE),"Product not found"))</f>
        <v/>
      </c>
      <c r="D401" s="4" t="n"/>
      <c r="E401" s="5">
        <f>IF(D401="","",IFERROR(VLOOKUP(D401,'Items'!$A$2:$L$201,2,FALSE),"Item not found"))</f>
        <v/>
      </c>
      <c r="F401" s="9" t="n"/>
      <c r="G401" s="4" t="n"/>
      <c r="H401" s="10">
        <f>IF(OR(F401="",G401=""),"",IFERROR(F401*VLOOKUP(G401,'Units'!$A$2:$D$13,4,FALSE),""))</f>
        <v/>
      </c>
      <c r="I401" s="5">
        <f>IF(D401="","",IFERROR(VLOOKUP(D401,'Items'!$A$2:$L$201,4,FALSE),""))</f>
        <v/>
      </c>
      <c r="J401" s="10">
        <f>IF(D401="","",IFERROR(VLOOKUP(D401,'Items'!$A$2:$L$201,10,FALSE),""))</f>
        <v/>
      </c>
      <c r="K401" s="10">
        <f>IF(OR(H401="",J401=""),"",H401*J401)</f>
        <v/>
      </c>
      <c r="L401" s="5">
        <f>IF(AND(B401="",D401=""),"",IF(B401="","Missing product",IF(D401="","Missing item",IF(C401="Product not found","Product not found",IF(E401="Item not found","Item not found",IF(OR(F401="",G401=""),"Missing quantity/unit",IF(IFERROR(VLOOKUP(G401,'Units'!$A$2:$D$13,3,FALSE),"")&lt;&gt;I401,"Unit mismatch",IF(J401="","Enter item cost","OK"))))))))</f>
        <v/>
      </c>
      <c r="M401" s="4" t="n"/>
    </row>
    <row r="402">
      <c r="A402" s="5">
        <f>IF(AND(B402="",D402=""),"",ROW()-1)</f>
        <v/>
      </c>
      <c r="B402" s="4" t="n"/>
      <c r="C402" s="5">
        <f>IF(B402="","",IFERROR(VLOOKUP(B402,'Products'!$A$2:$F$201,2,FALSE),"Product not found"))</f>
        <v/>
      </c>
      <c r="D402" s="4" t="n"/>
      <c r="E402" s="5">
        <f>IF(D402="","",IFERROR(VLOOKUP(D402,'Items'!$A$2:$L$201,2,FALSE),"Item not found"))</f>
        <v/>
      </c>
      <c r="F402" s="9" t="n"/>
      <c r="G402" s="4" t="n"/>
      <c r="H402" s="10">
        <f>IF(OR(F402="",G402=""),"",IFERROR(F402*VLOOKUP(G402,'Units'!$A$2:$D$13,4,FALSE),""))</f>
        <v/>
      </c>
      <c r="I402" s="5">
        <f>IF(D402="","",IFERROR(VLOOKUP(D402,'Items'!$A$2:$L$201,4,FALSE),""))</f>
        <v/>
      </c>
      <c r="J402" s="10">
        <f>IF(D402="","",IFERROR(VLOOKUP(D402,'Items'!$A$2:$L$201,10,FALSE),""))</f>
        <v/>
      </c>
      <c r="K402" s="10">
        <f>IF(OR(H402="",J402=""),"",H402*J402)</f>
        <v/>
      </c>
      <c r="L402" s="5">
        <f>IF(AND(B402="",D402=""),"",IF(B402="","Missing product",IF(D402="","Missing item",IF(C402="Product not found","Product not found",IF(E402="Item not found","Item not found",IF(OR(F402="",G402=""),"Missing quantity/unit",IF(IFERROR(VLOOKUP(G402,'Units'!$A$2:$D$13,3,FALSE),"")&lt;&gt;I402,"Unit mismatch",IF(J402="","Enter item cost","OK"))))))))</f>
        <v/>
      </c>
      <c r="M402" s="4" t="n"/>
    </row>
    <row r="403">
      <c r="A403" s="5">
        <f>IF(AND(B403="",D403=""),"",ROW()-1)</f>
        <v/>
      </c>
      <c r="B403" s="4" t="n"/>
      <c r="C403" s="5">
        <f>IF(B403="","",IFERROR(VLOOKUP(B403,'Products'!$A$2:$F$201,2,FALSE),"Product not found"))</f>
        <v/>
      </c>
      <c r="D403" s="4" t="n"/>
      <c r="E403" s="5">
        <f>IF(D403="","",IFERROR(VLOOKUP(D403,'Items'!$A$2:$L$201,2,FALSE),"Item not found"))</f>
        <v/>
      </c>
      <c r="F403" s="9" t="n"/>
      <c r="G403" s="4" t="n"/>
      <c r="H403" s="10">
        <f>IF(OR(F403="",G403=""),"",IFERROR(F403*VLOOKUP(G403,'Units'!$A$2:$D$13,4,FALSE),""))</f>
        <v/>
      </c>
      <c r="I403" s="5">
        <f>IF(D403="","",IFERROR(VLOOKUP(D403,'Items'!$A$2:$L$201,4,FALSE),""))</f>
        <v/>
      </c>
      <c r="J403" s="10">
        <f>IF(D403="","",IFERROR(VLOOKUP(D403,'Items'!$A$2:$L$201,10,FALSE),""))</f>
        <v/>
      </c>
      <c r="K403" s="10">
        <f>IF(OR(H403="",J403=""),"",H403*J403)</f>
        <v/>
      </c>
      <c r="L403" s="5">
        <f>IF(AND(B403="",D403=""),"",IF(B403="","Missing product",IF(D403="","Missing item",IF(C403="Product not found","Product not found",IF(E403="Item not found","Item not found",IF(OR(F403="",G403=""),"Missing quantity/unit",IF(IFERROR(VLOOKUP(G403,'Units'!$A$2:$D$13,3,FALSE),"")&lt;&gt;I403,"Unit mismatch",IF(J403="","Enter item cost","OK"))))))))</f>
        <v/>
      </c>
      <c r="M403" s="4" t="n"/>
    </row>
    <row r="404">
      <c r="A404" s="5">
        <f>IF(AND(B404="",D404=""),"",ROW()-1)</f>
        <v/>
      </c>
      <c r="B404" s="4" t="n"/>
      <c r="C404" s="5">
        <f>IF(B404="","",IFERROR(VLOOKUP(B404,'Products'!$A$2:$F$201,2,FALSE),"Product not found"))</f>
        <v/>
      </c>
      <c r="D404" s="4" t="n"/>
      <c r="E404" s="5">
        <f>IF(D404="","",IFERROR(VLOOKUP(D404,'Items'!$A$2:$L$201,2,FALSE),"Item not found"))</f>
        <v/>
      </c>
      <c r="F404" s="9" t="n"/>
      <c r="G404" s="4" t="n"/>
      <c r="H404" s="10">
        <f>IF(OR(F404="",G404=""),"",IFERROR(F404*VLOOKUP(G404,'Units'!$A$2:$D$13,4,FALSE),""))</f>
        <v/>
      </c>
      <c r="I404" s="5">
        <f>IF(D404="","",IFERROR(VLOOKUP(D404,'Items'!$A$2:$L$201,4,FALSE),""))</f>
        <v/>
      </c>
      <c r="J404" s="10">
        <f>IF(D404="","",IFERROR(VLOOKUP(D404,'Items'!$A$2:$L$201,10,FALSE),""))</f>
        <v/>
      </c>
      <c r="K404" s="10">
        <f>IF(OR(H404="",J404=""),"",H404*J404)</f>
        <v/>
      </c>
      <c r="L404" s="5">
        <f>IF(AND(B404="",D404=""),"",IF(B404="","Missing product",IF(D404="","Missing item",IF(C404="Product not found","Product not found",IF(E404="Item not found","Item not found",IF(OR(F404="",G404=""),"Missing quantity/unit",IF(IFERROR(VLOOKUP(G404,'Units'!$A$2:$D$13,3,FALSE),"")&lt;&gt;I404,"Unit mismatch",IF(J404="","Enter item cost","OK"))))))))</f>
        <v/>
      </c>
      <c r="M404" s="4" t="n"/>
    </row>
    <row r="405">
      <c r="A405" s="5">
        <f>IF(AND(B405="",D405=""),"",ROW()-1)</f>
        <v/>
      </c>
      <c r="B405" s="4" t="n"/>
      <c r="C405" s="5">
        <f>IF(B405="","",IFERROR(VLOOKUP(B405,'Products'!$A$2:$F$201,2,FALSE),"Product not found"))</f>
        <v/>
      </c>
      <c r="D405" s="4" t="n"/>
      <c r="E405" s="5">
        <f>IF(D405="","",IFERROR(VLOOKUP(D405,'Items'!$A$2:$L$201,2,FALSE),"Item not found"))</f>
        <v/>
      </c>
      <c r="F405" s="9" t="n"/>
      <c r="G405" s="4" t="n"/>
      <c r="H405" s="10">
        <f>IF(OR(F405="",G405=""),"",IFERROR(F405*VLOOKUP(G405,'Units'!$A$2:$D$13,4,FALSE),""))</f>
        <v/>
      </c>
      <c r="I405" s="5">
        <f>IF(D405="","",IFERROR(VLOOKUP(D405,'Items'!$A$2:$L$201,4,FALSE),""))</f>
        <v/>
      </c>
      <c r="J405" s="10">
        <f>IF(D405="","",IFERROR(VLOOKUP(D405,'Items'!$A$2:$L$201,10,FALSE),""))</f>
        <v/>
      </c>
      <c r="K405" s="10">
        <f>IF(OR(H405="",J405=""),"",H405*J405)</f>
        <v/>
      </c>
      <c r="L405" s="5">
        <f>IF(AND(B405="",D405=""),"",IF(B405="","Missing product",IF(D405="","Missing item",IF(C405="Product not found","Product not found",IF(E405="Item not found","Item not found",IF(OR(F405="",G405=""),"Missing quantity/unit",IF(IFERROR(VLOOKUP(G405,'Units'!$A$2:$D$13,3,FALSE),"")&lt;&gt;I405,"Unit mismatch",IF(J405="","Enter item cost","OK"))))))))</f>
        <v/>
      </c>
      <c r="M405" s="4" t="n"/>
    </row>
    <row r="406">
      <c r="A406" s="5">
        <f>IF(AND(B406="",D406=""),"",ROW()-1)</f>
        <v/>
      </c>
      <c r="B406" s="4" t="n"/>
      <c r="C406" s="5">
        <f>IF(B406="","",IFERROR(VLOOKUP(B406,'Products'!$A$2:$F$201,2,FALSE),"Product not found"))</f>
        <v/>
      </c>
      <c r="D406" s="4" t="n"/>
      <c r="E406" s="5">
        <f>IF(D406="","",IFERROR(VLOOKUP(D406,'Items'!$A$2:$L$201,2,FALSE),"Item not found"))</f>
        <v/>
      </c>
      <c r="F406" s="9" t="n"/>
      <c r="G406" s="4" t="n"/>
      <c r="H406" s="10">
        <f>IF(OR(F406="",G406=""),"",IFERROR(F406*VLOOKUP(G406,'Units'!$A$2:$D$13,4,FALSE),""))</f>
        <v/>
      </c>
      <c r="I406" s="5">
        <f>IF(D406="","",IFERROR(VLOOKUP(D406,'Items'!$A$2:$L$201,4,FALSE),""))</f>
        <v/>
      </c>
      <c r="J406" s="10">
        <f>IF(D406="","",IFERROR(VLOOKUP(D406,'Items'!$A$2:$L$201,10,FALSE),""))</f>
        <v/>
      </c>
      <c r="K406" s="10">
        <f>IF(OR(H406="",J406=""),"",H406*J406)</f>
        <v/>
      </c>
      <c r="L406" s="5">
        <f>IF(AND(B406="",D406=""),"",IF(B406="","Missing product",IF(D406="","Missing item",IF(C406="Product not found","Product not found",IF(E406="Item not found","Item not found",IF(OR(F406="",G406=""),"Missing quantity/unit",IF(IFERROR(VLOOKUP(G406,'Units'!$A$2:$D$13,3,FALSE),"")&lt;&gt;I406,"Unit mismatch",IF(J406="","Enter item cost","OK"))))))))</f>
        <v/>
      </c>
      <c r="M406" s="4" t="n"/>
    </row>
    <row r="407">
      <c r="A407" s="5">
        <f>IF(AND(B407="",D407=""),"",ROW()-1)</f>
        <v/>
      </c>
      <c r="B407" s="4" t="n"/>
      <c r="C407" s="5">
        <f>IF(B407="","",IFERROR(VLOOKUP(B407,'Products'!$A$2:$F$201,2,FALSE),"Product not found"))</f>
        <v/>
      </c>
      <c r="D407" s="4" t="n"/>
      <c r="E407" s="5">
        <f>IF(D407="","",IFERROR(VLOOKUP(D407,'Items'!$A$2:$L$201,2,FALSE),"Item not found"))</f>
        <v/>
      </c>
      <c r="F407" s="9" t="n"/>
      <c r="G407" s="4" t="n"/>
      <c r="H407" s="10">
        <f>IF(OR(F407="",G407=""),"",IFERROR(F407*VLOOKUP(G407,'Units'!$A$2:$D$13,4,FALSE),""))</f>
        <v/>
      </c>
      <c r="I407" s="5">
        <f>IF(D407="","",IFERROR(VLOOKUP(D407,'Items'!$A$2:$L$201,4,FALSE),""))</f>
        <v/>
      </c>
      <c r="J407" s="10">
        <f>IF(D407="","",IFERROR(VLOOKUP(D407,'Items'!$A$2:$L$201,10,FALSE),""))</f>
        <v/>
      </c>
      <c r="K407" s="10">
        <f>IF(OR(H407="",J407=""),"",H407*J407)</f>
        <v/>
      </c>
      <c r="L407" s="5">
        <f>IF(AND(B407="",D407=""),"",IF(B407="","Missing product",IF(D407="","Missing item",IF(C407="Product not found","Product not found",IF(E407="Item not found","Item not found",IF(OR(F407="",G407=""),"Missing quantity/unit",IF(IFERROR(VLOOKUP(G407,'Units'!$A$2:$D$13,3,FALSE),"")&lt;&gt;I407,"Unit mismatch",IF(J407="","Enter item cost","OK"))))))))</f>
        <v/>
      </c>
      <c r="M407" s="4" t="n"/>
    </row>
    <row r="408">
      <c r="A408" s="5">
        <f>IF(AND(B408="",D408=""),"",ROW()-1)</f>
        <v/>
      </c>
      <c r="B408" s="4" t="n"/>
      <c r="C408" s="5">
        <f>IF(B408="","",IFERROR(VLOOKUP(B408,'Products'!$A$2:$F$201,2,FALSE),"Product not found"))</f>
        <v/>
      </c>
      <c r="D408" s="4" t="n"/>
      <c r="E408" s="5">
        <f>IF(D408="","",IFERROR(VLOOKUP(D408,'Items'!$A$2:$L$201,2,FALSE),"Item not found"))</f>
        <v/>
      </c>
      <c r="F408" s="9" t="n"/>
      <c r="G408" s="4" t="n"/>
      <c r="H408" s="10">
        <f>IF(OR(F408="",G408=""),"",IFERROR(F408*VLOOKUP(G408,'Units'!$A$2:$D$13,4,FALSE),""))</f>
        <v/>
      </c>
      <c r="I408" s="5">
        <f>IF(D408="","",IFERROR(VLOOKUP(D408,'Items'!$A$2:$L$201,4,FALSE),""))</f>
        <v/>
      </c>
      <c r="J408" s="10">
        <f>IF(D408="","",IFERROR(VLOOKUP(D408,'Items'!$A$2:$L$201,10,FALSE),""))</f>
        <v/>
      </c>
      <c r="K408" s="10">
        <f>IF(OR(H408="",J408=""),"",H408*J408)</f>
        <v/>
      </c>
      <c r="L408" s="5">
        <f>IF(AND(B408="",D408=""),"",IF(B408="","Missing product",IF(D408="","Missing item",IF(C408="Product not found","Product not found",IF(E408="Item not found","Item not found",IF(OR(F408="",G408=""),"Missing quantity/unit",IF(IFERROR(VLOOKUP(G408,'Units'!$A$2:$D$13,3,FALSE),"")&lt;&gt;I408,"Unit mismatch",IF(J408="","Enter item cost","OK"))))))))</f>
        <v/>
      </c>
      <c r="M408" s="4" t="n"/>
    </row>
    <row r="409">
      <c r="A409" s="5">
        <f>IF(AND(B409="",D409=""),"",ROW()-1)</f>
        <v/>
      </c>
      <c r="B409" s="4" t="n"/>
      <c r="C409" s="5">
        <f>IF(B409="","",IFERROR(VLOOKUP(B409,'Products'!$A$2:$F$201,2,FALSE),"Product not found"))</f>
        <v/>
      </c>
      <c r="D409" s="4" t="n"/>
      <c r="E409" s="5">
        <f>IF(D409="","",IFERROR(VLOOKUP(D409,'Items'!$A$2:$L$201,2,FALSE),"Item not found"))</f>
        <v/>
      </c>
      <c r="F409" s="9" t="n"/>
      <c r="G409" s="4" t="n"/>
      <c r="H409" s="10">
        <f>IF(OR(F409="",G409=""),"",IFERROR(F409*VLOOKUP(G409,'Units'!$A$2:$D$13,4,FALSE),""))</f>
        <v/>
      </c>
      <c r="I409" s="5">
        <f>IF(D409="","",IFERROR(VLOOKUP(D409,'Items'!$A$2:$L$201,4,FALSE),""))</f>
        <v/>
      </c>
      <c r="J409" s="10">
        <f>IF(D409="","",IFERROR(VLOOKUP(D409,'Items'!$A$2:$L$201,10,FALSE),""))</f>
        <v/>
      </c>
      <c r="K409" s="10">
        <f>IF(OR(H409="",J409=""),"",H409*J409)</f>
        <v/>
      </c>
      <c r="L409" s="5">
        <f>IF(AND(B409="",D409=""),"",IF(B409="","Missing product",IF(D409="","Missing item",IF(C409="Product not found","Product not found",IF(E409="Item not found","Item not found",IF(OR(F409="",G409=""),"Missing quantity/unit",IF(IFERROR(VLOOKUP(G409,'Units'!$A$2:$D$13,3,FALSE),"")&lt;&gt;I409,"Unit mismatch",IF(J409="","Enter item cost","OK"))))))))</f>
        <v/>
      </c>
      <c r="M409" s="4" t="n"/>
    </row>
    <row r="410">
      <c r="A410" s="5">
        <f>IF(AND(B410="",D410=""),"",ROW()-1)</f>
        <v/>
      </c>
      <c r="B410" s="4" t="n"/>
      <c r="C410" s="5">
        <f>IF(B410="","",IFERROR(VLOOKUP(B410,'Products'!$A$2:$F$201,2,FALSE),"Product not found"))</f>
        <v/>
      </c>
      <c r="D410" s="4" t="n"/>
      <c r="E410" s="5">
        <f>IF(D410="","",IFERROR(VLOOKUP(D410,'Items'!$A$2:$L$201,2,FALSE),"Item not found"))</f>
        <v/>
      </c>
      <c r="F410" s="9" t="n"/>
      <c r="G410" s="4" t="n"/>
      <c r="H410" s="10">
        <f>IF(OR(F410="",G410=""),"",IFERROR(F410*VLOOKUP(G410,'Units'!$A$2:$D$13,4,FALSE),""))</f>
        <v/>
      </c>
      <c r="I410" s="5">
        <f>IF(D410="","",IFERROR(VLOOKUP(D410,'Items'!$A$2:$L$201,4,FALSE),""))</f>
        <v/>
      </c>
      <c r="J410" s="10">
        <f>IF(D410="","",IFERROR(VLOOKUP(D410,'Items'!$A$2:$L$201,10,FALSE),""))</f>
        <v/>
      </c>
      <c r="K410" s="10">
        <f>IF(OR(H410="",J410=""),"",H410*J410)</f>
        <v/>
      </c>
      <c r="L410" s="5">
        <f>IF(AND(B410="",D410=""),"",IF(B410="","Missing product",IF(D410="","Missing item",IF(C410="Product not found","Product not found",IF(E410="Item not found","Item not found",IF(OR(F410="",G410=""),"Missing quantity/unit",IF(IFERROR(VLOOKUP(G410,'Units'!$A$2:$D$13,3,FALSE),"")&lt;&gt;I410,"Unit mismatch",IF(J410="","Enter item cost","OK"))))))))</f>
        <v/>
      </c>
      <c r="M410" s="4" t="n"/>
    </row>
    <row r="411">
      <c r="A411" s="5">
        <f>IF(AND(B411="",D411=""),"",ROW()-1)</f>
        <v/>
      </c>
      <c r="B411" s="4" t="n"/>
      <c r="C411" s="5">
        <f>IF(B411="","",IFERROR(VLOOKUP(B411,'Products'!$A$2:$F$201,2,FALSE),"Product not found"))</f>
        <v/>
      </c>
      <c r="D411" s="4" t="n"/>
      <c r="E411" s="5">
        <f>IF(D411="","",IFERROR(VLOOKUP(D411,'Items'!$A$2:$L$201,2,FALSE),"Item not found"))</f>
        <v/>
      </c>
      <c r="F411" s="9" t="n"/>
      <c r="G411" s="4" t="n"/>
      <c r="H411" s="10">
        <f>IF(OR(F411="",G411=""),"",IFERROR(F411*VLOOKUP(G411,'Units'!$A$2:$D$13,4,FALSE),""))</f>
        <v/>
      </c>
      <c r="I411" s="5">
        <f>IF(D411="","",IFERROR(VLOOKUP(D411,'Items'!$A$2:$L$201,4,FALSE),""))</f>
        <v/>
      </c>
      <c r="J411" s="10">
        <f>IF(D411="","",IFERROR(VLOOKUP(D411,'Items'!$A$2:$L$201,10,FALSE),""))</f>
        <v/>
      </c>
      <c r="K411" s="10">
        <f>IF(OR(H411="",J411=""),"",H411*J411)</f>
        <v/>
      </c>
      <c r="L411" s="5">
        <f>IF(AND(B411="",D411=""),"",IF(B411="","Missing product",IF(D411="","Missing item",IF(C411="Product not found","Product not found",IF(E411="Item not found","Item not found",IF(OR(F411="",G411=""),"Missing quantity/unit",IF(IFERROR(VLOOKUP(G411,'Units'!$A$2:$D$13,3,FALSE),"")&lt;&gt;I411,"Unit mismatch",IF(J411="","Enter item cost","OK"))))))))</f>
        <v/>
      </c>
      <c r="M411" s="4" t="n"/>
    </row>
    <row r="412">
      <c r="A412" s="5">
        <f>IF(AND(B412="",D412=""),"",ROW()-1)</f>
        <v/>
      </c>
      <c r="B412" s="4" t="n"/>
      <c r="C412" s="5">
        <f>IF(B412="","",IFERROR(VLOOKUP(B412,'Products'!$A$2:$F$201,2,FALSE),"Product not found"))</f>
        <v/>
      </c>
      <c r="D412" s="4" t="n"/>
      <c r="E412" s="5">
        <f>IF(D412="","",IFERROR(VLOOKUP(D412,'Items'!$A$2:$L$201,2,FALSE),"Item not found"))</f>
        <v/>
      </c>
      <c r="F412" s="9" t="n"/>
      <c r="G412" s="4" t="n"/>
      <c r="H412" s="10">
        <f>IF(OR(F412="",G412=""),"",IFERROR(F412*VLOOKUP(G412,'Units'!$A$2:$D$13,4,FALSE),""))</f>
        <v/>
      </c>
      <c r="I412" s="5">
        <f>IF(D412="","",IFERROR(VLOOKUP(D412,'Items'!$A$2:$L$201,4,FALSE),""))</f>
        <v/>
      </c>
      <c r="J412" s="10">
        <f>IF(D412="","",IFERROR(VLOOKUP(D412,'Items'!$A$2:$L$201,10,FALSE),""))</f>
        <v/>
      </c>
      <c r="K412" s="10">
        <f>IF(OR(H412="",J412=""),"",H412*J412)</f>
        <v/>
      </c>
      <c r="L412" s="5">
        <f>IF(AND(B412="",D412=""),"",IF(B412="","Missing product",IF(D412="","Missing item",IF(C412="Product not found","Product not found",IF(E412="Item not found","Item not found",IF(OR(F412="",G412=""),"Missing quantity/unit",IF(IFERROR(VLOOKUP(G412,'Units'!$A$2:$D$13,3,FALSE),"")&lt;&gt;I412,"Unit mismatch",IF(J412="","Enter item cost","OK"))))))))</f>
        <v/>
      </c>
      <c r="M412" s="4" t="n"/>
    </row>
    <row r="413">
      <c r="A413" s="5">
        <f>IF(AND(B413="",D413=""),"",ROW()-1)</f>
        <v/>
      </c>
      <c r="B413" s="4" t="n"/>
      <c r="C413" s="5">
        <f>IF(B413="","",IFERROR(VLOOKUP(B413,'Products'!$A$2:$F$201,2,FALSE),"Product not found"))</f>
        <v/>
      </c>
      <c r="D413" s="4" t="n"/>
      <c r="E413" s="5">
        <f>IF(D413="","",IFERROR(VLOOKUP(D413,'Items'!$A$2:$L$201,2,FALSE),"Item not found"))</f>
        <v/>
      </c>
      <c r="F413" s="9" t="n"/>
      <c r="G413" s="4" t="n"/>
      <c r="H413" s="10">
        <f>IF(OR(F413="",G413=""),"",IFERROR(F413*VLOOKUP(G413,'Units'!$A$2:$D$13,4,FALSE),""))</f>
        <v/>
      </c>
      <c r="I413" s="5">
        <f>IF(D413="","",IFERROR(VLOOKUP(D413,'Items'!$A$2:$L$201,4,FALSE),""))</f>
        <v/>
      </c>
      <c r="J413" s="10">
        <f>IF(D413="","",IFERROR(VLOOKUP(D413,'Items'!$A$2:$L$201,10,FALSE),""))</f>
        <v/>
      </c>
      <c r="K413" s="10">
        <f>IF(OR(H413="",J413=""),"",H413*J413)</f>
        <v/>
      </c>
      <c r="L413" s="5">
        <f>IF(AND(B413="",D413=""),"",IF(B413="","Missing product",IF(D413="","Missing item",IF(C413="Product not found","Product not found",IF(E413="Item not found","Item not found",IF(OR(F413="",G413=""),"Missing quantity/unit",IF(IFERROR(VLOOKUP(G413,'Units'!$A$2:$D$13,3,FALSE),"")&lt;&gt;I413,"Unit mismatch",IF(J413="","Enter item cost","OK"))))))))</f>
        <v/>
      </c>
      <c r="M413" s="4" t="n"/>
    </row>
    <row r="414">
      <c r="A414" s="5">
        <f>IF(AND(B414="",D414=""),"",ROW()-1)</f>
        <v/>
      </c>
      <c r="B414" s="4" t="n"/>
      <c r="C414" s="5">
        <f>IF(B414="","",IFERROR(VLOOKUP(B414,'Products'!$A$2:$F$201,2,FALSE),"Product not found"))</f>
        <v/>
      </c>
      <c r="D414" s="4" t="n"/>
      <c r="E414" s="5">
        <f>IF(D414="","",IFERROR(VLOOKUP(D414,'Items'!$A$2:$L$201,2,FALSE),"Item not found"))</f>
        <v/>
      </c>
      <c r="F414" s="9" t="n"/>
      <c r="G414" s="4" t="n"/>
      <c r="H414" s="10">
        <f>IF(OR(F414="",G414=""),"",IFERROR(F414*VLOOKUP(G414,'Units'!$A$2:$D$13,4,FALSE),""))</f>
        <v/>
      </c>
      <c r="I414" s="5">
        <f>IF(D414="","",IFERROR(VLOOKUP(D414,'Items'!$A$2:$L$201,4,FALSE),""))</f>
        <v/>
      </c>
      <c r="J414" s="10">
        <f>IF(D414="","",IFERROR(VLOOKUP(D414,'Items'!$A$2:$L$201,10,FALSE),""))</f>
        <v/>
      </c>
      <c r="K414" s="10">
        <f>IF(OR(H414="",J414=""),"",H414*J414)</f>
        <v/>
      </c>
      <c r="L414" s="5">
        <f>IF(AND(B414="",D414=""),"",IF(B414="","Missing product",IF(D414="","Missing item",IF(C414="Product not found","Product not found",IF(E414="Item not found","Item not found",IF(OR(F414="",G414=""),"Missing quantity/unit",IF(IFERROR(VLOOKUP(G414,'Units'!$A$2:$D$13,3,FALSE),"")&lt;&gt;I414,"Unit mismatch",IF(J414="","Enter item cost","OK"))))))))</f>
        <v/>
      </c>
      <c r="M414" s="4" t="n"/>
    </row>
    <row r="415">
      <c r="A415" s="5">
        <f>IF(AND(B415="",D415=""),"",ROW()-1)</f>
        <v/>
      </c>
      <c r="B415" s="4" t="n"/>
      <c r="C415" s="5">
        <f>IF(B415="","",IFERROR(VLOOKUP(B415,'Products'!$A$2:$F$201,2,FALSE),"Product not found"))</f>
        <v/>
      </c>
      <c r="D415" s="4" t="n"/>
      <c r="E415" s="5">
        <f>IF(D415="","",IFERROR(VLOOKUP(D415,'Items'!$A$2:$L$201,2,FALSE),"Item not found"))</f>
        <v/>
      </c>
      <c r="F415" s="9" t="n"/>
      <c r="G415" s="4" t="n"/>
      <c r="H415" s="10">
        <f>IF(OR(F415="",G415=""),"",IFERROR(F415*VLOOKUP(G415,'Units'!$A$2:$D$13,4,FALSE),""))</f>
        <v/>
      </c>
      <c r="I415" s="5">
        <f>IF(D415="","",IFERROR(VLOOKUP(D415,'Items'!$A$2:$L$201,4,FALSE),""))</f>
        <v/>
      </c>
      <c r="J415" s="10">
        <f>IF(D415="","",IFERROR(VLOOKUP(D415,'Items'!$A$2:$L$201,10,FALSE),""))</f>
        <v/>
      </c>
      <c r="K415" s="10">
        <f>IF(OR(H415="",J415=""),"",H415*J415)</f>
        <v/>
      </c>
      <c r="L415" s="5">
        <f>IF(AND(B415="",D415=""),"",IF(B415="","Missing product",IF(D415="","Missing item",IF(C415="Product not found","Product not found",IF(E415="Item not found","Item not found",IF(OR(F415="",G415=""),"Missing quantity/unit",IF(IFERROR(VLOOKUP(G415,'Units'!$A$2:$D$13,3,FALSE),"")&lt;&gt;I415,"Unit mismatch",IF(J415="","Enter item cost","OK"))))))))</f>
        <v/>
      </c>
      <c r="M415" s="4" t="n"/>
    </row>
    <row r="416">
      <c r="A416" s="5">
        <f>IF(AND(B416="",D416=""),"",ROW()-1)</f>
        <v/>
      </c>
      <c r="B416" s="4" t="n"/>
      <c r="C416" s="5">
        <f>IF(B416="","",IFERROR(VLOOKUP(B416,'Products'!$A$2:$F$201,2,FALSE),"Product not found"))</f>
        <v/>
      </c>
      <c r="D416" s="4" t="n"/>
      <c r="E416" s="5">
        <f>IF(D416="","",IFERROR(VLOOKUP(D416,'Items'!$A$2:$L$201,2,FALSE),"Item not found"))</f>
        <v/>
      </c>
      <c r="F416" s="9" t="n"/>
      <c r="G416" s="4" t="n"/>
      <c r="H416" s="10">
        <f>IF(OR(F416="",G416=""),"",IFERROR(F416*VLOOKUP(G416,'Units'!$A$2:$D$13,4,FALSE),""))</f>
        <v/>
      </c>
      <c r="I416" s="5">
        <f>IF(D416="","",IFERROR(VLOOKUP(D416,'Items'!$A$2:$L$201,4,FALSE),""))</f>
        <v/>
      </c>
      <c r="J416" s="10">
        <f>IF(D416="","",IFERROR(VLOOKUP(D416,'Items'!$A$2:$L$201,10,FALSE),""))</f>
        <v/>
      </c>
      <c r="K416" s="10">
        <f>IF(OR(H416="",J416=""),"",H416*J416)</f>
        <v/>
      </c>
      <c r="L416" s="5">
        <f>IF(AND(B416="",D416=""),"",IF(B416="","Missing product",IF(D416="","Missing item",IF(C416="Product not found","Product not found",IF(E416="Item not found","Item not found",IF(OR(F416="",G416=""),"Missing quantity/unit",IF(IFERROR(VLOOKUP(G416,'Units'!$A$2:$D$13,3,FALSE),"")&lt;&gt;I416,"Unit mismatch",IF(J416="","Enter item cost","OK"))))))))</f>
        <v/>
      </c>
      <c r="M416" s="4" t="n"/>
    </row>
    <row r="417">
      <c r="A417" s="5">
        <f>IF(AND(B417="",D417=""),"",ROW()-1)</f>
        <v/>
      </c>
      <c r="B417" s="4" t="n"/>
      <c r="C417" s="5">
        <f>IF(B417="","",IFERROR(VLOOKUP(B417,'Products'!$A$2:$F$201,2,FALSE),"Product not found"))</f>
        <v/>
      </c>
      <c r="D417" s="4" t="n"/>
      <c r="E417" s="5">
        <f>IF(D417="","",IFERROR(VLOOKUP(D417,'Items'!$A$2:$L$201,2,FALSE),"Item not found"))</f>
        <v/>
      </c>
      <c r="F417" s="9" t="n"/>
      <c r="G417" s="4" t="n"/>
      <c r="H417" s="10">
        <f>IF(OR(F417="",G417=""),"",IFERROR(F417*VLOOKUP(G417,'Units'!$A$2:$D$13,4,FALSE),""))</f>
        <v/>
      </c>
      <c r="I417" s="5">
        <f>IF(D417="","",IFERROR(VLOOKUP(D417,'Items'!$A$2:$L$201,4,FALSE),""))</f>
        <v/>
      </c>
      <c r="J417" s="10">
        <f>IF(D417="","",IFERROR(VLOOKUP(D417,'Items'!$A$2:$L$201,10,FALSE),""))</f>
        <v/>
      </c>
      <c r="K417" s="10">
        <f>IF(OR(H417="",J417=""),"",H417*J417)</f>
        <v/>
      </c>
      <c r="L417" s="5">
        <f>IF(AND(B417="",D417=""),"",IF(B417="","Missing product",IF(D417="","Missing item",IF(C417="Product not found","Product not found",IF(E417="Item not found","Item not found",IF(OR(F417="",G417=""),"Missing quantity/unit",IF(IFERROR(VLOOKUP(G417,'Units'!$A$2:$D$13,3,FALSE),"")&lt;&gt;I417,"Unit mismatch",IF(J417="","Enter item cost","OK"))))))))</f>
        <v/>
      </c>
      <c r="M417" s="4" t="n"/>
    </row>
    <row r="418">
      <c r="A418" s="5">
        <f>IF(AND(B418="",D418=""),"",ROW()-1)</f>
        <v/>
      </c>
      <c r="B418" s="4" t="n"/>
      <c r="C418" s="5">
        <f>IF(B418="","",IFERROR(VLOOKUP(B418,'Products'!$A$2:$F$201,2,FALSE),"Product not found"))</f>
        <v/>
      </c>
      <c r="D418" s="4" t="n"/>
      <c r="E418" s="5">
        <f>IF(D418="","",IFERROR(VLOOKUP(D418,'Items'!$A$2:$L$201,2,FALSE),"Item not found"))</f>
        <v/>
      </c>
      <c r="F418" s="9" t="n"/>
      <c r="G418" s="4" t="n"/>
      <c r="H418" s="10">
        <f>IF(OR(F418="",G418=""),"",IFERROR(F418*VLOOKUP(G418,'Units'!$A$2:$D$13,4,FALSE),""))</f>
        <v/>
      </c>
      <c r="I418" s="5">
        <f>IF(D418="","",IFERROR(VLOOKUP(D418,'Items'!$A$2:$L$201,4,FALSE),""))</f>
        <v/>
      </c>
      <c r="J418" s="10">
        <f>IF(D418="","",IFERROR(VLOOKUP(D418,'Items'!$A$2:$L$201,10,FALSE),""))</f>
        <v/>
      </c>
      <c r="K418" s="10">
        <f>IF(OR(H418="",J418=""),"",H418*J418)</f>
        <v/>
      </c>
      <c r="L418" s="5">
        <f>IF(AND(B418="",D418=""),"",IF(B418="","Missing product",IF(D418="","Missing item",IF(C418="Product not found","Product not found",IF(E418="Item not found","Item not found",IF(OR(F418="",G418=""),"Missing quantity/unit",IF(IFERROR(VLOOKUP(G418,'Units'!$A$2:$D$13,3,FALSE),"")&lt;&gt;I418,"Unit mismatch",IF(J418="","Enter item cost","OK"))))))))</f>
        <v/>
      </c>
      <c r="M418" s="4" t="n"/>
    </row>
    <row r="419">
      <c r="A419" s="5">
        <f>IF(AND(B419="",D419=""),"",ROW()-1)</f>
        <v/>
      </c>
      <c r="B419" s="4" t="n"/>
      <c r="C419" s="5">
        <f>IF(B419="","",IFERROR(VLOOKUP(B419,'Products'!$A$2:$F$201,2,FALSE),"Product not found"))</f>
        <v/>
      </c>
      <c r="D419" s="4" t="n"/>
      <c r="E419" s="5">
        <f>IF(D419="","",IFERROR(VLOOKUP(D419,'Items'!$A$2:$L$201,2,FALSE),"Item not found"))</f>
        <v/>
      </c>
      <c r="F419" s="9" t="n"/>
      <c r="G419" s="4" t="n"/>
      <c r="H419" s="10">
        <f>IF(OR(F419="",G419=""),"",IFERROR(F419*VLOOKUP(G419,'Units'!$A$2:$D$13,4,FALSE),""))</f>
        <v/>
      </c>
      <c r="I419" s="5">
        <f>IF(D419="","",IFERROR(VLOOKUP(D419,'Items'!$A$2:$L$201,4,FALSE),""))</f>
        <v/>
      </c>
      <c r="J419" s="10">
        <f>IF(D419="","",IFERROR(VLOOKUP(D419,'Items'!$A$2:$L$201,10,FALSE),""))</f>
        <v/>
      </c>
      <c r="K419" s="10">
        <f>IF(OR(H419="",J419=""),"",H419*J419)</f>
        <v/>
      </c>
      <c r="L419" s="5">
        <f>IF(AND(B419="",D419=""),"",IF(B419="","Missing product",IF(D419="","Missing item",IF(C419="Product not found","Product not found",IF(E419="Item not found","Item not found",IF(OR(F419="",G419=""),"Missing quantity/unit",IF(IFERROR(VLOOKUP(G419,'Units'!$A$2:$D$13,3,FALSE),"")&lt;&gt;I419,"Unit mismatch",IF(J419="","Enter item cost","OK"))))))))</f>
        <v/>
      </c>
      <c r="M419" s="4" t="n"/>
    </row>
    <row r="420">
      <c r="A420" s="5">
        <f>IF(AND(B420="",D420=""),"",ROW()-1)</f>
        <v/>
      </c>
      <c r="B420" s="4" t="n"/>
      <c r="C420" s="5">
        <f>IF(B420="","",IFERROR(VLOOKUP(B420,'Products'!$A$2:$F$201,2,FALSE),"Product not found"))</f>
        <v/>
      </c>
      <c r="D420" s="4" t="n"/>
      <c r="E420" s="5">
        <f>IF(D420="","",IFERROR(VLOOKUP(D420,'Items'!$A$2:$L$201,2,FALSE),"Item not found"))</f>
        <v/>
      </c>
      <c r="F420" s="9" t="n"/>
      <c r="G420" s="4" t="n"/>
      <c r="H420" s="10">
        <f>IF(OR(F420="",G420=""),"",IFERROR(F420*VLOOKUP(G420,'Units'!$A$2:$D$13,4,FALSE),""))</f>
        <v/>
      </c>
      <c r="I420" s="5">
        <f>IF(D420="","",IFERROR(VLOOKUP(D420,'Items'!$A$2:$L$201,4,FALSE),""))</f>
        <v/>
      </c>
      <c r="J420" s="10">
        <f>IF(D420="","",IFERROR(VLOOKUP(D420,'Items'!$A$2:$L$201,10,FALSE),""))</f>
        <v/>
      </c>
      <c r="K420" s="10">
        <f>IF(OR(H420="",J420=""),"",H420*J420)</f>
        <v/>
      </c>
      <c r="L420" s="5">
        <f>IF(AND(B420="",D420=""),"",IF(B420="","Missing product",IF(D420="","Missing item",IF(C420="Product not found","Product not found",IF(E420="Item not found","Item not found",IF(OR(F420="",G420=""),"Missing quantity/unit",IF(IFERROR(VLOOKUP(G420,'Units'!$A$2:$D$13,3,FALSE),"")&lt;&gt;I420,"Unit mismatch",IF(J420="","Enter item cost","OK"))))))))</f>
        <v/>
      </c>
      <c r="M420" s="4" t="n"/>
    </row>
    <row r="421">
      <c r="A421" s="5">
        <f>IF(AND(B421="",D421=""),"",ROW()-1)</f>
        <v/>
      </c>
      <c r="B421" s="4" t="n"/>
      <c r="C421" s="5">
        <f>IF(B421="","",IFERROR(VLOOKUP(B421,'Products'!$A$2:$F$201,2,FALSE),"Product not found"))</f>
        <v/>
      </c>
      <c r="D421" s="4" t="n"/>
      <c r="E421" s="5">
        <f>IF(D421="","",IFERROR(VLOOKUP(D421,'Items'!$A$2:$L$201,2,FALSE),"Item not found"))</f>
        <v/>
      </c>
      <c r="F421" s="9" t="n"/>
      <c r="G421" s="4" t="n"/>
      <c r="H421" s="10">
        <f>IF(OR(F421="",G421=""),"",IFERROR(F421*VLOOKUP(G421,'Units'!$A$2:$D$13,4,FALSE),""))</f>
        <v/>
      </c>
      <c r="I421" s="5">
        <f>IF(D421="","",IFERROR(VLOOKUP(D421,'Items'!$A$2:$L$201,4,FALSE),""))</f>
        <v/>
      </c>
      <c r="J421" s="10">
        <f>IF(D421="","",IFERROR(VLOOKUP(D421,'Items'!$A$2:$L$201,10,FALSE),""))</f>
        <v/>
      </c>
      <c r="K421" s="10">
        <f>IF(OR(H421="",J421=""),"",H421*J421)</f>
        <v/>
      </c>
      <c r="L421" s="5">
        <f>IF(AND(B421="",D421=""),"",IF(B421="","Missing product",IF(D421="","Missing item",IF(C421="Product not found","Product not found",IF(E421="Item not found","Item not found",IF(OR(F421="",G421=""),"Missing quantity/unit",IF(IFERROR(VLOOKUP(G421,'Units'!$A$2:$D$13,3,FALSE),"")&lt;&gt;I421,"Unit mismatch",IF(J421="","Enter item cost","OK"))))))))</f>
        <v/>
      </c>
      <c r="M421" s="4" t="n"/>
    </row>
    <row r="422">
      <c r="A422" s="5">
        <f>IF(AND(B422="",D422=""),"",ROW()-1)</f>
        <v/>
      </c>
      <c r="B422" s="4" t="n"/>
      <c r="C422" s="5">
        <f>IF(B422="","",IFERROR(VLOOKUP(B422,'Products'!$A$2:$F$201,2,FALSE),"Product not found"))</f>
        <v/>
      </c>
      <c r="D422" s="4" t="n"/>
      <c r="E422" s="5">
        <f>IF(D422="","",IFERROR(VLOOKUP(D422,'Items'!$A$2:$L$201,2,FALSE),"Item not found"))</f>
        <v/>
      </c>
      <c r="F422" s="9" t="n"/>
      <c r="G422" s="4" t="n"/>
      <c r="H422" s="10">
        <f>IF(OR(F422="",G422=""),"",IFERROR(F422*VLOOKUP(G422,'Units'!$A$2:$D$13,4,FALSE),""))</f>
        <v/>
      </c>
      <c r="I422" s="5">
        <f>IF(D422="","",IFERROR(VLOOKUP(D422,'Items'!$A$2:$L$201,4,FALSE),""))</f>
        <v/>
      </c>
      <c r="J422" s="10">
        <f>IF(D422="","",IFERROR(VLOOKUP(D422,'Items'!$A$2:$L$201,10,FALSE),""))</f>
        <v/>
      </c>
      <c r="K422" s="10">
        <f>IF(OR(H422="",J422=""),"",H422*J422)</f>
        <v/>
      </c>
      <c r="L422" s="5">
        <f>IF(AND(B422="",D422=""),"",IF(B422="","Missing product",IF(D422="","Missing item",IF(C422="Product not found","Product not found",IF(E422="Item not found","Item not found",IF(OR(F422="",G422=""),"Missing quantity/unit",IF(IFERROR(VLOOKUP(G422,'Units'!$A$2:$D$13,3,FALSE),"")&lt;&gt;I422,"Unit mismatch",IF(J422="","Enter item cost","OK"))))))))</f>
        <v/>
      </c>
      <c r="M422" s="4" t="n"/>
    </row>
    <row r="423">
      <c r="A423" s="5">
        <f>IF(AND(B423="",D423=""),"",ROW()-1)</f>
        <v/>
      </c>
      <c r="B423" s="4" t="n"/>
      <c r="C423" s="5">
        <f>IF(B423="","",IFERROR(VLOOKUP(B423,'Products'!$A$2:$F$201,2,FALSE),"Product not found"))</f>
        <v/>
      </c>
      <c r="D423" s="4" t="n"/>
      <c r="E423" s="5">
        <f>IF(D423="","",IFERROR(VLOOKUP(D423,'Items'!$A$2:$L$201,2,FALSE),"Item not found"))</f>
        <v/>
      </c>
      <c r="F423" s="9" t="n"/>
      <c r="G423" s="4" t="n"/>
      <c r="H423" s="10">
        <f>IF(OR(F423="",G423=""),"",IFERROR(F423*VLOOKUP(G423,'Units'!$A$2:$D$13,4,FALSE),""))</f>
        <v/>
      </c>
      <c r="I423" s="5">
        <f>IF(D423="","",IFERROR(VLOOKUP(D423,'Items'!$A$2:$L$201,4,FALSE),""))</f>
        <v/>
      </c>
      <c r="J423" s="10">
        <f>IF(D423="","",IFERROR(VLOOKUP(D423,'Items'!$A$2:$L$201,10,FALSE),""))</f>
        <v/>
      </c>
      <c r="K423" s="10">
        <f>IF(OR(H423="",J423=""),"",H423*J423)</f>
        <v/>
      </c>
      <c r="L423" s="5">
        <f>IF(AND(B423="",D423=""),"",IF(B423="","Missing product",IF(D423="","Missing item",IF(C423="Product not found","Product not found",IF(E423="Item not found","Item not found",IF(OR(F423="",G423=""),"Missing quantity/unit",IF(IFERROR(VLOOKUP(G423,'Units'!$A$2:$D$13,3,FALSE),"")&lt;&gt;I423,"Unit mismatch",IF(J423="","Enter item cost","OK"))))))))</f>
        <v/>
      </c>
      <c r="M423" s="4" t="n"/>
    </row>
    <row r="424">
      <c r="A424" s="5">
        <f>IF(AND(B424="",D424=""),"",ROW()-1)</f>
        <v/>
      </c>
      <c r="B424" s="4" t="n"/>
      <c r="C424" s="5">
        <f>IF(B424="","",IFERROR(VLOOKUP(B424,'Products'!$A$2:$F$201,2,FALSE),"Product not found"))</f>
        <v/>
      </c>
      <c r="D424" s="4" t="n"/>
      <c r="E424" s="5">
        <f>IF(D424="","",IFERROR(VLOOKUP(D424,'Items'!$A$2:$L$201,2,FALSE),"Item not found"))</f>
        <v/>
      </c>
      <c r="F424" s="9" t="n"/>
      <c r="G424" s="4" t="n"/>
      <c r="H424" s="10">
        <f>IF(OR(F424="",G424=""),"",IFERROR(F424*VLOOKUP(G424,'Units'!$A$2:$D$13,4,FALSE),""))</f>
        <v/>
      </c>
      <c r="I424" s="5">
        <f>IF(D424="","",IFERROR(VLOOKUP(D424,'Items'!$A$2:$L$201,4,FALSE),""))</f>
        <v/>
      </c>
      <c r="J424" s="10">
        <f>IF(D424="","",IFERROR(VLOOKUP(D424,'Items'!$A$2:$L$201,10,FALSE),""))</f>
        <v/>
      </c>
      <c r="K424" s="10">
        <f>IF(OR(H424="",J424=""),"",H424*J424)</f>
        <v/>
      </c>
      <c r="L424" s="5">
        <f>IF(AND(B424="",D424=""),"",IF(B424="","Missing product",IF(D424="","Missing item",IF(C424="Product not found","Product not found",IF(E424="Item not found","Item not found",IF(OR(F424="",G424=""),"Missing quantity/unit",IF(IFERROR(VLOOKUP(G424,'Units'!$A$2:$D$13,3,FALSE),"")&lt;&gt;I424,"Unit mismatch",IF(J424="","Enter item cost","OK"))))))))</f>
        <v/>
      </c>
      <c r="M424" s="4" t="n"/>
    </row>
    <row r="425">
      <c r="A425" s="5">
        <f>IF(AND(B425="",D425=""),"",ROW()-1)</f>
        <v/>
      </c>
      <c r="B425" s="4" t="n"/>
      <c r="C425" s="5">
        <f>IF(B425="","",IFERROR(VLOOKUP(B425,'Products'!$A$2:$F$201,2,FALSE),"Product not found"))</f>
        <v/>
      </c>
      <c r="D425" s="4" t="n"/>
      <c r="E425" s="5">
        <f>IF(D425="","",IFERROR(VLOOKUP(D425,'Items'!$A$2:$L$201,2,FALSE),"Item not found"))</f>
        <v/>
      </c>
      <c r="F425" s="9" t="n"/>
      <c r="G425" s="4" t="n"/>
      <c r="H425" s="10">
        <f>IF(OR(F425="",G425=""),"",IFERROR(F425*VLOOKUP(G425,'Units'!$A$2:$D$13,4,FALSE),""))</f>
        <v/>
      </c>
      <c r="I425" s="5">
        <f>IF(D425="","",IFERROR(VLOOKUP(D425,'Items'!$A$2:$L$201,4,FALSE),""))</f>
        <v/>
      </c>
      <c r="J425" s="10">
        <f>IF(D425="","",IFERROR(VLOOKUP(D425,'Items'!$A$2:$L$201,10,FALSE),""))</f>
        <v/>
      </c>
      <c r="K425" s="10">
        <f>IF(OR(H425="",J425=""),"",H425*J425)</f>
        <v/>
      </c>
      <c r="L425" s="5">
        <f>IF(AND(B425="",D425=""),"",IF(B425="","Missing product",IF(D425="","Missing item",IF(C425="Product not found","Product not found",IF(E425="Item not found","Item not found",IF(OR(F425="",G425=""),"Missing quantity/unit",IF(IFERROR(VLOOKUP(G425,'Units'!$A$2:$D$13,3,FALSE),"")&lt;&gt;I425,"Unit mismatch",IF(J425="","Enter item cost","OK"))))))))</f>
        <v/>
      </c>
      <c r="M425" s="4" t="n"/>
    </row>
    <row r="426">
      <c r="A426" s="5">
        <f>IF(AND(B426="",D426=""),"",ROW()-1)</f>
        <v/>
      </c>
      <c r="B426" s="4" t="n"/>
      <c r="C426" s="5">
        <f>IF(B426="","",IFERROR(VLOOKUP(B426,'Products'!$A$2:$F$201,2,FALSE),"Product not found"))</f>
        <v/>
      </c>
      <c r="D426" s="4" t="n"/>
      <c r="E426" s="5">
        <f>IF(D426="","",IFERROR(VLOOKUP(D426,'Items'!$A$2:$L$201,2,FALSE),"Item not found"))</f>
        <v/>
      </c>
      <c r="F426" s="9" t="n"/>
      <c r="G426" s="4" t="n"/>
      <c r="H426" s="10">
        <f>IF(OR(F426="",G426=""),"",IFERROR(F426*VLOOKUP(G426,'Units'!$A$2:$D$13,4,FALSE),""))</f>
        <v/>
      </c>
      <c r="I426" s="5">
        <f>IF(D426="","",IFERROR(VLOOKUP(D426,'Items'!$A$2:$L$201,4,FALSE),""))</f>
        <v/>
      </c>
      <c r="J426" s="10">
        <f>IF(D426="","",IFERROR(VLOOKUP(D426,'Items'!$A$2:$L$201,10,FALSE),""))</f>
        <v/>
      </c>
      <c r="K426" s="10">
        <f>IF(OR(H426="",J426=""),"",H426*J426)</f>
        <v/>
      </c>
      <c r="L426" s="5">
        <f>IF(AND(B426="",D426=""),"",IF(B426="","Missing product",IF(D426="","Missing item",IF(C426="Product not found","Product not found",IF(E426="Item not found","Item not found",IF(OR(F426="",G426=""),"Missing quantity/unit",IF(IFERROR(VLOOKUP(G426,'Units'!$A$2:$D$13,3,FALSE),"")&lt;&gt;I426,"Unit mismatch",IF(J426="","Enter item cost","OK"))))))))</f>
        <v/>
      </c>
      <c r="M426" s="4" t="n"/>
    </row>
    <row r="427">
      <c r="A427" s="5">
        <f>IF(AND(B427="",D427=""),"",ROW()-1)</f>
        <v/>
      </c>
      <c r="B427" s="4" t="n"/>
      <c r="C427" s="5">
        <f>IF(B427="","",IFERROR(VLOOKUP(B427,'Products'!$A$2:$F$201,2,FALSE),"Product not found"))</f>
        <v/>
      </c>
      <c r="D427" s="4" t="n"/>
      <c r="E427" s="5">
        <f>IF(D427="","",IFERROR(VLOOKUP(D427,'Items'!$A$2:$L$201,2,FALSE),"Item not found"))</f>
        <v/>
      </c>
      <c r="F427" s="9" t="n"/>
      <c r="G427" s="4" t="n"/>
      <c r="H427" s="10">
        <f>IF(OR(F427="",G427=""),"",IFERROR(F427*VLOOKUP(G427,'Units'!$A$2:$D$13,4,FALSE),""))</f>
        <v/>
      </c>
      <c r="I427" s="5">
        <f>IF(D427="","",IFERROR(VLOOKUP(D427,'Items'!$A$2:$L$201,4,FALSE),""))</f>
        <v/>
      </c>
      <c r="J427" s="10">
        <f>IF(D427="","",IFERROR(VLOOKUP(D427,'Items'!$A$2:$L$201,10,FALSE),""))</f>
        <v/>
      </c>
      <c r="K427" s="10">
        <f>IF(OR(H427="",J427=""),"",H427*J427)</f>
        <v/>
      </c>
      <c r="L427" s="5">
        <f>IF(AND(B427="",D427=""),"",IF(B427="","Missing product",IF(D427="","Missing item",IF(C427="Product not found","Product not found",IF(E427="Item not found","Item not found",IF(OR(F427="",G427=""),"Missing quantity/unit",IF(IFERROR(VLOOKUP(G427,'Units'!$A$2:$D$13,3,FALSE),"")&lt;&gt;I427,"Unit mismatch",IF(J427="","Enter item cost","OK"))))))))</f>
        <v/>
      </c>
      <c r="M427" s="4" t="n"/>
    </row>
    <row r="428">
      <c r="A428" s="5">
        <f>IF(AND(B428="",D428=""),"",ROW()-1)</f>
        <v/>
      </c>
      <c r="B428" s="4" t="n"/>
      <c r="C428" s="5">
        <f>IF(B428="","",IFERROR(VLOOKUP(B428,'Products'!$A$2:$F$201,2,FALSE),"Product not found"))</f>
        <v/>
      </c>
      <c r="D428" s="4" t="n"/>
      <c r="E428" s="5">
        <f>IF(D428="","",IFERROR(VLOOKUP(D428,'Items'!$A$2:$L$201,2,FALSE),"Item not found"))</f>
        <v/>
      </c>
      <c r="F428" s="9" t="n"/>
      <c r="G428" s="4" t="n"/>
      <c r="H428" s="10">
        <f>IF(OR(F428="",G428=""),"",IFERROR(F428*VLOOKUP(G428,'Units'!$A$2:$D$13,4,FALSE),""))</f>
        <v/>
      </c>
      <c r="I428" s="5">
        <f>IF(D428="","",IFERROR(VLOOKUP(D428,'Items'!$A$2:$L$201,4,FALSE),""))</f>
        <v/>
      </c>
      <c r="J428" s="10">
        <f>IF(D428="","",IFERROR(VLOOKUP(D428,'Items'!$A$2:$L$201,10,FALSE),""))</f>
        <v/>
      </c>
      <c r="K428" s="10">
        <f>IF(OR(H428="",J428=""),"",H428*J428)</f>
        <v/>
      </c>
      <c r="L428" s="5">
        <f>IF(AND(B428="",D428=""),"",IF(B428="","Missing product",IF(D428="","Missing item",IF(C428="Product not found","Product not found",IF(E428="Item not found","Item not found",IF(OR(F428="",G428=""),"Missing quantity/unit",IF(IFERROR(VLOOKUP(G428,'Units'!$A$2:$D$13,3,FALSE),"")&lt;&gt;I428,"Unit mismatch",IF(J428="","Enter item cost","OK"))))))))</f>
        <v/>
      </c>
      <c r="M428" s="4" t="n"/>
    </row>
    <row r="429">
      <c r="A429" s="5">
        <f>IF(AND(B429="",D429=""),"",ROW()-1)</f>
        <v/>
      </c>
      <c r="B429" s="4" t="n"/>
      <c r="C429" s="5">
        <f>IF(B429="","",IFERROR(VLOOKUP(B429,'Products'!$A$2:$F$201,2,FALSE),"Product not found"))</f>
        <v/>
      </c>
      <c r="D429" s="4" t="n"/>
      <c r="E429" s="5">
        <f>IF(D429="","",IFERROR(VLOOKUP(D429,'Items'!$A$2:$L$201,2,FALSE),"Item not found"))</f>
        <v/>
      </c>
      <c r="F429" s="9" t="n"/>
      <c r="G429" s="4" t="n"/>
      <c r="H429" s="10">
        <f>IF(OR(F429="",G429=""),"",IFERROR(F429*VLOOKUP(G429,'Units'!$A$2:$D$13,4,FALSE),""))</f>
        <v/>
      </c>
      <c r="I429" s="5">
        <f>IF(D429="","",IFERROR(VLOOKUP(D429,'Items'!$A$2:$L$201,4,FALSE),""))</f>
        <v/>
      </c>
      <c r="J429" s="10">
        <f>IF(D429="","",IFERROR(VLOOKUP(D429,'Items'!$A$2:$L$201,10,FALSE),""))</f>
        <v/>
      </c>
      <c r="K429" s="10">
        <f>IF(OR(H429="",J429=""),"",H429*J429)</f>
        <v/>
      </c>
      <c r="L429" s="5">
        <f>IF(AND(B429="",D429=""),"",IF(B429="","Missing product",IF(D429="","Missing item",IF(C429="Product not found","Product not found",IF(E429="Item not found","Item not found",IF(OR(F429="",G429=""),"Missing quantity/unit",IF(IFERROR(VLOOKUP(G429,'Units'!$A$2:$D$13,3,FALSE),"")&lt;&gt;I429,"Unit mismatch",IF(J429="","Enter item cost","OK"))))))))</f>
        <v/>
      </c>
      <c r="M429" s="4" t="n"/>
    </row>
    <row r="430">
      <c r="A430" s="5">
        <f>IF(AND(B430="",D430=""),"",ROW()-1)</f>
        <v/>
      </c>
      <c r="B430" s="4" t="n"/>
      <c r="C430" s="5">
        <f>IF(B430="","",IFERROR(VLOOKUP(B430,'Products'!$A$2:$F$201,2,FALSE),"Product not found"))</f>
        <v/>
      </c>
      <c r="D430" s="4" t="n"/>
      <c r="E430" s="5">
        <f>IF(D430="","",IFERROR(VLOOKUP(D430,'Items'!$A$2:$L$201,2,FALSE),"Item not found"))</f>
        <v/>
      </c>
      <c r="F430" s="9" t="n"/>
      <c r="G430" s="4" t="n"/>
      <c r="H430" s="10">
        <f>IF(OR(F430="",G430=""),"",IFERROR(F430*VLOOKUP(G430,'Units'!$A$2:$D$13,4,FALSE),""))</f>
        <v/>
      </c>
      <c r="I430" s="5">
        <f>IF(D430="","",IFERROR(VLOOKUP(D430,'Items'!$A$2:$L$201,4,FALSE),""))</f>
        <v/>
      </c>
      <c r="J430" s="10">
        <f>IF(D430="","",IFERROR(VLOOKUP(D430,'Items'!$A$2:$L$201,10,FALSE),""))</f>
        <v/>
      </c>
      <c r="K430" s="10">
        <f>IF(OR(H430="",J430=""),"",H430*J430)</f>
        <v/>
      </c>
      <c r="L430" s="5">
        <f>IF(AND(B430="",D430=""),"",IF(B430="","Missing product",IF(D430="","Missing item",IF(C430="Product not found","Product not found",IF(E430="Item not found","Item not found",IF(OR(F430="",G430=""),"Missing quantity/unit",IF(IFERROR(VLOOKUP(G430,'Units'!$A$2:$D$13,3,FALSE),"")&lt;&gt;I430,"Unit mismatch",IF(J430="","Enter item cost","OK"))))))))</f>
        <v/>
      </c>
      <c r="M430" s="4" t="n"/>
    </row>
    <row r="431">
      <c r="A431" s="5">
        <f>IF(AND(B431="",D431=""),"",ROW()-1)</f>
        <v/>
      </c>
      <c r="B431" s="4" t="n"/>
      <c r="C431" s="5">
        <f>IF(B431="","",IFERROR(VLOOKUP(B431,'Products'!$A$2:$F$201,2,FALSE),"Product not found"))</f>
        <v/>
      </c>
      <c r="D431" s="4" t="n"/>
      <c r="E431" s="5">
        <f>IF(D431="","",IFERROR(VLOOKUP(D431,'Items'!$A$2:$L$201,2,FALSE),"Item not found"))</f>
        <v/>
      </c>
      <c r="F431" s="9" t="n"/>
      <c r="G431" s="4" t="n"/>
      <c r="H431" s="10">
        <f>IF(OR(F431="",G431=""),"",IFERROR(F431*VLOOKUP(G431,'Units'!$A$2:$D$13,4,FALSE),""))</f>
        <v/>
      </c>
      <c r="I431" s="5">
        <f>IF(D431="","",IFERROR(VLOOKUP(D431,'Items'!$A$2:$L$201,4,FALSE),""))</f>
        <v/>
      </c>
      <c r="J431" s="10">
        <f>IF(D431="","",IFERROR(VLOOKUP(D431,'Items'!$A$2:$L$201,10,FALSE),""))</f>
        <v/>
      </c>
      <c r="K431" s="10">
        <f>IF(OR(H431="",J431=""),"",H431*J431)</f>
        <v/>
      </c>
      <c r="L431" s="5">
        <f>IF(AND(B431="",D431=""),"",IF(B431="","Missing product",IF(D431="","Missing item",IF(C431="Product not found","Product not found",IF(E431="Item not found","Item not found",IF(OR(F431="",G431=""),"Missing quantity/unit",IF(IFERROR(VLOOKUP(G431,'Units'!$A$2:$D$13,3,FALSE),"")&lt;&gt;I431,"Unit mismatch",IF(J431="","Enter item cost","OK"))))))))</f>
        <v/>
      </c>
      <c r="M431" s="4" t="n"/>
    </row>
    <row r="432">
      <c r="A432" s="5">
        <f>IF(AND(B432="",D432=""),"",ROW()-1)</f>
        <v/>
      </c>
      <c r="B432" s="4" t="n"/>
      <c r="C432" s="5">
        <f>IF(B432="","",IFERROR(VLOOKUP(B432,'Products'!$A$2:$F$201,2,FALSE),"Product not found"))</f>
        <v/>
      </c>
      <c r="D432" s="4" t="n"/>
      <c r="E432" s="5">
        <f>IF(D432="","",IFERROR(VLOOKUP(D432,'Items'!$A$2:$L$201,2,FALSE),"Item not found"))</f>
        <v/>
      </c>
      <c r="F432" s="9" t="n"/>
      <c r="G432" s="4" t="n"/>
      <c r="H432" s="10">
        <f>IF(OR(F432="",G432=""),"",IFERROR(F432*VLOOKUP(G432,'Units'!$A$2:$D$13,4,FALSE),""))</f>
        <v/>
      </c>
      <c r="I432" s="5">
        <f>IF(D432="","",IFERROR(VLOOKUP(D432,'Items'!$A$2:$L$201,4,FALSE),""))</f>
        <v/>
      </c>
      <c r="J432" s="10">
        <f>IF(D432="","",IFERROR(VLOOKUP(D432,'Items'!$A$2:$L$201,10,FALSE),""))</f>
        <v/>
      </c>
      <c r="K432" s="10">
        <f>IF(OR(H432="",J432=""),"",H432*J432)</f>
        <v/>
      </c>
      <c r="L432" s="5">
        <f>IF(AND(B432="",D432=""),"",IF(B432="","Missing product",IF(D432="","Missing item",IF(C432="Product not found","Product not found",IF(E432="Item not found","Item not found",IF(OR(F432="",G432=""),"Missing quantity/unit",IF(IFERROR(VLOOKUP(G432,'Units'!$A$2:$D$13,3,FALSE),"")&lt;&gt;I432,"Unit mismatch",IF(J432="","Enter item cost","OK"))))))))</f>
        <v/>
      </c>
      <c r="M432" s="4" t="n"/>
    </row>
    <row r="433">
      <c r="A433" s="5">
        <f>IF(AND(B433="",D433=""),"",ROW()-1)</f>
        <v/>
      </c>
      <c r="B433" s="4" t="n"/>
      <c r="C433" s="5">
        <f>IF(B433="","",IFERROR(VLOOKUP(B433,'Products'!$A$2:$F$201,2,FALSE),"Product not found"))</f>
        <v/>
      </c>
      <c r="D433" s="4" t="n"/>
      <c r="E433" s="5">
        <f>IF(D433="","",IFERROR(VLOOKUP(D433,'Items'!$A$2:$L$201,2,FALSE),"Item not found"))</f>
        <v/>
      </c>
      <c r="F433" s="9" t="n"/>
      <c r="G433" s="4" t="n"/>
      <c r="H433" s="10">
        <f>IF(OR(F433="",G433=""),"",IFERROR(F433*VLOOKUP(G433,'Units'!$A$2:$D$13,4,FALSE),""))</f>
        <v/>
      </c>
      <c r="I433" s="5">
        <f>IF(D433="","",IFERROR(VLOOKUP(D433,'Items'!$A$2:$L$201,4,FALSE),""))</f>
        <v/>
      </c>
      <c r="J433" s="10">
        <f>IF(D433="","",IFERROR(VLOOKUP(D433,'Items'!$A$2:$L$201,10,FALSE),""))</f>
        <v/>
      </c>
      <c r="K433" s="10">
        <f>IF(OR(H433="",J433=""),"",H433*J433)</f>
        <v/>
      </c>
      <c r="L433" s="5">
        <f>IF(AND(B433="",D433=""),"",IF(B433="","Missing product",IF(D433="","Missing item",IF(C433="Product not found","Product not found",IF(E433="Item not found","Item not found",IF(OR(F433="",G433=""),"Missing quantity/unit",IF(IFERROR(VLOOKUP(G433,'Units'!$A$2:$D$13,3,FALSE),"")&lt;&gt;I433,"Unit mismatch",IF(J433="","Enter item cost","OK"))))))))</f>
        <v/>
      </c>
      <c r="M433" s="4" t="n"/>
    </row>
    <row r="434">
      <c r="A434" s="5">
        <f>IF(AND(B434="",D434=""),"",ROW()-1)</f>
        <v/>
      </c>
      <c r="B434" s="4" t="n"/>
      <c r="C434" s="5">
        <f>IF(B434="","",IFERROR(VLOOKUP(B434,'Products'!$A$2:$F$201,2,FALSE),"Product not found"))</f>
        <v/>
      </c>
      <c r="D434" s="4" t="n"/>
      <c r="E434" s="5">
        <f>IF(D434="","",IFERROR(VLOOKUP(D434,'Items'!$A$2:$L$201,2,FALSE),"Item not found"))</f>
        <v/>
      </c>
      <c r="F434" s="9" t="n"/>
      <c r="G434" s="4" t="n"/>
      <c r="H434" s="10">
        <f>IF(OR(F434="",G434=""),"",IFERROR(F434*VLOOKUP(G434,'Units'!$A$2:$D$13,4,FALSE),""))</f>
        <v/>
      </c>
      <c r="I434" s="5">
        <f>IF(D434="","",IFERROR(VLOOKUP(D434,'Items'!$A$2:$L$201,4,FALSE),""))</f>
        <v/>
      </c>
      <c r="J434" s="10">
        <f>IF(D434="","",IFERROR(VLOOKUP(D434,'Items'!$A$2:$L$201,10,FALSE),""))</f>
        <v/>
      </c>
      <c r="K434" s="10">
        <f>IF(OR(H434="",J434=""),"",H434*J434)</f>
        <v/>
      </c>
      <c r="L434" s="5">
        <f>IF(AND(B434="",D434=""),"",IF(B434="","Missing product",IF(D434="","Missing item",IF(C434="Product not found","Product not found",IF(E434="Item not found","Item not found",IF(OR(F434="",G434=""),"Missing quantity/unit",IF(IFERROR(VLOOKUP(G434,'Units'!$A$2:$D$13,3,FALSE),"")&lt;&gt;I434,"Unit mismatch",IF(J434="","Enter item cost","OK"))))))))</f>
        <v/>
      </c>
      <c r="M434" s="4" t="n"/>
    </row>
    <row r="435">
      <c r="A435" s="5">
        <f>IF(AND(B435="",D435=""),"",ROW()-1)</f>
        <v/>
      </c>
      <c r="B435" s="4" t="n"/>
      <c r="C435" s="5">
        <f>IF(B435="","",IFERROR(VLOOKUP(B435,'Products'!$A$2:$F$201,2,FALSE),"Product not found"))</f>
        <v/>
      </c>
      <c r="D435" s="4" t="n"/>
      <c r="E435" s="5">
        <f>IF(D435="","",IFERROR(VLOOKUP(D435,'Items'!$A$2:$L$201,2,FALSE),"Item not found"))</f>
        <v/>
      </c>
      <c r="F435" s="9" t="n"/>
      <c r="G435" s="4" t="n"/>
      <c r="H435" s="10">
        <f>IF(OR(F435="",G435=""),"",IFERROR(F435*VLOOKUP(G435,'Units'!$A$2:$D$13,4,FALSE),""))</f>
        <v/>
      </c>
      <c r="I435" s="5">
        <f>IF(D435="","",IFERROR(VLOOKUP(D435,'Items'!$A$2:$L$201,4,FALSE),""))</f>
        <v/>
      </c>
      <c r="J435" s="10">
        <f>IF(D435="","",IFERROR(VLOOKUP(D435,'Items'!$A$2:$L$201,10,FALSE),""))</f>
        <v/>
      </c>
      <c r="K435" s="10">
        <f>IF(OR(H435="",J435=""),"",H435*J435)</f>
        <v/>
      </c>
      <c r="L435" s="5">
        <f>IF(AND(B435="",D435=""),"",IF(B435="","Missing product",IF(D435="","Missing item",IF(C435="Product not found","Product not found",IF(E435="Item not found","Item not found",IF(OR(F435="",G435=""),"Missing quantity/unit",IF(IFERROR(VLOOKUP(G435,'Units'!$A$2:$D$13,3,FALSE),"")&lt;&gt;I435,"Unit mismatch",IF(J435="","Enter item cost","OK"))))))))</f>
        <v/>
      </c>
      <c r="M435" s="4" t="n"/>
    </row>
    <row r="436">
      <c r="A436" s="5">
        <f>IF(AND(B436="",D436=""),"",ROW()-1)</f>
        <v/>
      </c>
      <c r="B436" s="4" t="n"/>
      <c r="C436" s="5">
        <f>IF(B436="","",IFERROR(VLOOKUP(B436,'Products'!$A$2:$F$201,2,FALSE),"Product not found"))</f>
        <v/>
      </c>
      <c r="D436" s="4" t="n"/>
      <c r="E436" s="5">
        <f>IF(D436="","",IFERROR(VLOOKUP(D436,'Items'!$A$2:$L$201,2,FALSE),"Item not found"))</f>
        <v/>
      </c>
      <c r="F436" s="9" t="n"/>
      <c r="G436" s="4" t="n"/>
      <c r="H436" s="10">
        <f>IF(OR(F436="",G436=""),"",IFERROR(F436*VLOOKUP(G436,'Units'!$A$2:$D$13,4,FALSE),""))</f>
        <v/>
      </c>
      <c r="I436" s="5">
        <f>IF(D436="","",IFERROR(VLOOKUP(D436,'Items'!$A$2:$L$201,4,FALSE),""))</f>
        <v/>
      </c>
      <c r="J436" s="10">
        <f>IF(D436="","",IFERROR(VLOOKUP(D436,'Items'!$A$2:$L$201,10,FALSE),""))</f>
        <v/>
      </c>
      <c r="K436" s="10">
        <f>IF(OR(H436="",J436=""),"",H436*J436)</f>
        <v/>
      </c>
      <c r="L436" s="5">
        <f>IF(AND(B436="",D436=""),"",IF(B436="","Missing product",IF(D436="","Missing item",IF(C436="Product not found","Product not found",IF(E436="Item not found","Item not found",IF(OR(F436="",G436=""),"Missing quantity/unit",IF(IFERROR(VLOOKUP(G436,'Units'!$A$2:$D$13,3,FALSE),"")&lt;&gt;I436,"Unit mismatch",IF(J436="","Enter item cost","OK"))))))))</f>
        <v/>
      </c>
      <c r="M436" s="4" t="n"/>
    </row>
    <row r="437">
      <c r="A437" s="5">
        <f>IF(AND(B437="",D437=""),"",ROW()-1)</f>
        <v/>
      </c>
      <c r="B437" s="4" t="n"/>
      <c r="C437" s="5">
        <f>IF(B437="","",IFERROR(VLOOKUP(B437,'Products'!$A$2:$F$201,2,FALSE),"Product not found"))</f>
        <v/>
      </c>
      <c r="D437" s="4" t="n"/>
      <c r="E437" s="5">
        <f>IF(D437="","",IFERROR(VLOOKUP(D437,'Items'!$A$2:$L$201,2,FALSE),"Item not found"))</f>
        <v/>
      </c>
      <c r="F437" s="9" t="n"/>
      <c r="G437" s="4" t="n"/>
      <c r="H437" s="10">
        <f>IF(OR(F437="",G437=""),"",IFERROR(F437*VLOOKUP(G437,'Units'!$A$2:$D$13,4,FALSE),""))</f>
        <v/>
      </c>
      <c r="I437" s="5">
        <f>IF(D437="","",IFERROR(VLOOKUP(D437,'Items'!$A$2:$L$201,4,FALSE),""))</f>
        <v/>
      </c>
      <c r="J437" s="10">
        <f>IF(D437="","",IFERROR(VLOOKUP(D437,'Items'!$A$2:$L$201,10,FALSE),""))</f>
        <v/>
      </c>
      <c r="K437" s="10">
        <f>IF(OR(H437="",J437=""),"",H437*J437)</f>
        <v/>
      </c>
      <c r="L437" s="5">
        <f>IF(AND(B437="",D437=""),"",IF(B437="","Missing product",IF(D437="","Missing item",IF(C437="Product not found","Product not found",IF(E437="Item not found","Item not found",IF(OR(F437="",G437=""),"Missing quantity/unit",IF(IFERROR(VLOOKUP(G437,'Units'!$A$2:$D$13,3,FALSE),"")&lt;&gt;I437,"Unit mismatch",IF(J437="","Enter item cost","OK"))))))))</f>
        <v/>
      </c>
      <c r="M437" s="4" t="n"/>
    </row>
    <row r="438">
      <c r="A438" s="5">
        <f>IF(AND(B438="",D438=""),"",ROW()-1)</f>
        <v/>
      </c>
      <c r="B438" s="4" t="n"/>
      <c r="C438" s="5">
        <f>IF(B438="","",IFERROR(VLOOKUP(B438,'Products'!$A$2:$F$201,2,FALSE),"Product not found"))</f>
        <v/>
      </c>
      <c r="D438" s="4" t="n"/>
      <c r="E438" s="5">
        <f>IF(D438="","",IFERROR(VLOOKUP(D438,'Items'!$A$2:$L$201,2,FALSE),"Item not found"))</f>
        <v/>
      </c>
      <c r="F438" s="9" t="n"/>
      <c r="G438" s="4" t="n"/>
      <c r="H438" s="10">
        <f>IF(OR(F438="",G438=""),"",IFERROR(F438*VLOOKUP(G438,'Units'!$A$2:$D$13,4,FALSE),""))</f>
        <v/>
      </c>
      <c r="I438" s="5">
        <f>IF(D438="","",IFERROR(VLOOKUP(D438,'Items'!$A$2:$L$201,4,FALSE),""))</f>
        <v/>
      </c>
      <c r="J438" s="10">
        <f>IF(D438="","",IFERROR(VLOOKUP(D438,'Items'!$A$2:$L$201,10,FALSE),""))</f>
        <v/>
      </c>
      <c r="K438" s="10">
        <f>IF(OR(H438="",J438=""),"",H438*J438)</f>
        <v/>
      </c>
      <c r="L438" s="5">
        <f>IF(AND(B438="",D438=""),"",IF(B438="","Missing product",IF(D438="","Missing item",IF(C438="Product not found","Product not found",IF(E438="Item not found","Item not found",IF(OR(F438="",G438=""),"Missing quantity/unit",IF(IFERROR(VLOOKUP(G438,'Units'!$A$2:$D$13,3,FALSE),"")&lt;&gt;I438,"Unit mismatch",IF(J438="","Enter item cost","OK"))))))))</f>
        <v/>
      </c>
      <c r="M438" s="4" t="n"/>
    </row>
    <row r="439">
      <c r="A439" s="5">
        <f>IF(AND(B439="",D439=""),"",ROW()-1)</f>
        <v/>
      </c>
      <c r="B439" s="4" t="n"/>
      <c r="C439" s="5">
        <f>IF(B439="","",IFERROR(VLOOKUP(B439,'Products'!$A$2:$F$201,2,FALSE),"Product not found"))</f>
        <v/>
      </c>
      <c r="D439" s="4" t="n"/>
      <c r="E439" s="5">
        <f>IF(D439="","",IFERROR(VLOOKUP(D439,'Items'!$A$2:$L$201,2,FALSE),"Item not found"))</f>
        <v/>
      </c>
      <c r="F439" s="9" t="n"/>
      <c r="G439" s="4" t="n"/>
      <c r="H439" s="10">
        <f>IF(OR(F439="",G439=""),"",IFERROR(F439*VLOOKUP(G439,'Units'!$A$2:$D$13,4,FALSE),""))</f>
        <v/>
      </c>
      <c r="I439" s="5">
        <f>IF(D439="","",IFERROR(VLOOKUP(D439,'Items'!$A$2:$L$201,4,FALSE),""))</f>
        <v/>
      </c>
      <c r="J439" s="10">
        <f>IF(D439="","",IFERROR(VLOOKUP(D439,'Items'!$A$2:$L$201,10,FALSE),""))</f>
        <v/>
      </c>
      <c r="K439" s="10">
        <f>IF(OR(H439="",J439=""),"",H439*J439)</f>
        <v/>
      </c>
      <c r="L439" s="5">
        <f>IF(AND(B439="",D439=""),"",IF(B439="","Missing product",IF(D439="","Missing item",IF(C439="Product not found","Product not found",IF(E439="Item not found","Item not found",IF(OR(F439="",G439=""),"Missing quantity/unit",IF(IFERROR(VLOOKUP(G439,'Units'!$A$2:$D$13,3,FALSE),"")&lt;&gt;I439,"Unit mismatch",IF(J439="","Enter item cost","OK"))))))))</f>
        <v/>
      </c>
      <c r="M439" s="4" t="n"/>
    </row>
    <row r="440">
      <c r="A440" s="5">
        <f>IF(AND(B440="",D440=""),"",ROW()-1)</f>
        <v/>
      </c>
      <c r="B440" s="4" t="n"/>
      <c r="C440" s="5">
        <f>IF(B440="","",IFERROR(VLOOKUP(B440,'Products'!$A$2:$F$201,2,FALSE),"Product not found"))</f>
        <v/>
      </c>
      <c r="D440" s="4" t="n"/>
      <c r="E440" s="5">
        <f>IF(D440="","",IFERROR(VLOOKUP(D440,'Items'!$A$2:$L$201,2,FALSE),"Item not found"))</f>
        <v/>
      </c>
      <c r="F440" s="9" t="n"/>
      <c r="G440" s="4" t="n"/>
      <c r="H440" s="10">
        <f>IF(OR(F440="",G440=""),"",IFERROR(F440*VLOOKUP(G440,'Units'!$A$2:$D$13,4,FALSE),""))</f>
        <v/>
      </c>
      <c r="I440" s="5">
        <f>IF(D440="","",IFERROR(VLOOKUP(D440,'Items'!$A$2:$L$201,4,FALSE),""))</f>
        <v/>
      </c>
      <c r="J440" s="10">
        <f>IF(D440="","",IFERROR(VLOOKUP(D440,'Items'!$A$2:$L$201,10,FALSE),""))</f>
        <v/>
      </c>
      <c r="K440" s="10">
        <f>IF(OR(H440="",J440=""),"",H440*J440)</f>
        <v/>
      </c>
      <c r="L440" s="5">
        <f>IF(AND(B440="",D440=""),"",IF(B440="","Missing product",IF(D440="","Missing item",IF(C440="Product not found","Product not found",IF(E440="Item not found","Item not found",IF(OR(F440="",G440=""),"Missing quantity/unit",IF(IFERROR(VLOOKUP(G440,'Units'!$A$2:$D$13,3,FALSE),"")&lt;&gt;I440,"Unit mismatch",IF(J440="","Enter item cost","OK"))))))))</f>
        <v/>
      </c>
      <c r="M440" s="4" t="n"/>
    </row>
    <row r="441">
      <c r="A441" s="5">
        <f>IF(AND(B441="",D441=""),"",ROW()-1)</f>
        <v/>
      </c>
      <c r="B441" s="4" t="n"/>
      <c r="C441" s="5">
        <f>IF(B441="","",IFERROR(VLOOKUP(B441,'Products'!$A$2:$F$201,2,FALSE),"Product not found"))</f>
        <v/>
      </c>
      <c r="D441" s="4" t="n"/>
      <c r="E441" s="5">
        <f>IF(D441="","",IFERROR(VLOOKUP(D441,'Items'!$A$2:$L$201,2,FALSE),"Item not found"))</f>
        <v/>
      </c>
      <c r="F441" s="9" t="n"/>
      <c r="G441" s="4" t="n"/>
      <c r="H441" s="10">
        <f>IF(OR(F441="",G441=""),"",IFERROR(F441*VLOOKUP(G441,'Units'!$A$2:$D$13,4,FALSE),""))</f>
        <v/>
      </c>
      <c r="I441" s="5">
        <f>IF(D441="","",IFERROR(VLOOKUP(D441,'Items'!$A$2:$L$201,4,FALSE),""))</f>
        <v/>
      </c>
      <c r="J441" s="10">
        <f>IF(D441="","",IFERROR(VLOOKUP(D441,'Items'!$A$2:$L$201,10,FALSE),""))</f>
        <v/>
      </c>
      <c r="K441" s="10">
        <f>IF(OR(H441="",J441=""),"",H441*J441)</f>
        <v/>
      </c>
      <c r="L441" s="5">
        <f>IF(AND(B441="",D441=""),"",IF(B441="","Missing product",IF(D441="","Missing item",IF(C441="Product not found","Product not found",IF(E441="Item not found","Item not found",IF(OR(F441="",G441=""),"Missing quantity/unit",IF(IFERROR(VLOOKUP(G441,'Units'!$A$2:$D$13,3,FALSE),"")&lt;&gt;I441,"Unit mismatch",IF(J441="","Enter item cost","OK"))))))))</f>
        <v/>
      </c>
      <c r="M441" s="4" t="n"/>
    </row>
    <row r="442">
      <c r="A442" s="5">
        <f>IF(AND(B442="",D442=""),"",ROW()-1)</f>
        <v/>
      </c>
      <c r="B442" s="4" t="n"/>
      <c r="C442" s="5">
        <f>IF(B442="","",IFERROR(VLOOKUP(B442,'Products'!$A$2:$F$201,2,FALSE),"Product not found"))</f>
        <v/>
      </c>
      <c r="D442" s="4" t="n"/>
      <c r="E442" s="5">
        <f>IF(D442="","",IFERROR(VLOOKUP(D442,'Items'!$A$2:$L$201,2,FALSE),"Item not found"))</f>
        <v/>
      </c>
      <c r="F442" s="9" t="n"/>
      <c r="G442" s="4" t="n"/>
      <c r="H442" s="10">
        <f>IF(OR(F442="",G442=""),"",IFERROR(F442*VLOOKUP(G442,'Units'!$A$2:$D$13,4,FALSE),""))</f>
        <v/>
      </c>
      <c r="I442" s="5">
        <f>IF(D442="","",IFERROR(VLOOKUP(D442,'Items'!$A$2:$L$201,4,FALSE),""))</f>
        <v/>
      </c>
      <c r="J442" s="10">
        <f>IF(D442="","",IFERROR(VLOOKUP(D442,'Items'!$A$2:$L$201,10,FALSE),""))</f>
        <v/>
      </c>
      <c r="K442" s="10">
        <f>IF(OR(H442="",J442=""),"",H442*J442)</f>
        <v/>
      </c>
      <c r="L442" s="5">
        <f>IF(AND(B442="",D442=""),"",IF(B442="","Missing product",IF(D442="","Missing item",IF(C442="Product not found","Product not found",IF(E442="Item not found","Item not found",IF(OR(F442="",G442=""),"Missing quantity/unit",IF(IFERROR(VLOOKUP(G442,'Units'!$A$2:$D$13,3,FALSE),"")&lt;&gt;I442,"Unit mismatch",IF(J442="","Enter item cost","OK"))))))))</f>
        <v/>
      </c>
      <c r="M442" s="4" t="n"/>
    </row>
    <row r="443">
      <c r="A443" s="5">
        <f>IF(AND(B443="",D443=""),"",ROW()-1)</f>
        <v/>
      </c>
      <c r="B443" s="4" t="n"/>
      <c r="C443" s="5">
        <f>IF(B443="","",IFERROR(VLOOKUP(B443,'Products'!$A$2:$F$201,2,FALSE),"Product not found"))</f>
        <v/>
      </c>
      <c r="D443" s="4" t="n"/>
      <c r="E443" s="5">
        <f>IF(D443="","",IFERROR(VLOOKUP(D443,'Items'!$A$2:$L$201,2,FALSE),"Item not found"))</f>
        <v/>
      </c>
      <c r="F443" s="9" t="n"/>
      <c r="G443" s="4" t="n"/>
      <c r="H443" s="10">
        <f>IF(OR(F443="",G443=""),"",IFERROR(F443*VLOOKUP(G443,'Units'!$A$2:$D$13,4,FALSE),""))</f>
        <v/>
      </c>
      <c r="I443" s="5">
        <f>IF(D443="","",IFERROR(VLOOKUP(D443,'Items'!$A$2:$L$201,4,FALSE),""))</f>
        <v/>
      </c>
      <c r="J443" s="10">
        <f>IF(D443="","",IFERROR(VLOOKUP(D443,'Items'!$A$2:$L$201,10,FALSE),""))</f>
        <v/>
      </c>
      <c r="K443" s="10">
        <f>IF(OR(H443="",J443=""),"",H443*J443)</f>
        <v/>
      </c>
      <c r="L443" s="5">
        <f>IF(AND(B443="",D443=""),"",IF(B443="","Missing product",IF(D443="","Missing item",IF(C443="Product not found","Product not found",IF(E443="Item not found","Item not found",IF(OR(F443="",G443=""),"Missing quantity/unit",IF(IFERROR(VLOOKUP(G443,'Units'!$A$2:$D$13,3,FALSE),"")&lt;&gt;I443,"Unit mismatch",IF(J443="","Enter item cost","OK"))))))))</f>
        <v/>
      </c>
      <c r="M443" s="4" t="n"/>
    </row>
    <row r="444">
      <c r="A444" s="5">
        <f>IF(AND(B444="",D444=""),"",ROW()-1)</f>
        <v/>
      </c>
      <c r="B444" s="4" t="n"/>
      <c r="C444" s="5">
        <f>IF(B444="","",IFERROR(VLOOKUP(B444,'Products'!$A$2:$F$201,2,FALSE),"Product not found"))</f>
        <v/>
      </c>
      <c r="D444" s="4" t="n"/>
      <c r="E444" s="5">
        <f>IF(D444="","",IFERROR(VLOOKUP(D444,'Items'!$A$2:$L$201,2,FALSE),"Item not found"))</f>
        <v/>
      </c>
      <c r="F444" s="9" t="n"/>
      <c r="G444" s="4" t="n"/>
      <c r="H444" s="10">
        <f>IF(OR(F444="",G444=""),"",IFERROR(F444*VLOOKUP(G444,'Units'!$A$2:$D$13,4,FALSE),""))</f>
        <v/>
      </c>
      <c r="I444" s="5">
        <f>IF(D444="","",IFERROR(VLOOKUP(D444,'Items'!$A$2:$L$201,4,FALSE),""))</f>
        <v/>
      </c>
      <c r="J444" s="10">
        <f>IF(D444="","",IFERROR(VLOOKUP(D444,'Items'!$A$2:$L$201,10,FALSE),""))</f>
        <v/>
      </c>
      <c r="K444" s="10">
        <f>IF(OR(H444="",J444=""),"",H444*J444)</f>
        <v/>
      </c>
      <c r="L444" s="5">
        <f>IF(AND(B444="",D444=""),"",IF(B444="","Missing product",IF(D444="","Missing item",IF(C444="Product not found","Product not found",IF(E444="Item not found","Item not found",IF(OR(F444="",G444=""),"Missing quantity/unit",IF(IFERROR(VLOOKUP(G444,'Units'!$A$2:$D$13,3,FALSE),"")&lt;&gt;I444,"Unit mismatch",IF(J444="","Enter item cost","OK"))))))))</f>
        <v/>
      </c>
      <c r="M444" s="4" t="n"/>
    </row>
    <row r="445">
      <c r="A445" s="5">
        <f>IF(AND(B445="",D445=""),"",ROW()-1)</f>
        <v/>
      </c>
      <c r="B445" s="4" t="n"/>
      <c r="C445" s="5">
        <f>IF(B445="","",IFERROR(VLOOKUP(B445,'Products'!$A$2:$F$201,2,FALSE),"Product not found"))</f>
        <v/>
      </c>
      <c r="D445" s="4" t="n"/>
      <c r="E445" s="5">
        <f>IF(D445="","",IFERROR(VLOOKUP(D445,'Items'!$A$2:$L$201,2,FALSE),"Item not found"))</f>
        <v/>
      </c>
      <c r="F445" s="9" t="n"/>
      <c r="G445" s="4" t="n"/>
      <c r="H445" s="10">
        <f>IF(OR(F445="",G445=""),"",IFERROR(F445*VLOOKUP(G445,'Units'!$A$2:$D$13,4,FALSE),""))</f>
        <v/>
      </c>
      <c r="I445" s="5">
        <f>IF(D445="","",IFERROR(VLOOKUP(D445,'Items'!$A$2:$L$201,4,FALSE),""))</f>
        <v/>
      </c>
      <c r="J445" s="10">
        <f>IF(D445="","",IFERROR(VLOOKUP(D445,'Items'!$A$2:$L$201,10,FALSE),""))</f>
        <v/>
      </c>
      <c r="K445" s="10">
        <f>IF(OR(H445="",J445=""),"",H445*J445)</f>
        <v/>
      </c>
      <c r="L445" s="5">
        <f>IF(AND(B445="",D445=""),"",IF(B445="","Missing product",IF(D445="","Missing item",IF(C445="Product not found","Product not found",IF(E445="Item not found","Item not found",IF(OR(F445="",G445=""),"Missing quantity/unit",IF(IFERROR(VLOOKUP(G445,'Units'!$A$2:$D$13,3,FALSE),"")&lt;&gt;I445,"Unit mismatch",IF(J445="","Enter item cost","OK"))))))))</f>
        <v/>
      </c>
      <c r="M445" s="4" t="n"/>
    </row>
    <row r="446">
      <c r="A446" s="5">
        <f>IF(AND(B446="",D446=""),"",ROW()-1)</f>
        <v/>
      </c>
      <c r="B446" s="4" t="n"/>
      <c r="C446" s="5">
        <f>IF(B446="","",IFERROR(VLOOKUP(B446,'Products'!$A$2:$F$201,2,FALSE),"Product not found"))</f>
        <v/>
      </c>
      <c r="D446" s="4" t="n"/>
      <c r="E446" s="5">
        <f>IF(D446="","",IFERROR(VLOOKUP(D446,'Items'!$A$2:$L$201,2,FALSE),"Item not found"))</f>
        <v/>
      </c>
      <c r="F446" s="9" t="n"/>
      <c r="G446" s="4" t="n"/>
      <c r="H446" s="10">
        <f>IF(OR(F446="",G446=""),"",IFERROR(F446*VLOOKUP(G446,'Units'!$A$2:$D$13,4,FALSE),""))</f>
        <v/>
      </c>
      <c r="I446" s="5">
        <f>IF(D446="","",IFERROR(VLOOKUP(D446,'Items'!$A$2:$L$201,4,FALSE),""))</f>
        <v/>
      </c>
      <c r="J446" s="10">
        <f>IF(D446="","",IFERROR(VLOOKUP(D446,'Items'!$A$2:$L$201,10,FALSE),""))</f>
        <v/>
      </c>
      <c r="K446" s="10">
        <f>IF(OR(H446="",J446=""),"",H446*J446)</f>
        <v/>
      </c>
      <c r="L446" s="5">
        <f>IF(AND(B446="",D446=""),"",IF(B446="","Missing product",IF(D446="","Missing item",IF(C446="Product not found","Product not found",IF(E446="Item not found","Item not found",IF(OR(F446="",G446=""),"Missing quantity/unit",IF(IFERROR(VLOOKUP(G446,'Units'!$A$2:$D$13,3,FALSE),"")&lt;&gt;I446,"Unit mismatch",IF(J446="","Enter item cost","OK"))))))))</f>
        <v/>
      </c>
      <c r="M446" s="4" t="n"/>
    </row>
    <row r="447">
      <c r="A447" s="5">
        <f>IF(AND(B447="",D447=""),"",ROW()-1)</f>
        <v/>
      </c>
      <c r="B447" s="4" t="n"/>
      <c r="C447" s="5">
        <f>IF(B447="","",IFERROR(VLOOKUP(B447,'Products'!$A$2:$F$201,2,FALSE),"Product not found"))</f>
        <v/>
      </c>
      <c r="D447" s="4" t="n"/>
      <c r="E447" s="5">
        <f>IF(D447="","",IFERROR(VLOOKUP(D447,'Items'!$A$2:$L$201,2,FALSE),"Item not found"))</f>
        <v/>
      </c>
      <c r="F447" s="9" t="n"/>
      <c r="G447" s="4" t="n"/>
      <c r="H447" s="10">
        <f>IF(OR(F447="",G447=""),"",IFERROR(F447*VLOOKUP(G447,'Units'!$A$2:$D$13,4,FALSE),""))</f>
        <v/>
      </c>
      <c r="I447" s="5">
        <f>IF(D447="","",IFERROR(VLOOKUP(D447,'Items'!$A$2:$L$201,4,FALSE),""))</f>
        <v/>
      </c>
      <c r="J447" s="10">
        <f>IF(D447="","",IFERROR(VLOOKUP(D447,'Items'!$A$2:$L$201,10,FALSE),""))</f>
        <v/>
      </c>
      <c r="K447" s="10">
        <f>IF(OR(H447="",J447=""),"",H447*J447)</f>
        <v/>
      </c>
      <c r="L447" s="5">
        <f>IF(AND(B447="",D447=""),"",IF(B447="","Missing product",IF(D447="","Missing item",IF(C447="Product not found","Product not found",IF(E447="Item not found","Item not found",IF(OR(F447="",G447=""),"Missing quantity/unit",IF(IFERROR(VLOOKUP(G447,'Units'!$A$2:$D$13,3,FALSE),"")&lt;&gt;I447,"Unit mismatch",IF(J447="","Enter item cost","OK"))))))))</f>
        <v/>
      </c>
      <c r="M447" s="4" t="n"/>
    </row>
    <row r="448">
      <c r="A448" s="5">
        <f>IF(AND(B448="",D448=""),"",ROW()-1)</f>
        <v/>
      </c>
      <c r="B448" s="4" t="n"/>
      <c r="C448" s="5">
        <f>IF(B448="","",IFERROR(VLOOKUP(B448,'Products'!$A$2:$F$201,2,FALSE),"Product not found"))</f>
        <v/>
      </c>
      <c r="D448" s="4" t="n"/>
      <c r="E448" s="5">
        <f>IF(D448="","",IFERROR(VLOOKUP(D448,'Items'!$A$2:$L$201,2,FALSE),"Item not found"))</f>
        <v/>
      </c>
      <c r="F448" s="9" t="n"/>
      <c r="G448" s="4" t="n"/>
      <c r="H448" s="10">
        <f>IF(OR(F448="",G448=""),"",IFERROR(F448*VLOOKUP(G448,'Units'!$A$2:$D$13,4,FALSE),""))</f>
        <v/>
      </c>
      <c r="I448" s="5">
        <f>IF(D448="","",IFERROR(VLOOKUP(D448,'Items'!$A$2:$L$201,4,FALSE),""))</f>
        <v/>
      </c>
      <c r="J448" s="10">
        <f>IF(D448="","",IFERROR(VLOOKUP(D448,'Items'!$A$2:$L$201,10,FALSE),""))</f>
        <v/>
      </c>
      <c r="K448" s="10">
        <f>IF(OR(H448="",J448=""),"",H448*J448)</f>
        <v/>
      </c>
      <c r="L448" s="5">
        <f>IF(AND(B448="",D448=""),"",IF(B448="","Missing product",IF(D448="","Missing item",IF(C448="Product not found","Product not found",IF(E448="Item not found","Item not found",IF(OR(F448="",G448=""),"Missing quantity/unit",IF(IFERROR(VLOOKUP(G448,'Units'!$A$2:$D$13,3,FALSE),"")&lt;&gt;I448,"Unit mismatch",IF(J448="","Enter item cost","OK"))))))))</f>
        <v/>
      </c>
      <c r="M448" s="4" t="n"/>
    </row>
    <row r="449">
      <c r="A449" s="5">
        <f>IF(AND(B449="",D449=""),"",ROW()-1)</f>
        <v/>
      </c>
      <c r="B449" s="4" t="n"/>
      <c r="C449" s="5">
        <f>IF(B449="","",IFERROR(VLOOKUP(B449,'Products'!$A$2:$F$201,2,FALSE),"Product not found"))</f>
        <v/>
      </c>
      <c r="D449" s="4" t="n"/>
      <c r="E449" s="5">
        <f>IF(D449="","",IFERROR(VLOOKUP(D449,'Items'!$A$2:$L$201,2,FALSE),"Item not found"))</f>
        <v/>
      </c>
      <c r="F449" s="9" t="n"/>
      <c r="G449" s="4" t="n"/>
      <c r="H449" s="10">
        <f>IF(OR(F449="",G449=""),"",IFERROR(F449*VLOOKUP(G449,'Units'!$A$2:$D$13,4,FALSE),""))</f>
        <v/>
      </c>
      <c r="I449" s="5">
        <f>IF(D449="","",IFERROR(VLOOKUP(D449,'Items'!$A$2:$L$201,4,FALSE),""))</f>
        <v/>
      </c>
      <c r="J449" s="10">
        <f>IF(D449="","",IFERROR(VLOOKUP(D449,'Items'!$A$2:$L$201,10,FALSE),""))</f>
        <v/>
      </c>
      <c r="K449" s="10">
        <f>IF(OR(H449="",J449=""),"",H449*J449)</f>
        <v/>
      </c>
      <c r="L449" s="5">
        <f>IF(AND(B449="",D449=""),"",IF(B449="","Missing product",IF(D449="","Missing item",IF(C449="Product not found","Product not found",IF(E449="Item not found","Item not found",IF(OR(F449="",G449=""),"Missing quantity/unit",IF(IFERROR(VLOOKUP(G449,'Units'!$A$2:$D$13,3,FALSE),"")&lt;&gt;I449,"Unit mismatch",IF(J449="","Enter item cost","OK"))))))))</f>
        <v/>
      </c>
      <c r="M449" s="4" t="n"/>
    </row>
    <row r="450">
      <c r="A450" s="5">
        <f>IF(AND(B450="",D450=""),"",ROW()-1)</f>
        <v/>
      </c>
      <c r="B450" s="4" t="n"/>
      <c r="C450" s="5">
        <f>IF(B450="","",IFERROR(VLOOKUP(B450,'Products'!$A$2:$F$201,2,FALSE),"Product not found"))</f>
        <v/>
      </c>
      <c r="D450" s="4" t="n"/>
      <c r="E450" s="5">
        <f>IF(D450="","",IFERROR(VLOOKUP(D450,'Items'!$A$2:$L$201,2,FALSE),"Item not found"))</f>
        <v/>
      </c>
      <c r="F450" s="9" t="n"/>
      <c r="G450" s="4" t="n"/>
      <c r="H450" s="10">
        <f>IF(OR(F450="",G450=""),"",IFERROR(F450*VLOOKUP(G450,'Units'!$A$2:$D$13,4,FALSE),""))</f>
        <v/>
      </c>
      <c r="I450" s="5">
        <f>IF(D450="","",IFERROR(VLOOKUP(D450,'Items'!$A$2:$L$201,4,FALSE),""))</f>
        <v/>
      </c>
      <c r="J450" s="10">
        <f>IF(D450="","",IFERROR(VLOOKUP(D450,'Items'!$A$2:$L$201,10,FALSE),""))</f>
        <v/>
      </c>
      <c r="K450" s="10">
        <f>IF(OR(H450="",J450=""),"",H450*J450)</f>
        <v/>
      </c>
      <c r="L450" s="5">
        <f>IF(AND(B450="",D450=""),"",IF(B450="","Missing product",IF(D450="","Missing item",IF(C450="Product not found","Product not found",IF(E450="Item not found","Item not found",IF(OR(F450="",G450=""),"Missing quantity/unit",IF(IFERROR(VLOOKUP(G450,'Units'!$A$2:$D$13,3,FALSE),"")&lt;&gt;I450,"Unit mismatch",IF(J450="","Enter item cost","OK"))))))))</f>
        <v/>
      </c>
      <c r="M450" s="4" t="n"/>
    </row>
    <row r="451">
      <c r="A451" s="5">
        <f>IF(AND(B451="",D451=""),"",ROW()-1)</f>
        <v/>
      </c>
      <c r="B451" s="4" t="n"/>
      <c r="C451" s="5">
        <f>IF(B451="","",IFERROR(VLOOKUP(B451,'Products'!$A$2:$F$201,2,FALSE),"Product not found"))</f>
        <v/>
      </c>
      <c r="D451" s="4" t="n"/>
      <c r="E451" s="5">
        <f>IF(D451="","",IFERROR(VLOOKUP(D451,'Items'!$A$2:$L$201,2,FALSE),"Item not found"))</f>
        <v/>
      </c>
      <c r="F451" s="9" t="n"/>
      <c r="G451" s="4" t="n"/>
      <c r="H451" s="10">
        <f>IF(OR(F451="",G451=""),"",IFERROR(F451*VLOOKUP(G451,'Units'!$A$2:$D$13,4,FALSE),""))</f>
        <v/>
      </c>
      <c r="I451" s="5">
        <f>IF(D451="","",IFERROR(VLOOKUP(D451,'Items'!$A$2:$L$201,4,FALSE),""))</f>
        <v/>
      </c>
      <c r="J451" s="10">
        <f>IF(D451="","",IFERROR(VLOOKUP(D451,'Items'!$A$2:$L$201,10,FALSE),""))</f>
        <v/>
      </c>
      <c r="K451" s="10">
        <f>IF(OR(H451="",J451=""),"",H451*J451)</f>
        <v/>
      </c>
      <c r="L451" s="5">
        <f>IF(AND(B451="",D451=""),"",IF(B451="","Missing product",IF(D451="","Missing item",IF(C451="Product not found","Product not found",IF(E451="Item not found","Item not found",IF(OR(F451="",G451=""),"Missing quantity/unit",IF(IFERROR(VLOOKUP(G451,'Units'!$A$2:$D$13,3,FALSE),"")&lt;&gt;I451,"Unit mismatch",IF(J451="","Enter item cost","OK"))))))))</f>
        <v/>
      </c>
      <c r="M451" s="4" t="n"/>
    </row>
    <row r="452">
      <c r="A452" s="5">
        <f>IF(AND(B452="",D452=""),"",ROW()-1)</f>
        <v/>
      </c>
      <c r="B452" s="4" t="n"/>
      <c r="C452" s="5">
        <f>IF(B452="","",IFERROR(VLOOKUP(B452,'Products'!$A$2:$F$201,2,FALSE),"Product not found"))</f>
        <v/>
      </c>
      <c r="D452" s="4" t="n"/>
      <c r="E452" s="5">
        <f>IF(D452="","",IFERROR(VLOOKUP(D452,'Items'!$A$2:$L$201,2,FALSE),"Item not found"))</f>
        <v/>
      </c>
      <c r="F452" s="9" t="n"/>
      <c r="G452" s="4" t="n"/>
      <c r="H452" s="10">
        <f>IF(OR(F452="",G452=""),"",IFERROR(F452*VLOOKUP(G452,'Units'!$A$2:$D$13,4,FALSE),""))</f>
        <v/>
      </c>
      <c r="I452" s="5">
        <f>IF(D452="","",IFERROR(VLOOKUP(D452,'Items'!$A$2:$L$201,4,FALSE),""))</f>
        <v/>
      </c>
      <c r="J452" s="10">
        <f>IF(D452="","",IFERROR(VLOOKUP(D452,'Items'!$A$2:$L$201,10,FALSE),""))</f>
        <v/>
      </c>
      <c r="K452" s="10">
        <f>IF(OR(H452="",J452=""),"",H452*J452)</f>
        <v/>
      </c>
      <c r="L452" s="5">
        <f>IF(AND(B452="",D452=""),"",IF(B452="","Missing product",IF(D452="","Missing item",IF(C452="Product not found","Product not found",IF(E452="Item not found","Item not found",IF(OR(F452="",G452=""),"Missing quantity/unit",IF(IFERROR(VLOOKUP(G452,'Units'!$A$2:$D$13,3,FALSE),"")&lt;&gt;I452,"Unit mismatch",IF(J452="","Enter item cost","OK"))))))))</f>
        <v/>
      </c>
      <c r="M452" s="4" t="n"/>
    </row>
    <row r="453">
      <c r="A453" s="5">
        <f>IF(AND(B453="",D453=""),"",ROW()-1)</f>
        <v/>
      </c>
      <c r="B453" s="4" t="n"/>
      <c r="C453" s="5">
        <f>IF(B453="","",IFERROR(VLOOKUP(B453,'Products'!$A$2:$F$201,2,FALSE),"Product not found"))</f>
        <v/>
      </c>
      <c r="D453" s="4" t="n"/>
      <c r="E453" s="5">
        <f>IF(D453="","",IFERROR(VLOOKUP(D453,'Items'!$A$2:$L$201,2,FALSE),"Item not found"))</f>
        <v/>
      </c>
      <c r="F453" s="9" t="n"/>
      <c r="G453" s="4" t="n"/>
      <c r="H453" s="10">
        <f>IF(OR(F453="",G453=""),"",IFERROR(F453*VLOOKUP(G453,'Units'!$A$2:$D$13,4,FALSE),""))</f>
        <v/>
      </c>
      <c r="I453" s="5">
        <f>IF(D453="","",IFERROR(VLOOKUP(D453,'Items'!$A$2:$L$201,4,FALSE),""))</f>
        <v/>
      </c>
      <c r="J453" s="10">
        <f>IF(D453="","",IFERROR(VLOOKUP(D453,'Items'!$A$2:$L$201,10,FALSE),""))</f>
        <v/>
      </c>
      <c r="K453" s="10">
        <f>IF(OR(H453="",J453=""),"",H453*J453)</f>
        <v/>
      </c>
      <c r="L453" s="5">
        <f>IF(AND(B453="",D453=""),"",IF(B453="","Missing product",IF(D453="","Missing item",IF(C453="Product not found","Product not found",IF(E453="Item not found","Item not found",IF(OR(F453="",G453=""),"Missing quantity/unit",IF(IFERROR(VLOOKUP(G453,'Units'!$A$2:$D$13,3,FALSE),"")&lt;&gt;I453,"Unit mismatch",IF(J453="","Enter item cost","OK"))))))))</f>
        <v/>
      </c>
      <c r="M453" s="4" t="n"/>
    </row>
    <row r="454">
      <c r="A454" s="5">
        <f>IF(AND(B454="",D454=""),"",ROW()-1)</f>
        <v/>
      </c>
      <c r="B454" s="4" t="n"/>
      <c r="C454" s="5">
        <f>IF(B454="","",IFERROR(VLOOKUP(B454,'Products'!$A$2:$F$201,2,FALSE),"Product not found"))</f>
        <v/>
      </c>
      <c r="D454" s="4" t="n"/>
      <c r="E454" s="5">
        <f>IF(D454="","",IFERROR(VLOOKUP(D454,'Items'!$A$2:$L$201,2,FALSE),"Item not found"))</f>
        <v/>
      </c>
      <c r="F454" s="9" t="n"/>
      <c r="G454" s="4" t="n"/>
      <c r="H454" s="10">
        <f>IF(OR(F454="",G454=""),"",IFERROR(F454*VLOOKUP(G454,'Units'!$A$2:$D$13,4,FALSE),""))</f>
        <v/>
      </c>
      <c r="I454" s="5">
        <f>IF(D454="","",IFERROR(VLOOKUP(D454,'Items'!$A$2:$L$201,4,FALSE),""))</f>
        <v/>
      </c>
      <c r="J454" s="10">
        <f>IF(D454="","",IFERROR(VLOOKUP(D454,'Items'!$A$2:$L$201,10,FALSE),""))</f>
        <v/>
      </c>
      <c r="K454" s="10">
        <f>IF(OR(H454="",J454=""),"",H454*J454)</f>
        <v/>
      </c>
      <c r="L454" s="5">
        <f>IF(AND(B454="",D454=""),"",IF(B454="","Missing product",IF(D454="","Missing item",IF(C454="Product not found","Product not found",IF(E454="Item not found","Item not found",IF(OR(F454="",G454=""),"Missing quantity/unit",IF(IFERROR(VLOOKUP(G454,'Units'!$A$2:$D$13,3,FALSE),"")&lt;&gt;I454,"Unit mismatch",IF(J454="","Enter item cost","OK"))))))))</f>
        <v/>
      </c>
      <c r="M454" s="4" t="n"/>
    </row>
    <row r="455">
      <c r="A455" s="5">
        <f>IF(AND(B455="",D455=""),"",ROW()-1)</f>
        <v/>
      </c>
      <c r="B455" s="4" t="n"/>
      <c r="C455" s="5">
        <f>IF(B455="","",IFERROR(VLOOKUP(B455,'Products'!$A$2:$F$201,2,FALSE),"Product not found"))</f>
        <v/>
      </c>
      <c r="D455" s="4" t="n"/>
      <c r="E455" s="5">
        <f>IF(D455="","",IFERROR(VLOOKUP(D455,'Items'!$A$2:$L$201,2,FALSE),"Item not found"))</f>
        <v/>
      </c>
      <c r="F455" s="9" t="n"/>
      <c r="G455" s="4" t="n"/>
      <c r="H455" s="10">
        <f>IF(OR(F455="",G455=""),"",IFERROR(F455*VLOOKUP(G455,'Units'!$A$2:$D$13,4,FALSE),""))</f>
        <v/>
      </c>
      <c r="I455" s="5">
        <f>IF(D455="","",IFERROR(VLOOKUP(D455,'Items'!$A$2:$L$201,4,FALSE),""))</f>
        <v/>
      </c>
      <c r="J455" s="10">
        <f>IF(D455="","",IFERROR(VLOOKUP(D455,'Items'!$A$2:$L$201,10,FALSE),""))</f>
        <v/>
      </c>
      <c r="K455" s="10">
        <f>IF(OR(H455="",J455=""),"",H455*J455)</f>
        <v/>
      </c>
      <c r="L455" s="5">
        <f>IF(AND(B455="",D455=""),"",IF(B455="","Missing product",IF(D455="","Missing item",IF(C455="Product not found","Product not found",IF(E455="Item not found","Item not found",IF(OR(F455="",G455=""),"Missing quantity/unit",IF(IFERROR(VLOOKUP(G455,'Units'!$A$2:$D$13,3,FALSE),"")&lt;&gt;I455,"Unit mismatch",IF(J455="","Enter item cost","OK"))))))))</f>
        <v/>
      </c>
      <c r="M455" s="4" t="n"/>
    </row>
    <row r="456">
      <c r="A456" s="5">
        <f>IF(AND(B456="",D456=""),"",ROW()-1)</f>
        <v/>
      </c>
      <c r="B456" s="4" t="n"/>
      <c r="C456" s="5">
        <f>IF(B456="","",IFERROR(VLOOKUP(B456,'Products'!$A$2:$F$201,2,FALSE),"Product not found"))</f>
        <v/>
      </c>
      <c r="D456" s="4" t="n"/>
      <c r="E456" s="5">
        <f>IF(D456="","",IFERROR(VLOOKUP(D456,'Items'!$A$2:$L$201,2,FALSE),"Item not found"))</f>
        <v/>
      </c>
      <c r="F456" s="9" t="n"/>
      <c r="G456" s="4" t="n"/>
      <c r="H456" s="10">
        <f>IF(OR(F456="",G456=""),"",IFERROR(F456*VLOOKUP(G456,'Units'!$A$2:$D$13,4,FALSE),""))</f>
        <v/>
      </c>
      <c r="I456" s="5">
        <f>IF(D456="","",IFERROR(VLOOKUP(D456,'Items'!$A$2:$L$201,4,FALSE),""))</f>
        <v/>
      </c>
      <c r="J456" s="10">
        <f>IF(D456="","",IFERROR(VLOOKUP(D456,'Items'!$A$2:$L$201,10,FALSE),""))</f>
        <v/>
      </c>
      <c r="K456" s="10">
        <f>IF(OR(H456="",J456=""),"",H456*J456)</f>
        <v/>
      </c>
      <c r="L456" s="5">
        <f>IF(AND(B456="",D456=""),"",IF(B456="","Missing product",IF(D456="","Missing item",IF(C456="Product not found","Product not found",IF(E456="Item not found","Item not found",IF(OR(F456="",G456=""),"Missing quantity/unit",IF(IFERROR(VLOOKUP(G456,'Units'!$A$2:$D$13,3,FALSE),"")&lt;&gt;I456,"Unit mismatch",IF(J456="","Enter item cost","OK"))))))))</f>
        <v/>
      </c>
      <c r="M456" s="4" t="n"/>
    </row>
    <row r="457">
      <c r="A457" s="5">
        <f>IF(AND(B457="",D457=""),"",ROW()-1)</f>
        <v/>
      </c>
      <c r="B457" s="4" t="n"/>
      <c r="C457" s="5">
        <f>IF(B457="","",IFERROR(VLOOKUP(B457,'Products'!$A$2:$F$201,2,FALSE),"Product not found"))</f>
        <v/>
      </c>
      <c r="D457" s="4" t="n"/>
      <c r="E457" s="5">
        <f>IF(D457="","",IFERROR(VLOOKUP(D457,'Items'!$A$2:$L$201,2,FALSE),"Item not found"))</f>
        <v/>
      </c>
      <c r="F457" s="9" t="n"/>
      <c r="G457" s="4" t="n"/>
      <c r="H457" s="10">
        <f>IF(OR(F457="",G457=""),"",IFERROR(F457*VLOOKUP(G457,'Units'!$A$2:$D$13,4,FALSE),""))</f>
        <v/>
      </c>
      <c r="I457" s="5">
        <f>IF(D457="","",IFERROR(VLOOKUP(D457,'Items'!$A$2:$L$201,4,FALSE),""))</f>
        <v/>
      </c>
      <c r="J457" s="10">
        <f>IF(D457="","",IFERROR(VLOOKUP(D457,'Items'!$A$2:$L$201,10,FALSE),""))</f>
        <v/>
      </c>
      <c r="K457" s="10">
        <f>IF(OR(H457="",J457=""),"",H457*J457)</f>
        <v/>
      </c>
      <c r="L457" s="5">
        <f>IF(AND(B457="",D457=""),"",IF(B457="","Missing product",IF(D457="","Missing item",IF(C457="Product not found","Product not found",IF(E457="Item not found","Item not found",IF(OR(F457="",G457=""),"Missing quantity/unit",IF(IFERROR(VLOOKUP(G457,'Units'!$A$2:$D$13,3,FALSE),"")&lt;&gt;I457,"Unit mismatch",IF(J457="","Enter item cost","OK"))))))))</f>
        <v/>
      </c>
      <c r="M457" s="4" t="n"/>
    </row>
    <row r="458">
      <c r="A458" s="5">
        <f>IF(AND(B458="",D458=""),"",ROW()-1)</f>
        <v/>
      </c>
      <c r="B458" s="4" t="n"/>
      <c r="C458" s="5">
        <f>IF(B458="","",IFERROR(VLOOKUP(B458,'Products'!$A$2:$F$201,2,FALSE),"Product not found"))</f>
        <v/>
      </c>
      <c r="D458" s="4" t="n"/>
      <c r="E458" s="5">
        <f>IF(D458="","",IFERROR(VLOOKUP(D458,'Items'!$A$2:$L$201,2,FALSE),"Item not found"))</f>
        <v/>
      </c>
      <c r="F458" s="9" t="n"/>
      <c r="G458" s="4" t="n"/>
      <c r="H458" s="10">
        <f>IF(OR(F458="",G458=""),"",IFERROR(F458*VLOOKUP(G458,'Units'!$A$2:$D$13,4,FALSE),""))</f>
        <v/>
      </c>
      <c r="I458" s="5">
        <f>IF(D458="","",IFERROR(VLOOKUP(D458,'Items'!$A$2:$L$201,4,FALSE),""))</f>
        <v/>
      </c>
      <c r="J458" s="10">
        <f>IF(D458="","",IFERROR(VLOOKUP(D458,'Items'!$A$2:$L$201,10,FALSE),""))</f>
        <v/>
      </c>
      <c r="K458" s="10">
        <f>IF(OR(H458="",J458=""),"",H458*J458)</f>
        <v/>
      </c>
      <c r="L458" s="5">
        <f>IF(AND(B458="",D458=""),"",IF(B458="","Missing product",IF(D458="","Missing item",IF(C458="Product not found","Product not found",IF(E458="Item not found","Item not found",IF(OR(F458="",G458=""),"Missing quantity/unit",IF(IFERROR(VLOOKUP(G458,'Units'!$A$2:$D$13,3,FALSE),"")&lt;&gt;I458,"Unit mismatch",IF(J458="","Enter item cost","OK"))))))))</f>
        <v/>
      </c>
      <c r="M458" s="4" t="n"/>
    </row>
    <row r="459">
      <c r="A459" s="5">
        <f>IF(AND(B459="",D459=""),"",ROW()-1)</f>
        <v/>
      </c>
      <c r="B459" s="4" t="n"/>
      <c r="C459" s="5">
        <f>IF(B459="","",IFERROR(VLOOKUP(B459,'Products'!$A$2:$F$201,2,FALSE),"Product not found"))</f>
        <v/>
      </c>
      <c r="D459" s="4" t="n"/>
      <c r="E459" s="5">
        <f>IF(D459="","",IFERROR(VLOOKUP(D459,'Items'!$A$2:$L$201,2,FALSE),"Item not found"))</f>
        <v/>
      </c>
      <c r="F459" s="9" t="n"/>
      <c r="G459" s="4" t="n"/>
      <c r="H459" s="10">
        <f>IF(OR(F459="",G459=""),"",IFERROR(F459*VLOOKUP(G459,'Units'!$A$2:$D$13,4,FALSE),""))</f>
        <v/>
      </c>
      <c r="I459" s="5">
        <f>IF(D459="","",IFERROR(VLOOKUP(D459,'Items'!$A$2:$L$201,4,FALSE),""))</f>
        <v/>
      </c>
      <c r="J459" s="10">
        <f>IF(D459="","",IFERROR(VLOOKUP(D459,'Items'!$A$2:$L$201,10,FALSE),""))</f>
        <v/>
      </c>
      <c r="K459" s="10">
        <f>IF(OR(H459="",J459=""),"",H459*J459)</f>
        <v/>
      </c>
      <c r="L459" s="5">
        <f>IF(AND(B459="",D459=""),"",IF(B459="","Missing product",IF(D459="","Missing item",IF(C459="Product not found","Product not found",IF(E459="Item not found","Item not found",IF(OR(F459="",G459=""),"Missing quantity/unit",IF(IFERROR(VLOOKUP(G459,'Units'!$A$2:$D$13,3,FALSE),"")&lt;&gt;I459,"Unit mismatch",IF(J459="","Enter item cost","OK"))))))))</f>
        <v/>
      </c>
      <c r="M459" s="4" t="n"/>
    </row>
    <row r="460">
      <c r="A460" s="5">
        <f>IF(AND(B460="",D460=""),"",ROW()-1)</f>
        <v/>
      </c>
      <c r="B460" s="4" t="n"/>
      <c r="C460" s="5">
        <f>IF(B460="","",IFERROR(VLOOKUP(B460,'Products'!$A$2:$F$201,2,FALSE),"Product not found"))</f>
        <v/>
      </c>
      <c r="D460" s="4" t="n"/>
      <c r="E460" s="5">
        <f>IF(D460="","",IFERROR(VLOOKUP(D460,'Items'!$A$2:$L$201,2,FALSE),"Item not found"))</f>
        <v/>
      </c>
      <c r="F460" s="9" t="n"/>
      <c r="G460" s="4" t="n"/>
      <c r="H460" s="10">
        <f>IF(OR(F460="",G460=""),"",IFERROR(F460*VLOOKUP(G460,'Units'!$A$2:$D$13,4,FALSE),""))</f>
        <v/>
      </c>
      <c r="I460" s="5">
        <f>IF(D460="","",IFERROR(VLOOKUP(D460,'Items'!$A$2:$L$201,4,FALSE),""))</f>
        <v/>
      </c>
      <c r="J460" s="10">
        <f>IF(D460="","",IFERROR(VLOOKUP(D460,'Items'!$A$2:$L$201,10,FALSE),""))</f>
        <v/>
      </c>
      <c r="K460" s="10">
        <f>IF(OR(H460="",J460=""),"",H460*J460)</f>
        <v/>
      </c>
      <c r="L460" s="5">
        <f>IF(AND(B460="",D460=""),"",IF(B460="","Missing product",IF(D460="","Missing item",IF(C460="Product not found","Product not found",IF(E460="Item not found","Item not found",IF(OR(F460="",G460=""),"Missing quantity/unit",IF(IFERROR(VLOOKUP(G460,'Units'!$A$2:$D$13,3,FALSE),"")&lt;&gt;I460,"Unit mismatch",IF(J460="","Enter item cost","OK"))))))))</f>
        <v/>
      </c>
      <c r="M460" s="4" t="n"/>
    </row>
    <row r="461">
      <c r="A461" s="5">
        <f>IF(AND(B461="",D461=""),"",ROW()-1)</f>
        <v/>
      </c>
      <c r="B461" s="4" t="n"/>
      <c r="C461" s="5">
        <f>IF(B461="","",IFERROR(VLOOKUP(B461,'Products'!$A$2:$F$201,2,FALSE),"Product not found"))</f>
        <v/>
      </c>
      <c r="D461" s="4" t="n"/>
      <c r="E461" s="5">
        <f>IF(D461="","",IFERROR(VLOOKUP(D461,'Items'!$A$2:$L$201,2,FALSE),"Item not found"))</f>
        <v/>
      </c>
      <c r="F461" s="9" t="n"/>
      <c r="G461" s="4" t="n"/>
      <c r="H461" s="10">
        <f>IF(OR(F461="",G461=""),"",IFERROR(F461*VLOOKUP(G461,'Units'!$A$2:$D$13,4,FALSE),""))</f>
        <v/>
      </c>
      <c r="I461" s="5">
        <f>IF(D461="","",IFERROR(VLOOKUP(D461,'Items'!$A$2:$L$201,4,FALSE),""))</f>
        <v/>
      </c>
      <c r="J461" s="10">
        <f>IF(D461="","",IFERROR(VLOOKUP(D461,'Items'!$A$2:$L$201,10,FALSE),""))</f>
        <v/>
      </c>
      <c r="K461" s="10">
        <f>IF(OR(H461="",J461=""),"",H461*J461)</f>
        <v/>
      </c>
      <c r="L461" s="5">
        <f>IF(AND(B461="",D461=""),"",IF(B461="","Missing product",IF(D461="","Missing item",IF(C461="Product not found","Product not found",IF(E461="Item not found","Item not found",IF(OR(F461="",G461=""),"Missing quantity/unit",IF(IFERROR(VLOOKUP(G461,'Units'!$A$2:$D$13,3,FALSE),"")&lt;&gt;I461,"Unit mismatch",IF(J461="","Enter item cost","OK"))))))))</f>
        <v/>
      </c>
      <c r="M461" s="4" t="n"/>
    </row>
    <row r="462">
      <c r="A462" s="5">
        <f>IF(AND(B462="",D462=""),"",ROW()-1)</f>
        <v/>
      </c>
      <c r="B462" s="4" t="n"/>
      <c r="C462" s="5">
        <f>IF(B462="","",IFERROR(VLOOKUP(B462,'Products'!$A$2:$F$201,2,FALSE),"Product not found"))</f>
        <v/>
      </c>
      <c r="D462" s="4" t="n"/>
      <c r="E462" s="5">
        <f>IF(D462="","",IFERROR(VLOOKUP(D462,'Items'!$A$2:$L$201,2,FALSE),"Item not found"))</f>
        <v/>
      </c>
      <c r="F462" s="9" t="n"/>
      <c r="G462" s="4" t="n"/>
      <c r="H462" s="10">
        <f>IF(OR(F462="",G462=""),"",IFERROR(F462*VLOOKUP(G462,'Units'!$A$2:$D$13,4,FALSE),""))</f>
        <v/>
      </c>
      <c r="I462" s="5">
        <f>IF(D462="","",IFERROR(VLOOKUP(D462,'Items'!$A$2:$L$201,4,FALSE),""))</f>
        <v/>
      </c>
      <c r="J462" s="10">
        <f>IF(D462="","",IFERROR(VLOOKUP(D462,'Items'!$A$2:$L$201,10,FALSE),""))</f>
        <v/>
      </c>
      <c r="K462" s="10">
        <f>IF(OR(H462="",J462=""),"",H462*J462)</f>
        <v/>
      </c>
      <c r="L462" s="5">
        <f>IF(AND(B462="",D462=""),"",IF(B462="","Missing product",IF(D462="","Missing item",IF(C462="Product not found","Product not found",IF(E462="Item not found","Item not found",IF(OR(F462="",G462=""),"Missing quantity/unit",IF(IFERROR(VLOOKUP(G462,'Units'!$A$2:$D$13,3,FALSE),"")&lt;&gt;I462,"Unit mismatch",IF(J462="","Enter item cost","OK"))))))))</f>
        <v/>
      </c>
      <c r="M462" s="4" t="n"/>
    </row>
    <row r="463">
      <c r="A463" s="5">
        <f>IF(AND(B463="",D463=""),"",ROW()-1)</f>
        <v/>
      </c>
      <c r="B463" s="4" t="n"/>
      <c r="C463" s="5">
        <f>IF(B463="","",IFERROR(VLOOKUP(B463,'Products'!$A$2:$F$201,2,FALSE),"Product not found"))</f>
        <v/>
      </c>
      <c r="D463" s="4" t="n"/>
      <c r="E463" s="5">
        <f>IF(D463="","",IFERROR(VLOOKUP(D463,'Items'!$A$2:$L$201,2,FALSE),"Item not found"))</f>
        <v/>
      </c>
      <c r="F463" s="9" t="n"/>
      <c r="G463" s="4" t="n"/>
      <c r="H463" s="10">
        <f>IF(OR(F463="",G463=""),"",IFERROR(F463*VLOOKUP(G463,'Units'!$A$2:$D$13,4,FALSE),""))</f>
        <v/>
      </c>
      <c r="I463" s="5">
        <f>IF(D463="","",IFERROR(VLOOKUP(D463,'Items'!$A$2:$L$201,4,FALSE),""))</f>
        <v/>
      </c>
      <c r="J463" s="10">
        <f>IF(D463="","",IFERROR(VLOOKUP(D463,'Items'!$A$2:$L$201,10,FALSE),""))</f>
        <v/>
      </c>
      <c r="K463" s="10">
        <f>IF(OR(H463="",J463=""),"",H463*J463)</f>
        <v/>
      </c>
      <c r="L463" s="5">
        <f>IF(AND(B463="",D463=""),"",IF(B463="","Missing product",IF(D463="","Missing item",IF(C463="Product not found","Product not found",IF(E463="Item not found","Item not found",IF(OR(F463="",G463=""),"Missing quantity/unit",IF(IFERROR(VLOOKUP(G463,'Units'!$A$2:$D$13,3,FALSE),"")&lt;&gt;I463,"Unit mismatch",IF(J463="","Enter item cost","OK"))))))))</f>
        <v/>
      </c>
      <c r="M463" s="4" t="n"/>
    </row>
    <row r="464">
      <c r="A464" s="5">
        <f>IF(AND(B464="",D464=""),"",ROW()-1)</f>
        <v/>
      </c>
      <c r="B464" s="4" t="n"/>
      <c r="C464" s="5">
        <f>IF(B464="","",IFERROR(VLOOKUP(B464,'Products'!$A$2:$F$201,2,FALSE),"Product not found"))</f>
        <v/>
      </c>
      <c r="D464" s="4" t="n"/>
      <c r="E464" s="5">
        <f>IF(D464="","",IFERROR(VLOOKUP(D464,'Items'!$A$2:$L$201,2,FALSE),"Item not found"))</f>
        <v/>
      </c>
      <c r="F464" s="9" t="n"/>
      <c r="G464" s="4" t="n"/>
      <c r="H464" s="10">
        <f>IF(OR(F464="",G464=""),"",IFERROR(F464*VLOOKUP(G464,'Units'!$A$2:$D$13,4,FALSE),""))</f>
        <v/>
      </c>
      <c r="I464" s="5">
        <f>IF(D464="","",IFERROR(VLOOKUP(D464,'Items'!$A$2:$L$201,4,FALSE),""))</f>
        <v/>
      </c>
      <c r="J464" s="10">
        <f>IF(D464="","",IFERROR(VLOOKUP(D464,'Items'!$A$2:$L$201,10,FALSE),""))</f>
        <v/>
      </c>
      <c r="K464" s="10">
        <f>IF(OR(H464="",J464=""),"",H464*J464)</f>
        <v/>
      </c>
      <c r="L464" s="5">
        <f>IF(AND(B464="",D464=""),"",IF(B464="","Missing product",IF(D464="","Missing item",IF(C464="Product not found","Product not found",IF(E464="Item not found","Item not found",IF(OR(F464="",G464=""),"Missing quantity/unit",IF(IFERROR(VLOOKUP(G464,'Units'!$A$2:$D$13,3,FALSE),"")&lt;&gt;I464,"Unit mismatch",IF(J464="","Enter item cost","OK"))))))))</f>
        <v/>
      </c>
      <c r="M464" s="4" t="n"/>
    </row>
    <row r="465">
      <c r="A465" s="5">
        <f>IF(AND(B465="",D465=""),"",ROW()-1)</f>
        <v/>
      </c>
      <c r="B465" s="4" t="n"/>
      <c r="C465" s="5">
        <f>IF(B465="","",IFERROR(VLOOKUP(B465,'Products'!$A$2:$F$201,2,FALSE),"Product not found"))</f>
        <v/>
      </c>
      <c r="D465" s="4" t="n"/>
      <c r="E465" s="5">
        <f>IF(D465="","",IFERROR(VLOOKUP(D465,'Items'!$A$2:$L$201,2,FALSE),"Item not found"))</f>
        <v/>
      </c>
      <c r="F465" s="9" t="n"/>
      <c r="G465" s="4" t="n"/>
      <c r="H465" s="10">
        <f>IF(OR(F465="",G465=""),"",IFERROR(F465*VLOOKUP(G465,'Units'!$A$2:$D$13,4,FALSE),""))</f>
        <v/>
      </c>
      <c r="I465" s="5">
        <f>IF(D465="","",IFERROR(VLOOKUP(D465,'Items'!$A$2:$L$201,4,FALSE),""))</f>
        <v/>
      </c>
      <c r="J465" s="10">
        <f>IF(D465="","",IFERROR(VLOOKUP(D465,'Items'!$A$2:$L$201,10,FALSE),""))</f>
        <v/>
      </c>
      <c r="K465" s="10">
        <f>IF(OR(H465="",J465=""),"",H465*J465)</f>
        <v/>
      </c>
      <c r="L465" s="5">
        <f>IF(AND(B465="",D465=""),"",IF(B465="","Missing product",IF(D465="","Missing item",IF(C465="Product not found","Product not found",IF(E465="Item not found","Item not found",IF(OR(F465="",G465=""),"Missing quantity/unit",IF(IFERROR(VLOOKUP(G465,'Units'!$A$2:$D$13,3,FALSE),"")&lt;&gt;I465,"Unit mismatch",IF(J465="","Enter item cost","OK"))))))))</f>
        <v/>
      </c>
      <c r="M465" s="4" t="n"/>
    </row>
    <row r="466">
      <c r="A466" s="5">
        <f>IF(AND(B466="",D466=""),"",ROW()-1)</f>
        <v/>
      </c>
      <c r="B466" s="4" t="n"/>
      <c r="C466" s="5">
        <f>IF(B466="","",IFERROR(VLOOKUP(B466,'Products'!$A$2:$F$201,2,FALSE),"Product not found"))</f>
        <v/>
      </c>
      <c r="D466" s="4" t="n"/>
      <c r="E466" s="5">
        <f>IF(D466="","",IFERROR(VLOOKUP(D466,'Items'!$A$2:$L$201,2,FALSE),"Item not found"))</f>
        <v/>
      </c>
      <c r="F466" s="9" t="n"/>
      <c r="G466" s="4" t="n"/>
      <c r="H466" s="10">
        <f>IF(OR(F466="",G466=""),"",IFERROR(F466*VLOOKUP(G466,'Units'!$A$2:$D$13,4,FALSE),""))</f>
        <v/>
      </c>
      <c r="I466" s="5">
        <f>IF(D466="","",IFERROR(VLOOKUP(D466,'Items'!$A$2:$L$201,4,FALSE),""))</f>
        <v/>
      </c>
      <c r="J466" s="10">
        <f>IF(D466="","",IFERROR(VLOOKUP(D466,'Items'!$A$2:$L$201,10,FALSE),""))</f>
        <v/>
      </c>
      <c r="K466" s="10">
        <f>IF(OR(H466="",J466=""),"",H466*J466)</f>
        <v/>
      </c>
      <c r="L466" s="5">
        <f>IF(AND(B466="",D466=""),"",IF(B466="","Missing product",IF(D466="","Missing item",IF(C466="Product not found","Product not found",IF(E466="Item not found","Item not found",IF(OR(F466="",G466=""),"Missing quantity/unit",IF(IFERROR(VLOOKUP(G466,'Units'!$A$2:$D$13,3,FALSE),"")&lt;&gt;I466,"Unit mismatch",IF(J466="","Enter item cost","OK"))))))))</f>
        <v/>
      </c>
      <c r="M466" s="4" t="n"/>
    </row>
    <row r="467">
      <c r="A467" s="5">
        <f>IF(AND(B467="",D467=""),"",ROW()-1)</f>
        <v/>
      </c>
      <c r="B467" s="4" t="n"/>
      <c r="C467" s="5">
        <f>IF(B467="","",IFERROR(VLOOKUP(B467,'Products'!$A$2:$F$201,2,FALSE),"Product not found"))</f>
        <v/>
      </c>
      <c r="D467" s="4" t="n"/>
      <c r="E467" s="5">
        <f>IF(D467="","",IFERROR(VLOOKUP(D467,'Items'!$A$2:$L$201,2,FALSE),"Item not found"))</f>
        <v/>
      </c>
      <c r="F467" s="9" t="n"/>
      <c r="G467" s="4" t="n"/>
      <c r="H467" s="10">
        <f>IF(OR(F467="",G467=""),"",IFERROR(F467*VLOOKUP(G467,'Units'!$A$2:$D$13,4,FALSE),""))</f>
        <v/>
      </c>
      <c r="I467" s="5">
        <f>IF(D467="","",IFERROR(VLOOKUP(D467,'Items'!$A$2:$L$201,4,FALSE),""))</f>
        <v/>
      </c>
      <c r="J467" s="10">
        <f>IF(D467="","",IFERROR(VLOOKUP(D467,'Items'!$A$2:$L$201,10,FALSE),""))</f>
        <v/>
      </c>
      <c r="K467" s="10">
        <f>IF(OR(H467="",J467=""),"",H467*J467)</f>
        <v/>
      </c>
      <c r="L467" s="5">
        <f>IF(AND(B467="",D467=""),"",IF(B467="","Missing product",IF(D467="","Missing item",IF(C467="Product not found","Product not found",IF(E467="Item not found","Item not found",IF(OR(F467="",G467=""),"Missing quantity/unit",IF(IFERROR(VLOOKUP(G467,'Units'!$A$2:$D$13,3,FALSE),"")&lt;&gt;I467,"Unit mismatch",IF(J467="","Enter item cost","OK"))))))))</f>
        <v/>
      </c>
      <c r="M467" s="4" t="n"/>
    </row>
    <row r="468">
      <c r="A468" s="5">
        <f>IF(AND(B468="",D468=""),"",ROW()-1)</f>
        <v/>
      </c>
      <c r="B468" s="4" t="n"/>
      <c r="C468" s="5">
        <f>IF(B468="","",IFERROR(VLOOKUP(B468,'Products'!$A$2:$F$201,2,FALSE),"Product not found"))</f>
        <v/>
      </c>
      <c r="D468" s="4" t="n"/>
      <c r="E468" s="5">
        <f>IF(D468="","",IFERROR(VLOOKUP(D468,'Items'!$A$2:$L$201,2,FALSE),"Item not found"))</f>
        <v/>
      </c>
      <c r="F468" s="9" t="n"/>
      <c r="G468" s="4" t="n"/>
      <c r="H468" s="10">
        <f>IF(OR(F468="",G468=""),"",IFERROR(F468*VLOOKUP(G468,'Units'!$A$2:$D$13,4,FALSE),""))</f>
        <v/>
      </c>
      <c r="I468" s="5">
        <f>IF(D468="","",IFERROR(VLOOKUP(D468,'Items'!$A$2:$L$201,4,FALSE),""))</f>
        <v/>
      </c>
      <c r="J468" s="10">
        <f>IF(D468="","",IFERROR(VLOOKUP(D468,'Items'!$A$2:$L$201,10,FALSE),""))</f>
        <v/>
      </c>
      <c r="K468" s="10">
        <f>IF(OR(H468="",J468=""),"",H468*J468)</f>
        <v/>
      </c>
      <c r="L468" s="5">
        <f>IF(AND(B468="",D468=""),"",IF(B468="","Missing product",IF(D468="","Missing item",IF(C468="Product not found","Product not found",IF(E468="Item not found","Item not found",IF(OR(F468="",G468=""),"Missing quantity/unit",IF(IFERROR(VLOOKUP(G468,'Units'!$A$2:$D$13,3,FALSE),"")&lt;&gt;I468,"Unit mismatch",IF(J468="","Enter item cost","OK"))))))))</f>
        <v/>
      </c>
      <c r="M468" s="4" t="n"/>
    </row>
    <row r="469">
      <c r="A469" s="5">
        <f>IF(AND(B469="",D469=""),"",ROW()-1)</f>
        <v/>
      </c>
      <c r="B469" s="4" t="n"/>
      <c r="C469" s="5">
        <f>IF(B469="","",IFERROR(VLOOKUP(B469,'Products'!$A$2:$F$201,2,FALSE),"Product not found"))</f>
        <v/>
      </c>
      <c r="D469" s="4" t="n"/>
      <c r="E469" s="5">
        <f>IF(D469="","",IFERROR(VLOOKUP(D469,'Items'!$A$2:$L$201,2,FALSE),"Item not found"))</f>
        <v/>
      </c>
      <c r="F469" s="9" t="n"/>
      <c r="G469" s="4" t="n"/>
      <c r="H469" s="10">
        <f>IF(OR(F469="",G469=""),"",IFERROR(F469*VLOOKUP(G469,'Units'!$A$2:$D$13,4,FALSE),""))</f>
        <v/>
      </c>
      <c r="I469" s="5">
        <f>IF(D469="","",IFERROR(VLOOKUP(D469,'Items'!$A$2:$L$201,4,FALSE),""))</f>
        <v/>
      </c>
      <c r="J469" s="10">
        <f>IF(D469="","",IFERROR(VLOOKUP(D469,'Items'!$A$2:$L$201,10,FALSE),""))</f>
        <v/>
      </c>
      <c r="K469" s="10">
        <f>IF(OR(H469="",J469=""),"",H469*J469)</f>
        <v/>
      </c>
      <c r="L469" s="5">
        <f>IF(AND(B469="",D469=""),"",IF(B469="","Missing product",IF(D469="","Missing item",IF(C469="Product not found","Product not found",IF(E469="Item not found","Item not found",IF(OR(F469="",G469=""),"Missing quantity/unit",IF(IFERROR(VLOOKUP(G469,'Units'!$A$2:$D$13,3,FALSE),"")&lt;&gt;I469,"Unit mismatch",IF(J469="","Enter item cost","OK"))))))))</f>
        <v/>
      </c>
      <c r="M469" s="4" t="n"/>
    </row>
    <row r="470">
      <c r="A470" s="5">
        <f>IF(AND(B470="",D470=""),"",ROW()-1)</f>
        <v/>
      </c>
      <c r="B470" s="4" t="n"/>
      <c r="C470" s="5">
        <f>IF(B470="","",IFERROR(VLOOKUP(B470,'Products'!$A$2:$F$201,2,FALSE),"Product not found"))</f>
        <v/>
      </c>
      <c r="D470" s="4" t="n"/>
      <c r="E470" s="5">
        <f>IF(D470="","",IFERROR(VLOOKUP(D470,'Items'!$A$2:$L$201,2,FALSE),"Item not found"))</f>
        <v/>
      </c>
      <c r="F470" s="9" t="n"/>
      <c r="G470" s="4" t="n"/>
      <c r="H470" s="10">
        <f>IF(OR(F470="",G470=""),"",IFERROR(F470*VLOOKUP(G470,'Units'!$A$2:$D$13,4,FALSE),""))</f>
        <v/>
      </c>
      <c r="I470" s="5">
        <f>IF(D470="","",IFERROR(VLOOKUP(D470,'Items'!$A$2:$L$201,4,FALSE),""))</f>
        <v/>
      </c>
      <c r="J470" s="10">
        <f>IF(D470="","",IFERROR(VLOOKUP(D470,'Items'!$A$2:$L$201,10,FALSE),""))</f>
        <v/>
      </c>
      <c r="K470" s="10">
        <f>IF(OR(H470="",J470=""),"",H470*J470)</f>
        <v/>
      </c>
      <c r="L470" s="5">
        <f>IF(AND(B470="",D470=""),"",IF(B470="","Missing product",IF(D470="","Missing item",IF(C470="Product not found","Product not found",IF(E470="Item not found","Item not found",IF(OR(F470="",G470=""),"Missing quantity/unit",IF(IFERROR(VLOOKUP(G470,'Units'!$A$2:$D$13,3,FALSE),"")&lt;&gt;I470,"Unit mismatch",IF(J470="","Enter item cost","OK"))))))))</f>
        <v/>
      </c>
      <c r="M470" s="4" t="n"/>
    </row>
    <row r="471">
      <c r="A471" s="5">
        <f>IF(AND(B471="",D471=""),"",ROW()-1)</f>
        <v/>
      </c>
      <c r="B471" s="4" t="n"/>
      <c r="C471" s="5">
        <f>IF(B471="","",IFERROR(VLOOKUP(B471,'Products'!$A$2:$F$201,2,FALSE),"Product not found"))</f>
        <v/>
      </c>
      <c r="D471" s="4" t="n"/>
      <c r="E471" s="5">
        <f>IF(D471="","",IFERROR(VLOOKUP(D471,'Items'!$A$2:$L$201,2,FALSE),"Item not found"))</f>
        <v/>
      </c>
      <c r="F471" s="9" t="n"/>
      <c r="G471" s="4" t="n"/>
      <c r="H471" s="10">
        <f>IF(OR(F471="",G471=""),"",IFERROR(F471*VLOOKUP(G471,'Units'!$A$2:$D$13,4,FALSE),""))</f>
        <v/>
      </c>
      <c r="I471" s="5">
        <f>IF(D471="","",IFERROR(VLOOKUP(D471,'Items'!$A$2:$L$201,4,FALSE),""))</f>
        <v/>
      </c>
      <c r="J471" s="10">
        <f>IF(D471="","",IFERROR(VLOOKUP(D471,'Items'!$A$2:$L$201,10,FALSE),""))</f>
        <v/>
      </c>
      <c r="K471" s="10">
        <f>IF(OR(H471="",J471=""),"",H471*J471)</f>
        <v/>
      </c>
      <c r="L471" s="5">
        <f>IF(AND(B471="",D471=""),"",IF(B471="","Missing product",IF(D471="","Missing item",IF(C471="Product not found","Product not found",IF(E471="Item not found","Item not found",IF(OR(F471="",G471=""),"Missing quantity/unit",IF(IFERROR(VLOOKUP(G471,'Units'!$A$2:$D$13,3,FALSE),"")&lt;&gt;I471,"Unit mismatch",IF(J471="","Enter item cost","OK"))))))))</f>
        <v/>
      </c>
      <c r="M471" s="4" t="n"/>
    </row>
    <row r="472">
      <c r="A472" s="5">
        <f>IF(AND(B472="",D472=""),"",ROW()-1)</f>
        <v/>
      </c>
      <c r="B472" s="4" t="n"/>
      <c r="C472" s="5">
        <f>IF(B472="","",IFERROR(VLOOKUP(B472,'Products'!$A$2:$F$201,2,FALSE),"Product not found"))</f>
        <v/>
      </c>
      <c r="D472" s="4" t="n"/>
      <c r="E472" s="5">
        <f>IF(D472="","",IFERROR(VLOOKUP(D472,'Items'!$A$2:$L$201,2,FALSE),"Item not found"))</f>
        <v/>
      </c>
      <c r="F472" s="9" t="n"/>
      <c r="G472" s="4" t="n"/>
      <c r="H472" s="10">
        <f>IF(OR(F472="",G472=""),"",IFERROR(F472*VLOOKUP(G472,'Units'!$A$2:$D$13,4,FALSE),""))</f>
        <v/>
      </c>
      <c r="I472" s="5">
        <f>IF(D472="","",IFERROR(VLOOKUP(D472,'Items'!$A$2:$L$201,4,FALSE),""))</f>
        <v/>
      </c>
      <c r="J472" s="10">
        <f>IF(D472="","",IFERROR(VLOOKUP(D472,'Items'!$A$2:$L$201,10,FALSE),""))</f>
        <v/>
      </c>
      <c r="K472" s="10">
        <f>IF(OR(H472="",J472=""),"",H472*J472)</f>
        <v/>
      </c>
      <c r="L472" s="5">
        <f>IF(AND(B472="",D472=""),"",IF(B472="","Missing product",IF(D472="","Missing item",IF(C472="Product not found","Product not found",IF(E472="Item not found","Item not found",IF(OR(F472="",G472=""),"Missing quantity/unit",IF(IFERROR(VLOOKUP(G472,'Units'!$A$2:$D$13,3,FALSE),"")&lt;&gt;I472,"Unit mismatch",IF(J472="","Enter item cost","OK"))))))))</f>
        <v/>
      </c>
      <c r="M472" s="4" t="n"/>
    </row>
    <row r="473">
      <c r="A473" s="5">
        <f>IF(AND(B473="",D473=""),"",ROW()-1)</f>
        <v/>
      </c>
      <c r="B473" s="4" t="n"/>
      <c r="C473" s="5">
        <f>IF(B473="","",IFERROR(VLOOKUP(B473,'Products'!$A$2:$F$201,2,FALSE),"Product not found"))</f>
        <v/>
      </c>
      <c r="D473" s="4" t="n"/>
      <c r="E473" s="5">
        <f>IF(D473="","",IFERROR(VLOOKUP(D473,'Items'!$A$2:$L$201,2,FALSE),"Item not found"))</f>
        <v/>
      </c>
      <c r="F473" s="9" t="n"/>
      <c r="G473" s="4" t="n"/>
      <c r="H473" s="10">
        <f>IF(OR(F473="",G473=""),"",IFERROR(F473*VLOOKUP(G473,'Units'!$A$2:$D$13,4,FALSE),""))</f>
        <v/>
      </c>
      <c r="I473" s="5">
        <f>IF(D473="","",IFERROR(VLOOKUP(D473,'Items'!$A$2:$L$201,4,FALSE),""))</f>
        <v/>
      </c>
      <c r="J473" s="10">
        <f>IF(D473="","",IFERROR(VLOOKUP(D473,'Items'!$A$2:$L$201,10,FALSE),""))</f>
        <v/>
      </c>
      <c r="K473" s="10">
        <f>IF(OR(H473="",J473=""),"",H473*J473)</f>
        <v/>
      </c>
      <c r="L473" s="5">
        <f>IF(AND(B473="",D473=""),"",IF(B473="","Missing product",IF(D473="","Missing item",IF(C473="Product not found","Product not found",IF(E473="Item not found","Item not found",IF(OR(F473="",G473=""),"Missing quantity/unit",IF(IFERROR(VLOOKUP(G473,'Units'!$A$2:$D$13,3,FALSE),"")&lt;&gt;I473,"Unit mismatch",IF(J473="","Enter item cost","OK"))))))))</f>
        <v/>
      </c>
      <c r="M473" s="4" t="n"/>
    </row>
    <row r="474">
      <c r="A474" s="5">
        <f>IF(AND(B474="",D474=""),"",ROW()-1)</f>
        <v/>
      </c>
      <c r="B474" s="4" t="n"/>
      <c r="C474" s="5">
        <f>IF(B474="","",IFERROR(VLOOKUP(B474,'Products'!$A$2:$F$201,2,FALSE),"Product not found"))</f>
        <v/>
      </c>
      <c r="D474" s="4" t="n"/>
      <c r="E474" s="5">
        <f>IF(D474="","",IFERROR(VLOOKUP(D474,'Items'!$A$2:$L$201,2,FALSE),"Item not found"))</f>
        <v/>
      </c>
      <c r="F474" s="9" t="n"/>
      <c r="G474" s="4" t="n"/>
      <c r="H474" s="10">
        <f>IF(OR(F474="",G474=""),"",IFERROR(F474*VLOOKUP(G474,'Units'!$A$2:$D$13,4,FALSE),""))</f>
        <v/>
      </c>
      <c r="I474" s="5">
        <f>IF(D474="","",IFERROR(VLOOKUP(D474,'Items'!$A$2:$L$201,4,FALSE),""))</f>
        <v/>
      </c>
      <c r="J474" s="10">
        <f>IF(D474="","",IFERROR(VLOOKUP(D474,'Items'!$A$2:$L$201,10,FALSE),""))</f>
        <v/>
      </c>
      <c r="K474" s="10">
        <f>IF(OR(H474="",J474=""),"",H474*J474)</f>
        <v/>
      </c>
      <c r="L474" s="5">
        <f>IF(AND(B474="",D474=""),"",IF(B474="","Missing product",IF(D474="","Missing item",IF(C474="Product not found","Product not found",IF(E474="Item not found","Item not found",IF(OR(F474="",G474=""),"Missing quantity/unit",IF(IFERROR(VLOOKUP(G474,'Units'!$A$2:$D$13,3,FALSE),"")&lt;&gt;I474,"Unit mismatch",IF(J474="","Enter item cost","OK"))))))))</f>
        <v/>
      </c>
      <c r="M474" s="4" t="n"/>
    </row>
    <row r="475">
      <c r="A475" s="5">
        <f>IF(AND(B475="",D475=""),"",ROW()-1)</f>
        <v/>
      </c>
      <c r="B475" s="4" t="n"/>
      <c r="C475" s="5">
        <f>IF(B475="","",IFERROR(VLOOKUP(B475,'Products'!$A$2:$F$201,2,FALSE),"Product not found"))</f>
        <v/>
      </c>
      <c r="D475" s="4" t="n"/>
      <c r="E475" s="5">
        <f>IF(D475="","",IFERROR(VLOOKUP(D475,'Items'!$A$2:$L$201,2,FALSE),"Item not found"))</f>
        <v/>
      </c>
      <c r="F475" s="9" t="n"/>
      <c r="G475" s="4" t="n"/>
      <c r="H475" s="10">
        <f>IF(OR(F475="",G475=""),"",IFERROR(F475*VLOOKUP(G475,'Units'!$A$2:$D$13,4,FALSE),""))</f>
        <v/>
      </c>
      <c r="I475" s="5">
        <f>IF(D475="","",IFERROR(VLOOKUP(D475,'Items'!$A$2:$L$201,4,FALSE),""))</f>
        <v/>
      </c>
      <c r="J475" s="10">
        <f>IF(D475="","",IFERROR(VLOOKUP(D475,'Items'!$A$2:$L$201,10,FALSE),""))</f>
        <v/>
      </c>
      <c r="K475" s="10">
        <f>IF(OR(H475="",J475=""),"",H475*J475)</f>
        <v/>
      </c>
      <c r="L475" s="5">
        <f>IF(AND(B475="",D475=""),"",IF(B475="","Missing product",IF(D475="","Missing item",IF(C475="Product not found","Product not found",IF(E475="Item not found","Item not found",IF(OR(F475="",G475=""),"Missing quantity/unit",IF(IFERROR(VLOOKUP(G475,'Units'!$A$2:$D$13,3,FALSE),"")&lt;&gt;I475,"Unit mismatch",IF(J475="","Enter item cost","OK"))))))))</f>
        <v/>
      </c>
      <c r="M475" s="4" t="n"/>
    </row>
    <row r="476">
      <c r="A476" s="5">
        <f>IF(AND(B476="",D476=""),"",ROW()-1)</f>
        <v/>
      </c>
      <c r="B476" s="4" t="n"/>
      <c r="C476" s="5">
        <f>IF(B476="","",IFERROR(VLOOKUP(B476,'Products'!$A$2:$F$201,2,FALSE),"Product not found"))</f>
        <v/>
      </c>
      <c r="D476" s="4" t="n"/>
      <c r="E476" s="5">
        <f>IF(D476="","",IFERROR(VLOOKUP(D476,'Items'!$A$2:$L$201,2,FALSE),"Item not found"))</f>
        <v/>
      </c>
      <c r="F476" s="9" t="n"/>
      <c r="G476" s="4" t="n"/>
      <c r="H476" s="10">
        <f>IF(OR(F476="",G476=""),"",IFERROR(F476*VLOOKUP(G476,'Units'!$A$2:$D$13,4,FALSE),""))</f>
        <v/>
      </c>
      <c r="I476" s="5">
        <f>IF(D476="","",IFERROR(VLOOKUP(D476,'Items'!$A$2:$L$201,4,FALSE),""))</f>
        <v/>
      </c>
      <c r="J476" s="10">
        <f>IF(D476="","",IFERROR(VLOOKUP(D476,'Items'!$A$2:$L$201,10,FALSE),""))</f>
        <v/>
      </c>
      <c r="K476" s="10">
        <f>IF(OR(H476="",J476=""),"",H476*J476)</f>
        <v/>
      </c>
      <c r="L476" s="5">
        <f>IF(AND(B476="",D476=""),"",IF(B476="","Missing product",IF(D476="","Missing item",IF(C476="Product not found","Product not found",IF(E476="Item not found","Item not found",IF(OR(F476="",G476=""),"Missing quantity/unit",IF(IFERROR(VLOOKUP(G476,'Units'!$A$2:$D$13,3,FALSE),"")&lt;&gt;I476,"Unit mismatch",IF(J476="","Enter item cost","OK"))))))))</f>
        <v/>
      </c>
      <c r="M476" s="4" t="n"/>
    </row>
    <row r="477">
      <c r="A477" s="5">
        <f>IF(AND(B477="",D477=""),"",ROW()-1)</f>
        <v/>
      </c>
      <c r="B477" s="4" t="n"/>
      <c r="C477" s="5">
        <f>IF(B477="","",IFERROR(VLOOKUP(B477,'Products'!$A$2:$F$201,2,FALSE),"Product not found"))</f>
        <v/>
      </c>
      <c r="D477" s="4" t="n"/>
      <c r="E477" s="5">
        <f>IF(D477="","",IFERROR(VLOOKUP(D477,'Items'!$A$2:$L$201,2,FALSE),"Item not found"))</f>
        <v/>
      </c>
      <c r="F477" s="9" t="n"/>
      <c r="G477" s="4" t="n"/>
      <c r="H477" s="10">
        <f>IF(OR(F477="",G477=""),"",IFERROR(F477*VLOOKUP(G477,'Units'!$A$2:$D$13,4,FALSE),""))</f>
        <v/>
      </c>
      <c r="I477" s="5">
        <f>IF(D477="","",IFERROR(VLOOKUP(D477,'Items'!$A$2:$L$201,4,FALSE),""))</f>
        <v/>
      </c>
      <c r="J477" s="10">
        <f>IF(D477="","",IFERROR(VLOOKUP(D477,'Items'!$A$2:$L$201,10,FALSE),""))</f>
        <v/>
      </c>
      <c r="K477" s="10">
        <f>IF(OR(H477="",J477=""),"",H477*J477)</f>
        <v/>
      </c>
      <c r="L477" s="5">
        <f>IF(AND(B477="",D477=""),"",IF(B477="","Missing product",IF(D477="","Missing item",IF(C477="Product not found","Product not found",IF(E477="Item not found","Item not found",IF(OR(F477="",G477=""),"Missing quantity/unit",IF(IFERROR(VLOOKUP(G477,'Units'!$A$2:$D$13,3,FALSE),"")&lt;&gt;I477,"Unit mismatch",IF(J477="","Enter item cost","OK"))))))))</f>
        <v/>
      </c>
      <c r="M477" s="4" t="n"/>
    </row>
    <row r="478">
      <c r="A478" s="5">
        <f>IF(AND(B478="",D478=""),"",ROW()-1)</f>
        <v/>
      </c>
      <c r="B478" s="4" t="n"/>
      <c r="C478" s="5">
        <f>IF(B478="","",IFERROR(VLOOKUP(B478,'Products'!$A$2:$F$201,2,FALSE),"Product not found"))</f>
        <v/>
      </c>
      <c r="D478" s="4" t="n"/>
      <c r="E478" s="5">
        <f>IF(D478="","",IFERROR(VLOOKUP(D478,'Items'!$A$2:$L$201,2,FALSE),"Item not found"))</f>
        <v/>
      </c>
      <c r="F478" s="9" t="n"/>
      <c r="G478" s="4" t="n"/>
      <c r="H478" s="10">
        <f>IF(OR(F478="",G478=""),"",IFERROR(F478*VLOOKUP(G478,'Units'!$A$2:$D$13,4,FALSE),""))</f>
        <v/>
      </c>
      <c r="I478" s="5">
        <f>IF(D478="","",IFERROR(VLOOKUP(D478,'Items'!$A$2:$L$201,4,FALSE),""))</f>
        <v/>
      </c>
      <c r="J478" s="10">
        <f>IF(D478="","",IFERROR(VLOOKUP(D478,'Items'!$A$2:$L$201,10,FALSE),""))</f>
        <v/>
      </c>
      <c r="K478" s="10">
        <f>IF(OR(H478="",J478=""),"",H478*J478)</f>
        <v/>
      </c>
      <c r="L478" s="5">
        <f>IF(AND(B478="",D478=""),"",IF(B478="","Missing product",IF(D478="","Missing item",IF(C478="Product not found","Product not found",IF(E478="Item not found","Item not found",IF(OR(F478="",G478=""),"Missing quantity/unit",IF(IFERROR(VLOOKUP(G478,'Units'!$A$2:$D$13,3,FALSE),"")&lt;&gt;I478,"Unit mismatch",IF(J478="","Enter item cost","OK"))))))))</f>
        <v/>
      </c>
      <c r="M478" s="4" t="n"/>
    </row>
    <row r="479">
      <c r="A479" s="5">
        <f>IF(AND(B479="",D479=""),"",ROW()-1)</f>
        <v/>
      </c>
      <c r="B479" s="4" t="n"/>
      <c r="C479" s="5">
        <f>IF(B479="","",IFERROR(VLOOKUP(B479,'Products'!$A$2:$F$201,2,FALSE),"Product not found"))</f>
        <v/>
      </c>
      <c r="D479" s="4" t="n"/>
      <c r="E479" s="5">
        <f>IF(D479="","",IFERROR(VLOOKUP(D479,'Items'!$A$2:$L$201,2,FALSE),"Item not found"))</f>
        <v/>
      </c>
      <c r="F479" s="9" t="n"/>
      <c r="G479" s="4" t="n"/>
      <c r="H479" s="10">
        <f>IF(OR(F479="",G479=""),"",IFERROR(F479*VLOOKUP(G479,'Units'!$A$2:$D$13,4,FALSE),""))</f>
        <v/>
      </c>
      <c r="I479" s="5">
        <f>IF(D479="","",IFERROR(VLOOKUP(D479,'Items'!$A$2:$L$201,4,FALSE),""))</f>
        <v/>
      </c>
      <c r="J479" s="10">
        <f>IF(D479="","",IFERROR(VLOOKUP(D479,'Items'!$A$2:$L$201,10,FALSE),""))</f>
        <v/>
      </c>
      <c r="K479" s="10">
        <f>IF(OR(H479="",J479=""),"",H479*J479)</f>
        <v/>
      </c>
      <c r="L479" s="5">
        <f>IF(AND(B479="",D479=""),"",IF(B479="","Missing product",IF(D479="","Missing item",IF(C479="Product not found","Product not found",IF(E479="Item not found","Item not found",IF(OR(F479="",G479=""),"Missing quantity/unit",IF(IFERROR(VLOOKUP(G479,'Units'!$A$2:$D$13,3,FALSE),"")&lt;&gt;I479,"Unit mismatch",IF(J479="","Enter item cost","OK"))))))))</f>
        <v/>
      </c>
      <c r="M479" s="4" t="n"/>
    </row>
    <row r="480">
      <c r="A480" s="5">
        <f>IF(AND(B480="",D480=""),"",ROW()-1)</f>
        <v/>
      </c>
      <c r="B480" s="4" t="n"/>
      <c r="C480" s="5">
        <f>IF(B480="","",IFERROR(VLOOKUP(B480,'Products'!$A$2:$F$201,2,FALSE),"Product not found"))</f>
        <v/>
      </c>
      <c r="D480" s="4" t="n"/>
      <c r="E480" s="5">
        <f>IF(D480="","",IFERROR(VLOOKUP(D480,'Items'!$A$2:$L$201,2,FALSE),"Item not found"))</f>
        <v/>
      </c>
      <c r="F480" s="9" t="n"/>
      <c r="G480" s="4" t="n"/>
      <c r="H480" s="10">
        <f>IF(OR(F480="",G480=""),"",IFERROR(F480*VLOOKUP(G480,'Units'!$A$2:$D$13,4,FALSE),""))</f>
        <v/>
      </c>
      <c r="I480" s="5">
        <f>IF(D480="","",IFERROR(VLOOKUP(D480,'Items'!$A$2:$L$201,4,FALSE),""))</f>
        <v/>
      </c>
      <c r="J480" s="10">
        <f>IF(D480="","",IFERROR(VLOOKUP(D480,'Items'!$A$2:$L$201,10,FALSE),""))</f>
        <v/>
      </c>
      <c r="K480" s="10">
        <f>IF(OR(H480="",J480=""),"",H480*J480)</f>
        <v/>
      </c>
      <c r="L480" s="5">
        <f>IF(AND(B480="",D480=""),"",IF(B480="","Missing product",IF(D480="","Missing item",IF(C480="Product not found","Product not found",IF(E480="Item not found","Item not found",IF(OR(F480="",G480=""),"Missing quantity/unit",IF(IFERROR(VLOOKUP(G480,'Units'!$A$2:$D$13,3,FALSE),"")&lt;&gt;I480,"Unit mismatch",IF(J480="","Enter item cost","OK"))))))))</f>
        <v/>
      </c>
      <c r="M480" s="4" t="n"/>
    </row>
    <row r="481">
      <c r="A481" s="5">
        <f>IF(AND(B481="",D481=""),"",ROW()-1)</f>
        <v/>
      </c>
      <c r="B481" s="4" t="n"/>
      <c r="C481" s="5">
        <f>IF(B481="","",IFERROR(VLOOKUP(B481,'Products'!$A$2:$F$201,2,FALSE),"Product not found"))</f>
        <v/>
      </c>
      <c r="D481" s="4" t="n"/>
      <c r="E481" s="5">
        <f>IF(D481="","",IFERROR(VLOOKUP(D481,'Items'!$A$2:$L$201,2,FALSE),"Item not found"))</f>
        <v/>
      </c>
      <c r="F481" s="9" t="n"/>
      <c r="G481" s="4" t="n"/>
      <c r="H481" s="10">
        <f>IF(OR(F481="",G481=""),"",IFERROR(F481*VLOOKUP(G481,'Units'!$A$2:$D$13,4,FALSE),""))</f>
        <v/>
      </c>
      <c r="I481" s="5">
        <f>IF(D481="","",IFERROR(VLOOKUP(D481,'Items'!$A$2:$L$201,4,FALSE),""))</f>
        <v/>
      </c>
      <c r="J481" s="10">
        <f>IF(D481="","",IFERROR(VLOOKUP(D481,'Items'!$A$2:$L$201,10,FALSE),""))</f>
        <v/>
      </c>
      <c r="K481" s="10">
        <f>IF(OR(H481="",J481=""),"",H481*J481)</f>
        <v/>
      </c>
      <c r="L481" s="5">
        <f>IF(AND(B481="",D481=""),"",IF(B481="","Missing product",IF(D481="","Missing item",IF(C481="Product not found","Product not found",IF(E481="Item not found","Item not found",IF(OR(F481="",G481=""),"Missing quantity/unit",IF(IFERROR(VLOOKUP(G481,'Units'!$A$2:$D$13,3,FALSE),"")&lt;&gt;I481,"Unit mismatch",IF(J481="","Enter item cost","OK"))))))))</f>
        <v/>
      </c>
      <c r="M481" s="4" t="n"/>
    </row>
    <row r="482">
      <c r="A482" s="5">
        <f>IF(AND(B482="",D482=""),"",ROW()-1)</f>
        <v/>
      </c>
      <c r="B482" s="4" t="n"/>
      <c r="C482" s="5">
        <f>IF(B482="","",IFERROR(VLOOKUP(B482,'Products'!$A$2:$F$201,2,FALSE),"Product not found"))</f>
        <v/>
      </c>
      <c r="D482" s="4" t="n"/>
      <c r="E482" s="5">
        <f>IF(D482="","",IFERROR(VLOOKUP(D482,'Items'!$A$2:$L$201,2,FALSE),"Item not found"))</f>
        <v/>
      </c>
      <c r="F482" s="9" t="n"/>
      <c r="G482" s="4" t="n"/>
      <c r="H482" s="10">
        <f>IF(OR(F482="",G482=""),"",IFERROR(F482*VLOOKUP(G482,'Units'!$A$2:$D$13,4,FALSE),""))</f>
        <v/>
      </c>
      <c r="I482" s="5">
        <f>IF(D482="","",IFERROR(VLOOKUP(D482,'Items'!$A$2:$L$201,4,FALSE),""))</f>
        <v/>
      </c>
      <c r="J482" s="10">
        <f>IF(D482="","",IFERROR(VLOOKUP(D482,'Items'!$A$2:$L$201,10,FALSE),""))</f>
        <v/>
      </c>
      <c r="K482" s="10">
        <f>IF(OR(H482="",J482=""),"",H482*J482)</f>
        <v/>
      </c>
      <c r="L482" s="5">
        <f>IF(AND(B482="",D482=""),"",IF(B482="","Missing product",IF(D482="","Missing item",IF(C482="Product not found","Product not found",IF(E482="Item not found","Item not found",IF(OR(F482="",G482=""),"Missing quantity/unit",IF(IFERROR(VLOOKUP(G482,'Units'!$A$2:$D$13,3,FALSE),"")&lt;&gt;I482,"Unit mismatch",IF(J482="","Enter item cost","OK"))))))))</f>
        <v/>
      </c>
      <c r="M482" s="4" t="n"/>
    </row>
    <row r="483">
      <c r="A483" s="5">
        <f>IF(AND(B483="",D483=""),"",ROW()-1)</f>
        <v/>
      </c>
      <c r="B483" s="4" t="n"/>
      <c r="C483" s="5">
        <f>IF(B483="","",IFERROR(VLOOKUP(B483,'Products'!$A$2:$F$201,2,FALSE),"Product not found"))</f>
        <v/>
      </c>
      <c r="D483" s="4" t="n"/>
      <c r="E483" s="5">
        <f>IF(D483="","",IFERROR(VLOOKUP(D483,'Items'!$A$2:$L$201,2,FALSE),"Item not found"))</f>
        <v/>
      </c>
      <c r="F483" s="9" t="n"/>
      <c r="G483" s="4" t="n"/>
      <c r="H483" s="10">
        <f>IF(OR(F483="",G483=""),"",IFERROR(F483*VLOOKUP(G483,'Units'!$A$2:$D$13,4,FALSE),""))</f>
        <v/>
      </c>
      <c r="I483" s="5">
        <f>IF(D483="","",IFERROR(VLOOKUP(D483,'Items'!$A$2:$L$201,4,FALSE),""))</f>
        <v/>
      </c>
      <c r="J483" s="10">
        <f>IF(D483="","",IFERROR(VLOOKUP(D483,'Items'!$A$2:$L$201,10,FALSE),""))</f>
        <v/>
      </c>
      <c r="K483" s="10">
        <f>IF(OR(H483="",J483=""),"",H483*J483)</f>
        <v/>
      </c>
      <c r="L483" s="5">
        <f>IF(AND(B483="",D483=""),"",IF(B483="","Missing product",IF(D483="","Missing item",IF(C483="Product not found","Product not found",IF(E483="Item not found","Item not found",IF(OR(F483="",G483=""),"Missing quantity/unit",IF(IFERROR(VLOOKUP(G483,'Units'!$A$2:$D$13,3,FALSE),"")&lt;&gt;I483,"Unit mismatch",IF(J483="","Enter item cost","OK"))))))))</f>
        <v/>
      </c>
      <c r="M483" s="4" t="n"/>
    </row>
    <row r="484">
      <c r="A484" s="5">
        <f>IF(AND(B484="",D484=""),"",ROW()-1)</f>
        <v/>
      </c>
      <c r="B484" s="4" t="n"/>
      <c r="C484" s="5">
        <f>IF(B484="","",IFERROR(VLOOKUP(B484,'Products'!$A$2:$F$201,2,FALSE),"Product not found"))</f>
        <v/>
      </c>
      <c r="D484" s="4" t="n"/>
      <c r="E484" s="5">
        <f>IF(D484="","",IFERROR(VLOOKUP(D484,'Items'!$A$2:$L$201,2,FALSE),"Item not found"))</f>
        <v/>
      </c>
      <c r="F484" s="9" t="n"/>
      <c r="G484" s="4" t="n"/>
      <c r="H484" s="10">
        <f>IF(OR(F484="",G484=""),"",IFERROR(F484*VLOOKUP(G484,'Units'!$A$2:$D$13,4,FALSE),""))</f>
        <v/>
      </c>
      <c r="I484" s="5">
        <f>IF(D484="","",IFERROR(VLOOKUP(D484,'Items'!$A$2:$L$201,4,FALSE),""))</f>
        <v/>
      </c>
      <c r="J484" s="10">
        <f>IF(D484="","",IFERROR(VLOOKUP(D484,'Items'!$A$2:$L$201,10,FALSE),""))</f>
        <v/>
      </c>
      <c r="K484" s="10">
        <f>IF(OR(H484="",J484=""),"",H484*J484)</f>
        <v/>
      </c>
      <c r="L484" s="5">
        <f>IF(AND(B484="",D484=""),"",IF(B484="","Missing product",IF(D484="","Missing item",IF(C484="Product not found","Product not found",IF(E484="Item not found","Item not found",IF(OR(F484="",G484=""),"Missing quantity/unit",IF(IFERROR(VLOOKUP(G484,'Units'!$A$2:$D$13,3,FALSE),"")&lt;&gt;I484,"Unit mismatch",IF(J484="","Enter item cost","OK"))))))))</f>
        <v/>
      </c>
      <c r="M484" s="4" t="n"/>
    </row>
    <row r="485">
      <c r="A485" s="5">
        <f>IF(AND(B485="",D485=""),"",ROW()-1)</f>
        <v/>
      </c>
      <c r="B485" s="4" t="n"/>
      <c r="C485" s="5">
        <f>IF(B485="","",IFERROR(VLOOKUP(B485,'Products'!$A$2:$F$201,2,FALSE),"Product not found"))</f>
        <v/>
      </c>
      <c r="D485" s="4" t="n"/>
      <c r="E485" s="5">
        <f>IF(D485="","",IFERROR(VLOOKUP(D485,'Items'!$A$2:$L$201,2,FALSE),"Item not found"))</f>
        <v/>
      </c>
      <c r="F485" s="9" t="n"/>
      <c r="G485" s="4" t="n"/>
      <c r="H485" s="10">
        <f>IF(OR(F485="",G485=""),"",IFERROR(F485*VLOOKUP(G485,'Units'!$A$2:$D$13,4,FALSE),""))</f>
        <v/>
      </c>
      <c r="I485" s="5">
        <f>IF(D485="","",IFERROR(VLOOKUP(D485,'Items'!$A$2:$L$201,4,FALSE),""))</f>
        <v/>
      </c>
      <c r="J485" s="10">
        <f>IF(D485="","",IFERROR(VLOOKUP(D485,'Items'!$A$2:$L$201,10,FALSE),""))</f>
        <v/>
      </c>
      <c r="K485" s="10">
        <f>IF(OR(H485="",J485=""),"",H485*J485)</f>
        <v/>
      </c>
      <c r="L485" s="5">
        <f>IF(AND(B485="",D485=""),"",IF(B485="","Missing product",IF(D485="","Missing item",IF(C485="Product not found","Product not found",IF(E485="Item not found","Item not found",IF(OR(F485="",G485=""),"Missing quantity/unit",IF(IFERROR(VLOOKUP(G485,'Units'!$A$2:$D$13,3,FALSE),"")&lt;&gt;I485,"Unit mismatch",IF(J485="","Enter item cost","OK"))))))))</f>
        <v/>
      </c>
      <c r="M485" s="4" t="n"/>
    </row>
    <row r="486">
      <c r="A486" s="5">
        <f>IF(AND(B486="",D486=""),"",ROW()-1)</f>
        <v/>
      </c>
      <c r="B486" s="4" t="n"/>
      <c r="C486" s="5">
        <f>IF(B486="","",IFERROR(VLOOKUP(B486,'Products'!$A$2:$F$201,2,FALSE),"Product not found"))</f>
        <v/>
      </c>
      <c r="D486" s="4" t="n"/>
      <c r="E486" s="5">
        <f>IF(D486="","",IFERROR(VLOOKUP(D486,'Items'!$A$2:$L$201,2,FALSE),"Item not found"))</f>
        <v/>
      </c>
      <c r="F486" s="9" t="n"/>
      <c r="G486" s="4" t="n"/>
      <c r="H486" s="10">
        <f>IF(OR(F486="",G486=""),"",IFERROR(F486*VLOOKUP(G486,'Units'!$A$2:$D$13,4,FALSE),""))</f>
        <v/>
      </c>
      <c r="I486" s="5">
        <f>IF(D486="","",IFERROR(VLOOKUP(D486,'Items'!$A$2:$L$201,4,FALSE),""))</f>
        <v/>
      </c>
      <c r="J486" s="10">
        <f>IF(D486="","",IFERROR(VLOOKUP(D486,'Items'!$A$2:$L$201,10,FALSE),""))</f>
        <v/>
      </c>
      <c r="K486" s="10">
        <f>IF(OR(H486="",J486=""),"",H486*J486)</f>
        <v/>
      </c>
      <c r="L486" s="5">
        <f>IF(AND(B486="",D486=""),"",IF(B486="","Missing product",IF(D486="","Missing item",IF(C486="Product not found","Product not found",IF(E486="Item not found","Item not found",IF(OR(F486="",G486=""),"Missing quantity/unit",IF(IFERROR(VLOOKUP(G486,'Units'!$A$2:$D$13,3,FALSE),"")&lt;&gt;I486,"Unit mismatch",IF(J486="","Enter item cost","OK"))))))))</f>
        <v/>
      </c>
      <c r="M486" s="4" t="n"/>
    </row>
    <row r="487">
      <c r="A487" s="5">
        <f>IF(AND(B487="",D487=""),"",ROW()-1)</f>
        <v/>
      </c>
      <c r="B487" s="4" t="n"/>
      <c r="C487" s="5">
        <f>IF(B487="","",IFERROR(VLOOKUP(B487,'Products'!$A$2:$F$201,2,FALSE),"Product not found"))</f>
        <v/>
      </c>
      <c r="D487" s="4" t="n"/>
      <c r="E487" s="5">
        <f>IF(D487="","",IFERROR(VLOOKUP(D487,'Items'!$A$2:$L$201,2,FALSE),"Item not found"))</f>
        <v/>
      </c>
      <c r="F487" s="9" t="n"/>
      <c r="G487" s="4" t="n"/>
      <c r="H487" s="10">
        <f>IF(OR(F487="",G487=""),"",IFERROR(F487*VLOOKUP(G487,'Units'!$A$2:$D$13,4,FALSE),""))</f>
        <v/>
      </c>
      <c r="I487" s="5">
        <f>IF(D487="","",IFERROR(VLOOKUP(D487,'Items'!$A$2:$L$201,4,FALSE),""))</f>
        <v/>
      </c>
      <c r="J487" s="10">
        <f>IF(D487="","",IFERROR(VLOOKUP(D487,'Items'!$A$2:$L$201,10,FALSE),""))</f>
        <v/>
      </c>
      <c r="K487" s="10">
        <f>IF(OR(H487="",J487=""),"",H487*J487)</f>
        <v/>
      </c>
      <c r="L487" s="5">
        <f>IF(AND(B487="",D487=""),"",IF(B487="","Missing product",IF(D487="","Missing item",IF(C487="Product not found","Product not found",IF(E487="Item not found","Item not found",IF(OR(F487="",G487=""),"Missing quantity/unit",IF(IFERROR(VLOOKUP(G487,'Units'!$A$2:$D$13,3,FALSE),"")&lt;&gt;I487,"Unit mismatch",IF(J487="","Enter item cost","OK"))))))))</f>
        <v/>
      </c>
      <c r="M487" s="4" t="n"/>
    </row>
    <row r="488">
      <c r="A488" s="5">
        <f>IF(AND(B488="",D488=""),"",ROW()-1)</f>
        <v/>
      </c>
      <c r="B488" s="4" t="n"/>
      <c r="C488" s="5">
        <f>IF(B488="","",IFERROR(VLOOKUP(B488,'Products'!$A$2:$F$201,2,FALSE),"Product not found"))</f>
        <v/>
      </c>
      <c r="D488" s="4" t="n"/>
      <c r="E488" s="5">
        <f>IF(D488="","",IFERROR(VLOOKUP(D488,'Items'!$A$2:$L$201,2,FALSE),"Item not found"))</f>
        <v/>
      </c>
      <c r="F488" s="9" t="n"/>
      <c r="G488" s="4" t="n"/>
      <c r="H488" s="10">
        <f>IF(OR(F488="",G488=""),"",IFERROR(F488*VLOOKUP(G488,'Units'!$A$2:$D$13,4,FALSE),""))</f>
        <v/>
      </c>
      <c r="I488" s="5">
        <f>IF(D488="","",IFERROR(VLOOKUP(D488,'Items'!$A$2:$L$201,4,FALSE),""))</f>
        <v/>
      </c>
      <c r="J488" s="10">
        <f>IF(D488="","",IFERROR(VLOOKUP(D488,'Items'!$A$2:$L$201,10,FALSE),""))</f>
        <v/>
      </c>
      <c r="K488" s="10">
        <f>IF(OR(H488="",J488=""),"",H488*J488)</f>
        <v/>
      </c>
      <c r="L488" s="5">
        <f>IF(AND(B488="",D488=""),"",IF(B488="","Missing product",IF(D488="","Missing item",IF(C488="Product not found","Product not found",IF(E488="Item not found","Item not found",IF(OR(F488="",G488=""),"Missing quantity/unit",IF(IFERROR(VLOOKUP(G488,'Units'!$A$2:$D$13,3,FALSE),"")&lt;&gt;I488,"Unit mismatch",IF(J488="","Enter item cost","OK"))))))))</f>
        <v/>
      </c>
      <c r="M488" s="4" t="n"/>
    </row>
    <row r="489">
      <c r="A489" s="5">
        <f>IF(AND(B489="",D489=""),"",ROW()-1)</f>
        <v/>
      </c>
      <c r="B489" s="4" t="n"/>
      <c r="C489" s="5">
        <f>IF(B489="","",IFERROR(VLOOKUP(B489,'Products'!$A$2:$F$201,2,FALSE),"Product not found"))</f>
        <v/>
      </c>
      <c r="D489" s="4" t="n"/>
      <c r="E489" s="5">
        <f>IF(D489="","",IFERROR(VLOOKUP(D489,'Items'!$A$2:$L$201,2,FALSE),"Item not found"))</f>
        <v/>
      </c>
      <c r="F489" s="9" t="n"/>
      <c r="G489" s="4" t="n"/>
      <c r="H489" s="10">
        <f>IF(OR(F489="",G489=""),"",IFERROR(F489*VLOOKUP(G489,'Units'!$A$2:$D$13,4,FALSE),""))</f>
        <v/>
      </c>
      <c r="I489" s="5">
        <f>IF(D489="","",IFERROR(VLOOKUP(D489,'Items'!$A$2:$L$201,4,FALSE),""))</f>
        <v/>
      </c>
      <c r="J489" s="10">
        <f>IF(D489="","",IFERROR(VLOOKUP(D489,'Items'!$A$2:$L$201,10,FALSE),""))</f>
        <v/>
      </c>
      <c r="K489" s="10">
        <f>IF(OR(H489="",J489=""),"",H489*J489)</f>
        <v/>
      </c>
      <c r="L489" s="5">
        <f>IF(AND(B489="",D489=""),"",IF(B489="","Missing product",IF(D489="","Missing item",IF(C489="Product not found","Product not found",IF(E489="Item not found","Item not found",IF(OR(F489="",G489=""),"Missing quantity/unit",IF(IFERROR(VLOOKUP(G489,'Units'!$A$2:$D$13,3,FALSE),"")&lt;&gt;I489,"Unit mismatch",IF(J489="","Enter item cost","OK"))))))))</f>
        <v/>
      </c>
      <c r="M489" s="4" t="n"/>
    </row>
    <row r="490">
      <c r="A490" s="5">
        <f>IF(AND(B490="",D490=""),"",ROW()-1)</f>
        <v/>
      </c>
      <c r="B490" s="4" t="n"/>
      <c r="C490" s="5">
        <f>IF(B490="","",IFERROR(VLOOKUP(B490,'Products'!$A$2:$F$201,2,FALSE),"Product not found"))</f>
        <v/>
      </c>
      <c r="D490" s="4" t="n"/>
      <c r="E490" s="5">
        <f>IF(D490="","",IFERROR(VLOOKUP(D490,'Items'!$A$2:$L$201,2,FALSE),"Item not found"))</f>
        <v/>
      </c>
      <c r="F490" s="9" t="n"/>
      <c r="G490" s="4" t="n"/>
      <c r="H490" s="10">
        <f>IF(OR(F490="",G490=""),"",IFERROR(F490*VLOOKUP(G490,'Units'!$A$2:$D$13,4,FALSE),""))</f>
        <v/>
      </c>
      <c r="I490" s="5">
        <f>IF(D490="","",IFERROR(VLOOKUP(D490,'Items'!$A$2:$L$201,4,FALSE),""))</f>
        <v/>
      </c>
      <c r="J490" s="10">
        <f>IF(D490="","",IFERROR(VLOOKUP(D490,'Items'!$A$2:$L$201,10,FALSE),""))</f>
        <v/>
      </c>
      <c r="K490" s="10">
        <f>IF(OR(H490="",J490=""),"",H490*J490)</f>
        <v/>
      </c>
      <c r="L490" s="5">
        <f>IF(AND(B490="",D490=""),"",IF(B490="","Missing product",IF(D490="","Missing item",IF(C490="Product not found","Product not found",IF(E490="Item not found","Item not found",IF(OR(F490="",G490=""),"Missing quantity/unit",IF(IFERROR(VLOOKUP(G490,'Units'!$A$2:$D$13,3,FALSE),"")&lt;&gt;I490,"Unit mismatch",IF(J490="","Enter item cost","OK"))))))))</f>
        <v/>
      </c>
      <c r="M490" s="4" t="n"/>
    </row>
    <row r="491">
      <c r="A491" s="5">
        <f>IF(AND(B491="",D491=""),"",ROW()-1)</f>
        <v/>
      </c>
      <c r="B491" s="4" t="n"/>
      <c r="C491" s="5">
        <f>IF(B491="","",IFERROR(VLOOKUP(B491,'Products'!$A$2:$F$201,2,FALSE),"Product not found"))</f>
        <v/>
      </c>
      <c r="D491" s="4" t="n"/>
      <c r="E491" s="5">
        <f>IF(D491="","",IFERROR(VLOOKUP(D491,'Items'!$A$2:$L$201,2,FALSE),"Item not found"))</f>
        <v/>
      </c>
      <c r="F491" s="9" t="n"/>
      <c r="G491" s="4" t="n"/>
      <c r="H491" s="10">
        <f>IF(OR(F491="",G491=""),"",IFERROR(F491*VLOOKUP(G491,'Units'!$A$2:$D$13,4,FALSE),""))</f>
        <v/>
      </c>
      <c r="I491" s="5">
        <f>IF(D491="","",IFERROR(VLOOKUP(D491,'Items'!$A$2:$L$201,4,FALSE),""))</f>
        <v/>
      </c>
      <c r="J491" s="10">
        <f>IF(D491="","",IFERROR(VLOOKUP(D491,'Items'!$A$2:$L$201,10,FALSE),""))</f>
        <v/>
      </c>
      <c r="K491" s="10">
        <f>IF(OR(H491="",J491=""),"",H491*J491)</f>
        <v/>
      </c>
      <c r="L491" s="5">
        <f>IF(AND(B491="",D491=""),"",IF(B491="","Missing product",IF(D491="","Missing item",IF(C491="Product not found","Product not found",IF(E491="Item not found","Item not found",IF(OR(F491="",G491=""),"Missing quantity/unit",IF(IFERROR(VLOOKUP(G491,'Units'!$A$2:$D$13,3,FALSE),"")&lt;&gt;I491,"Unit mismatch",IF(J491="","Enter item cost","OK"))))))))</f>
        <v/>
      </c>
      <c r="M491" s="4" t="n"/>
    </row>
    <row r="492">
      <c r="A492" s="5">
        <f>IF(AND(B492="",D492=""),"",ROW()-1)</f>
        <v/>
      </c>
      <c r="B492" s="4" t="n"/>
      <c r="C492" s="5">
        <f>IF(B492="","",IFERROR(VLOOKUP(B492,'Products'!$A$2:$F$201,2,FALSE),"Product not found"))</f>
        <v/>
      </c>
      <c r="D492" s="4" t="n"/>
      <c r="E492" s="5">
        <f>IF(D492="","",IFERROR(VLOOKUP(D492,'Items'!$A$2:$L$201,2,FALSE),"Item not found"))</f>
        <v/>
      </c>
      <c r="F492" s="9" t="n"/>
      <c r="G492" s="4" t="n"/>
      <c r="H492" s="10">
        <f>IF(OR(F492="",G492=""),"",IFERROR(F492*VLOOKUP(G492,'Units'!$A$2:$D$13,4,FALSE),""))</f>
        <v/>
      </c>
      <c r="I492" s="5">
        <f>IF(D492="","",IFERROR(VLOOKUP(D492,'Items'!$A$2:$L$201,4,FALSE),""))</f>
        <v/>
      </c>
      <c r="J492" s="10">
        <f>IF(D492="","",IFERROR(VLOOKUP(D492,'Items'!$A$2:$L$201,10,FALSE),""))</f>
        <v/>
      </c>
      <c r="K492" s="10">
        <f>IF(OR(H492="",J492=""),"",H492*J492)</f>
        <v/>
      </c>
      <c r="L492" s="5">
        <f>IF(AND(B492="",D492=""),"",IF(B492="","Missing product",IF(D492="","Missing item",IF(C492="Product not found","Product not found",IF(E492="Item not found","Item not found",IF(OR(F492="",G492=""),"Missing quantity/unit",IF(IFERROR(VLOOKUP(G492,'Units'!$A$2:$D$13,3,FALSE),"")&lt;&gt;I492,"Unit mismatch",IF(J492="","Enter item cost","OK"))))))))</f>
        <v/>
      </c>
      <c r="M492" s="4" t="n"/>
    </row>
    <row r="493">
      <c r="A493" s="5">
        <f>IF(AND(B493="",D493=""),"",ROW()-1)</f>
        <v/>
      </c>
      <c r="B493" s="4" t="n"/>
      <c r="C493" s="5">
        <f>IF(B493="","",IFERROR(VLOOKUP(B493,'Products'!$A$2:$F$201,2,FALSE),"Product not found"))</f>
        <v/>
      </c>
      <c r="D493" s="4" t="n"/>
      <c r="E493" s="5">
        <f>IF(D493="","",IFERROR(VLOOKUP(D493,'Items'!$A$2:$L$201,2,FALSE),"Item not found"))</f>
        <v/>
      </c>
      <c r="F493" s="9" t="n"/>
      <c r="G493" s="4" t="n"/>
      <c r="H493" s="10">
        <f>IF(OR(F493="",G493=""),"",IFERROR(F493*VLOOKUP(G493,'Units'!$A$2:$D$13,4,FALSE),""))</f>
        <v/>
      </c>
      <c r="I493" s="5">
        <f>IF(D493="","",IFERROR(VLOOKUP(D493,'Items'!$A$2:$L$201,4,FALSE),""))</f>
        <v/>
      </c>
      <c r="J493" s="10">
        <f>IF(D493="","",IFERROR(VLOOKUP(D493,'Items'!$A$2:$L$201,10,FALSE),""))</f>
        <v/>
      </c>
      <c r="K493" s="10">
        <f>IF(OR(H493="",J493=""),"",H493*J493)</f>
        <v/>
      </c>
      <c r="L493" s="5">
        <f>IF(AND(B493="",D493=""),"",IF(B493="","Missing product",IF(D493="","Missing item",IF(C493="Product not found","Product not found",IF(E493="Item not found","Item not found",IF(OR(F493="",G493=""),"Missing quantity/unit",IF(IFERROR(VLOOKUP(G493,'Units'!$A$2:$D$13,3,FALSE),"")&lt;&gt;I493,"Unit mismatch",IF(J493="","Enter item cost","OK"))))))))</f>
        <v/>
      </c>
      <c r="M493" s="4" t="n"/>
    </row>
    <row r="494">
      <c r="A494" s="5">
        <f>IF(AND(B494="",D494=""),"",ROW()-1)</f>
        <v/>
      </c>
      <c r="B494" s="4" t="n"/>
      <c r="C494" s="5">
        <f>IF(B494="","",IFERROR(VLOOKUP(B494,'Products'!$A$2:$F$201,2,FALSE),"Product not found"))</f>
        <v/>
      </c>
      <c r="D494" s="4" t="n"/>
      <c r="E494" s="5">
        <f>IF(D494="","",IFERROR(VLOOKUP(D494,'Items'!$A$2:$L$201,2,FALSE),"Item not found"))</f>
        <v/>
      </c>
      <c r="F494" s="9" t="n"/>
      <c r="G494" s="4" t="n"/>
      <c r="H494" s="10">
        <f>IF(OR(F494="",G494=""),"",IFERROR(F494*VLOOKUP(G494,'Units'!$A$2:$D$13,4,FALSE),""))</f>
        <v/>
      </c>
      <c r="I494" s="5">
        <f>IF(D494="","",IFERROR(VLOOKUP(D494,'Items'!$A$2:$L$201,4,FALSE),""))</f>
        <v/>
      </c>
      <c r="J494" s="10">
        <f>IF(D494="","",IFERROR(VLOOKUP(D494,'Items'!$A$2:$L$201,10,FALSE),""))</f>
        <v/>
      </c>
      <c r="K494" s="10">
        <f>IF(OR(H494="",J494=""),"",H494*J494)</f>
        <v/>
      </c>
      <c r="L494" s="5">
        <f>IF(AND(B494="",D494=""),"",IF(B494="","Missing product",IF(D494="","Missing item",IF(C494="Product not found","Product not found",IF(E494="Item not found","Item not found",IF(OR(F494="",G494=""),"Missing quantity/unit",IF(IFERROR(VLOOKUP(G494,'Units'!$A$2:$D$13,3,FALSE),"")&lt;&gt;I494,"Unit mismatch",IF(J494="","Enter item cost","OK"))))))))</f>
        <v/>
      </c>
      <c r="M494" s="4" t="n"/>
    </row>
    <row r="495">
      <c r="A495" s="5">
        <f>IF(AND(B495="",D495=""),"",ROW()-1)</f>
        <v/>
      </c>
      <c r="B495" s="4" t="n"/>
      <c r="C495" s="5">
        <f>IF(B495="","",IFERROR(VLOOKUP(B495,'Products'!$A$2:$F$201,2,FALSE),"Product not found"))</f>
        <v/>
      </c>
      <c r="D495" s="4" t="n"/>
      <c r="E495" s="5">
        <f>IF(D495="","",IFERROR(VLOOKUP(D495,'Items'!$A$2:$L$201,2,FALSE),"Item not found"))</f>
        <v/>
      </c>
      <c r="F495" s="9" t="n"/>
      <c r="G495" s="4" t="n"/>
      <c r="H495" s="10">
        <f>IF(OR(F495="",G495=""),"",IFERROR(F495*VLOOKUP(G495,'Units'!$A$2:$D$13,4,FALSE),""))</f>
        <v/>
      </c>
      <c r="I495" s="5">
        <f>IF(D495="","",IFERROR(VLOOKUP(D495,'Items'!$A$2:$L$201,4,FALSE),""))</f>
        <v/>
      </c>
      <c r="J495" s="10">
        <f>IF(D495="","",IFERROR(VLOOKUP(D495,'Items'!$A$2:$L$201,10,FALSE),""))</f>
        <v/>
      </c>
      <c r="K495" s="10">
        <f>IF(OR(H495="",J495=""),"",H495*J495)</f>
        <v/>
      </c>
      <c r="L495" s="5">
        <f>IF(AND(B495="",D495=""),"",IF(B495="","Missing product",IF(D495="","Missing item",IF(C495="Product not found","Product not found",IF(E495="Item not found","Item not found",IF(OR(F495="",G495=""),"Missing quantity/unit",IF(IFERROR(VLOOKUP(G495,'Units'!$A$2:$D$13,3,FALSE),"")&lt;&gt;I495,"Unit mismatch",IF(J495="","Enter item cost","OK"))))))))</f>
        <v/>
      </c>
      <c r="M495" s="4" t="n"/>
    </row>
    <row r="496">
      <c r="A496" s="5">
        <f>IF(AND(B496="",D496=""),"",ROW()-1)</f>
        <v/>
      </c>
      <c r="B496" s="4" t="n"/>
      <c r="C496" s="5">
        <f>IF(B496="","",IFERROR(VLOOKUP(B496,'Products'!$A$2:$F$201,2,FALSE),"Product not found"))</f>
        <v/>
      </c>
      <c r="D496" s="4" t="n"/>
      <c r="E496" s="5">
        <f>IF(D496="","",IFERROR(VLOOKUP(D496,'Items'!$A$2:$L$201,2,FALSE),"Item not found"))</f>
        <v/>
      </c>
      <c r="F496" s="9" t="n"/>
      <c r="G496" s="4" t="n"/>
      <c r="H496" s="10">
        <f>IF(OR(F496="",G496=""),"",IFERROR(F496*VLOOKUP(G496,'Units'!$A$2:$D$13,4,FALSE),""))</f>
        <v/>
      </c>
      <c r="I496" s="5">
        <f>IF(D496="","",IFERROR(VLOOKUP(D496,'Items'!$A$2:$L$201,4,FALSE),""))</f>
        <v/>
      </c>
      <c r="J496" s="10">
        <f>IF(D496="","",IFERROR(VLOOKUP(D496,'Items'!$A$2:$L$201,10,FALSE),""))</f>
        <v/>
      </c>
      <c r="K496" s="10">
        <f>IF(OR(H496="",J496=""),"",H496*J496)</f>
        <v/>
      </c>
      <c r="L496" s="5">
        <f>IF(AND(B496="",D496=""),"",IF(B496="","Missing product",IF(D496="","Missing item",IF(C496="Product not found","Product not found",IF(E496="Item not found","Item not found",IF(OR(F496="",G496=""),"Missing quantity/unit",IF(IFERROR(VLOOKUP(G496,'Units'!$A$2:$D$13,3,FALSE),"")&lt;&gt;I496,"Unit mismatch",IF(J496="","Enter item cost","OK"))))))))</f>
        <v/>
      </c>
      <c r="M496" s="4" t="n"/>
    </row>
    <row r="497">
      <c r="A497" s="5">
        <f>IF(AND(B497="",D497=""),"",ROW()-1)</f>
        <v/>
      </c>
      <c r="B497" s="4" t="n"/>
      <c r="C497" s="5">
        <f>IF(B497="","",IFERROR(VLOOKUP(B497,'Products'!$A$2:$F$201,2,FALSE),"Product not found"))</f>
        <v/>
      </c>
      <c r="D497" s="4" t="n"/>
      <c r="E497" s="5">
        <f>IF(D497="","",IFERROR(VLOOKUP(D497,'Items'!$A$2:$L$201,2,FALSE),"Item not found"))</f>
        <v/>
      </c>
      <c r="F497" s="9" t="n"/>
      <c r="G497" s="4" t="n"/>
      <c r="H497" s="10">
        <f>IF(OR(F497="",G497=""),"",IFERROR(F497*VLOOKUP(G497,'Units'!$A$2:$D$13,4,FALSE),""))</f>
        <v/>
      </c>
      <c r="I497" s="5">
        <f>IF(D497="","",IFERROR(VLOOKUP(D497,'Items'!$A$2:$L$201,4,FALSE),""))</f>
        <v/>
      </c>
      <c r="J497" s="10">
        <f>IF(D497="","",IFERROR(VLOOKUP(D497,'Items'!$A$2:$L$201,10,FALSE),""))</f>
        <v/>
      </c>
      <c r="K497" s="10">
        <f>IF(OR(H497="",J497=""),"",H497*J497)</f>
        <v/>
      </c>
      <c r="L497" s="5">
        <f>IF(AND(B497="",D497=""),"",IF(B497="","Missing product",IF(D497="","Missing item",IF(C497="Product not found","Product not found",IF(E497="Item not found","Item not found",IF(OR(F497="",G497=""),"Missing quantity/unit",IF(IFERROR(VLOOKUP(G497,'Units'!$A$2:$D$13,3,FALSE),"")&lt;&gt;I497,"Unit mismatch",IF(J497="","Enter item cost","OK"))))))))</f>
        <v/>
      </c>
      <c r="M497" s="4" t="n"/>
    </row>
    <row r="498">
      <c r="A498" s="5">
        <f>IF(AND(B498="",D498=""),"",ROW()-1)</f>
        <v/>
      </c>
      <c r="B498" s="4" t="n"/>
      <c r="C498" s="5">
        <f>IF(B498="","",IFERROR(VLOOKUP(B498,'Products'!$A$2:$F$201,2,FALSE),"Product not found"))</f>
        <v/>
      </c>
      <c r="D498" s="4" t="n"/>
      <c r="E498" s="5">
        <f>IF(D498="","",IFERROR(VLOOKUP(D498,'Items'!$A$2:$L$201,2,FALSE),"Item not found"))</f>
        <v/>
      </c>
      <c r="F498" s="9" t="n"/>
      <c r="G498" s="4" t="n"/>
      <c r="H498" s="10">
        <f>IF(OR(F498="",G498=""),"",IFERROR(F498*VLOOKUP(G498,'Units'!$A$2:$D$13,4,FALSE),""))</f>
        <v/>
      </c>
      <c r="I498" s="5">
        <f>IF(D498="","",IFERROR(VLOOKUP(D498,'Items'!$A$2:$L$201,4,FALSE),""))</f>
        <v/>
      </c>
      <c r="J498" s="10">
        <f>IF(D498="","",IFERROR(VLOOKUP(D498,'Items'!$A$2:$L$201,10,FALSE),""))</f>
        <v/>
      </c>
      <c r="K498" s="10">
        <f>IF(OR(H498="",J498=""),"",H498*J498)</f>
        <v/>
      </c>
      <c r="L498" s="5">
        <f>IF(AND(B498="",D498=""),"",IF(B498="","Missing product",IF(D498="","Missing item",IF(C498="Product not found","Product not found",IF(E498="Item not found","Item not found",IF(OR(F498="",G498=""),"Missing quantity/unit",IF(IFERROR(VLOOKUP(G498,'Units'!$A$2:$D$13,3,FALSE),"")&lt;&gt;I498,"Unit mismatch",IF(J498="","Enter item cost","OK"))))))))</f>
        <v/>
      </c>
      <c r="M498" s="4" t="n"/>
    </row>
    <row r="499">
      <c r="A499" s="5">
        <f>IF(AND(B499="",D499=""),"",ROW()-1)</f>
        <v/>
      </c>
      <c r="B499" s="4" t="n"/>
      <c r="C499" s="5">
        <f>IF(B499="","",IFERROR(VLOOKUP(B499,'Products'!$A$2:$F$201,2,FALSE),"Product not found"))</f>
        <v/>
      </c>
      <c r="D499" s="4" t="n"/>
      <c r="E499" s="5">
        <f>IF(D499="","",IFERROR(VLOOKUP(D499,'Items'!$A$2:$L$201,2,FALSE),"Item not found"))</f>
        <v/>
      </c>
      <c r="F499" s="9" t="n"/>
      <c r="G499" s="4" t="n"/>
      <c r="H499" s="10">
        <f>IF(OR(F499="",G499=""),"",IFERROR(F499*VLOOKUP(G499,'Units'!$A$2:$D$13,4,FALSE),""))</f>
        <v/>
      </c>
      <c r="I499" s="5">
        <f>IF(D499="","",IFERROR(VLOOKUP(D499,'Items'!$A$2:$L$201,4,FALSE),""))</f>
        <v/>
      </c>
      <c r="J499" s="10">
        <f>IF(D499="","",IFERROR(VLOOKUP(D499,'Items'!$A$2:$L$201,10,FALSE),""))</f>
        <v/>
      </c>
      <c r="K499" s="10">
        <f>IF(OR(H499="",J499=""),"",H499*J499)</f>
        <v/>
      </c>
      <c r="L499" s="5">
        <f>IF(AND(B499="",D499=""),"",IF(B499="","Missing product",IF(D499="","Missing item",IF(C499="Product not found","Product not found",IF(E499="Item not found","Item not found",IF(OR(F499="",G499=""),"Missing quantity/unit",IF(IFERROR(VLOOKUP(G499,'Units'!$A$2:$D$13,3,FALSE),"")&lt;&gt;I499,"Unit mismatch",IF(J499="","Enter item cost","OK"))))))))</f>
        <v/>
      </c>
      <c r="M499" s="4" t="n"/>
    </row>
    <row r="500">
      <c r="A500" s="5">
        <f>IF(AND(B500="",D500=""),"",ROW()-1)</f>
        <v/>
      </c>
      <c r="B500" s="4" t="n"/>
      <c r="C500" s="5">
        <f>IF(B500="","",IFERROR(VLOOKUP(B500,'Products'!$A$2:$F$201,2,FALSE),"Product not found"))</f>
        <v/>
      </c>
      <c r="D500" s="4" t="n"/>
      <c r="E500" s="5">
        <f>IF(D500="","",IFERROR(VLOOKUP(D500,'Items'!$A$2:$L$201,2,FALSE),"Item not found"))</f>
        <v/>
      </c>
      <c r="F500" s="9" t="n"/>
      <c r="G500" s="4" t="n"/>
      <c r="H500" s="10">
        <f>IF(OR(F500="",G500=""),"",IFERROR(F500*VLOOKUP(G500,'Units'!$A$2:$D$13,4,FALSE),""))</f>
        <v/>
      </c>
      <c r="I500" s="5">
        <f>IF(D500="","",IFERROR(VLOOKUP(D500,'Items'!$A$2:$L$201,4,FALSE),""))</f>
        <v/>
      </c>
      <c r="J500" s="10">
        <f>IF(D500="","",IFERROR(VLOOKUP(D500,'Items'!$A$2:$L$201,10,FALSE),""))</f>
        <v/>
      </c>
      <c r="K500" s="10">
        <f>IF(OR(H500="",J500=""),"",H500*J500)</f>
        <v/>
      </c>
      <c r="L500" s="5">
        <f>IF(AND(B500="",D500=""),"",IF(B500="","Missing product",IF(D500="","Missing item",IF(C500="Product not found","Product not found",IF(E500="Item not found","Item not found",IF(OR(F500="",G500=""),"Missing quantity/unit",IF(IFERROR(VLOOKUP(G500,'Units'!$A$2:$D$13,3,FALSE),"")&lt;&gt;I500,"Unit mismatch",IF(J500="","Enter item cost","OK"))))))))</f>
        <v/>
      </c>
      <c r="M500" s="4" t="n"/>
    </row>
    <row r="501">
      <c r="A501" s="5">
        <f>IF(AND(B501="",D501=""),"",ROW()-1)</f>
        <v/>
      </c>
      <c r="B501" s="4" t="n"/>
      <c r="C501" s="5">
        <f>IF(B501="","",IFERROR(VLOOKUP(B501,'Products'!$A$2:$F$201,2,FALSE),"Product not found"))</f>
        <v/>
      </c>
      <c r="D501" s="4" t="n"/>
      <c r="E501" s="5">
        <f>IF(D501="","",IFERROR(VLOOKUP(D501,'Items'!$A$2:$L$201,2,FALSE),"Item not found"))</f>
        <v/>
      </c>
      <c r="F501" s="9" t="n"/>
      <c r="G501" s="4" t="n"/>
      <c r="H501" s="10">
        <f>IF(OR(F501="",G501=""),"",IFERROR(F501*VLOOKUP(G501,'Units'!$A$2:$D$13,4,FALSE),""))</f>
        <v/>
      </c>
      <c r="I501" s="5">
        <f>IF(D501="","",IFERROR(VLOOKUP(D501,'Items'!$A$2:$L$201,4,FALSE),""))</f>
        <v/>
      </c>
      <c r="J501" s="10">
        <f>IF(D501="","",IFERROR(VLOOKUP(D501,'Items'!$A$2:$L$201,10,FALSE),""))</f>
        <v/>
      </c>
      <c r="K501" s="10">
        <f>IF(OR(H501="",J501=""),"",H501*J501)</f>
        <v/>
      </c>
      <c r="L501" s="5">
        <f>IF(AND(B501="",D501=""),"",IF(B501="","Missing product",IF(D501="","Missing item",IF(C501="Product not found","Product not found",IF(E501="Item not found","Item not found",IF(OR(F501="",G501=""),"Missing quantity/unit",IF(IFERROR(VLOOKUP(G501,'Units'!$A$2:$D$13,3,FALSE),"")&lt;&gt;I501,"Unit mismatch",IF(J501="","Enter item cost","OK"))))))))</f>
        <v/>
      </c>
      <c r="M501" s="4" t="n"/>
    </row>
    <row r="502">
      <c r="A502" s="5">
        <f>IF(AND(B502="",D502=""),"",ROW()-1)</f>
        <v/>
      </c>
      <c r="B502" s="4" t="n"/>
      <c r="C502" s="5">
        <f>IF(B502="","",IFERROR(VLOOKUP(B502,'Products'!$A$2:$F$201,2,FALSE),"Product not found"))</f>
        <v/>
      </c>
      <c r="D502" s="4" t="n"/>
      <c r="E502" s="5">
        <f>IF(D502="","",IFERROR(VLOOKUP(D502,'Items'!$A$2:$L$201,2,FALSE),"Item not found"))</f>
        <v/>
      </c>
      <c r="F502" s="9" t="n"/>
      <c r="G502" s="4" t="n"/>
      <c r="H502" s="10">
        <f>IF(OR(F502="",G502=""),"",IFERROR(F502*VLOOKUP(G502,'Units'!$A$2:$D$13,4,FALSE),""))</f>
        <v/>
      </c>
      <c r="I502" s="5">
        <f>IF(D502="","",IFERROR(VLOOKUP(D502,'Items'!$A$2:$L$201,4,FALSE),""))</f>
        <v/>
      </c>
      <c r="J502" s="10">
        <f>IF(D502="","",IFERROR(VLOOKUP(D502,'Items'!$A$2:$L$201,10,FALSE),""))</f>
        <v/>
      </c>
      <c r="K502" s="10">
        <f>IF(OR(H502="",J502=""),"",H502*J502)</f>
        <v/>
      </c>
      <c r="L502" s="5">
        <f>IF(AND(B502="",D502=""),"",IF(B502="","Missing product",IF(D502="","Missing item",IF(C502="Product not found","Product not found",IF(E502="Item not found","Item not found",IF(OR(F502="",G502=""),"Missing quantity/unit",IF(IFERROR(VLOOKUP(G502,'Units'!$A$2:$D$13,3,FALSE),"")&lt;&gt;I502,"Unit mismatch",IF(J502="","Enter item cost","OK"))))))))</f>
        <v/>
      </c>
      <c r="M502" s="4" t="n"/>
    </row>
    <row r="503">
      <c r="A503" s="5">
        <f>IF(AND(B503="",D503=""),"",ROW()-1)</f>
        <v/>
      </c>
      <c r="B503" s="4" t="n"/>
      <c r="C503" s="5">
        <f>IF(B503="","",IFERROR(VLOOKUP(B503,'Products'!$A$2:$F$201,2,FALSE),"Product not found"))</f>
        <v/>
      </c>
      <c r="D503" s="4" t="n"/>
      <c r="E503" s="5">
        <f>IF(D503="","",IFERROR(VLOOKUP(D503,'Items'!$A$2:$L$201,2,FALSE),"Item not found"))</f>
        <v/>
      </c>
      <c r="F503" s="9" t="n"/>
      <c r="G503" s="4" t="n"/>
      <c r="H503" s="10">
        <f>IF(OR(F503="",G503=""),"",IFERROR(F503*VLOOKUP(G503,'Units'!$A$2:$D$13,4,FALSE),""))</f>
        <v/>
      </c>
      <c r="I503" s="5">
        <f>IF(D503="","",IFERROR(VLOOKUP(D503,'Items'!$A$2:$L$201,4,FALSE),""))</f>
        <v/>
      </c>
      <c r="J503" s="10">
        <f>IF(D503="","",IFERROR(VLOOKUP(D503,'Items'!$A$2:$L$201,10,FALSE),""))</f>
        <v/>
      </c>
      <c r="K503" s="10">
        <f>IF(OR(H503="",J503=""),"",H503*J503)</f>
        <v/>
      </c>
      <c r="L503" s="5">
        <f>IF(AND(B503="",D503=""),"",IF(B503="","Missing product",IF(D503="","Missing item",IF(C503="Product not found","Product not found",IF(E503="Item not found","Item not found",IF(OR(F503="",G503=""),"Missing quantity/unit",IF(IFERROR(VLOOKUP(G503,'Units'!$A$2:$D$13,3,FALSE),"")&lt;&gt;I503,"Unit mismatch",IF(J503="","Enter item cost","OK"))))))))</f>
        <v/>
      </c>
      <c r="M503" s="4" t="n"/>
    </row>
    <row r="504">
      <c r="A504" s="5">
        <f>IF(AND(B504="",D504=""),"",ROW()-1)</f>
        <v/>
      </c>
      <c r="B504" s="4" t="n"/>
      <c r="C504" s="5">
        <f>IF(B504="","",IFERROR(VLOOKUP(B504,'Products'!$A$2:$F$201,2,FALSE),"Product not found"))</f>
        <v/>
      </c>
      <c r="D504" s="4" t="n"/>
      <c r="E504" s="5">
        <f>IF(D504="","",IFERROR(VLOOKUP(D504,'Items'!$A$2:$L$201,2,FALSE),"Item not found"))</f>
        <v/>
      </c>
      <c r="F504" s="9" t="n"/>
      <c r="G504" s="4" t="n"/>
      <c r="H504" s="10">
        <f>IF(OR(F504="",G504=""),"",IFERROR(F504*VLOOKUP(G504,'Units'!$A$2:$D$13,4,FALSE),""))</f>
        <v/>
      </c>
      <c r="I504" s="5">
        <f>IF(D504="","",IFERROR(VLOOKUP(D504,'Items'!$A$2:$L$201,4,FALSE),""))</f>
        <v/>
      </c>
      <c r="J504" s="10">
        <f>IF(D504="","",IFERROR(VLOOKUP(D504,'Items'!$A$2:$L$201,10,FALSE),""))</f>
        <v/>
      </c>
      <c r="K504" s="10">
        <f>IF(OR(H504="",J504=""),"",H504*J504)</f>
        <v/>
      </c>
      <c r="L504" s="5">
        <f>IF(AND(B504="",D504=""),"",IF(B504="","Missing product",IF(D504="","Missing item",IF(C504="Product not found","Product not found",IF(E504="Item not found","Item not found",IF(OR(F504="",G504=""),"Missing quantity/unit",IF(IFERROR(VLOOKUP(G504,'Units'!$A$2:$D$13,3,FALSE),"")&lt;&gt;I504,"Unit mismatch",IF(J504="","Enter item cost","OK"))))))))</f>
        <v/>
      </c>
      <c r="M504" s="4" t="n"/>
    </row>
    <row r="505">
      <c r="A505" s="5">
        <f>IF(AND(B505="",D505=""),"",ROW()-1)</f>
        <v/>
      </c>
      <c r="B505" s="4" t="n"/>
      <c r="C505" s="5">
        <f>IF(B505="","",IFERROR(VLOOKUP(B505,'Products'!$A$2:$F$201,2,FALSE),"Product not found"))</f>
        <v/>
      </c>
      <c r="D505" s="4" t="n"/>
      <c r="E505" s="5">
        <f>IF(D505="","",IFERROR(VLOOKUP(D505,'Items'!$A$2:$L$201,2,FALSE),"Item not found"))</f>
        <v/>
      </c>
      <c r="F505" s="9" t="n"/>
      <c r="G505" s="4" t="n"/>
      <c r="H505" s="10">
        <f>IF(OR(F505="",G505=""),"",IFERROR(F505*VLOOKUP(G505,'Units'!$A$2:$D$13,4,FALSE),""))</f>
        <v/>
      </c>
      <c r="I505" s="5">
        <f>IF(D505="","",IFERROR(VLOOKUP(D505,'Items'!$A$2:$L$201,4,FALSE),""))</f>
        <v/>
      </c>
      <c r="J505" s="10">
        <f>IF(D505="","",IFERROR(VLOOKUP(D505,'Items'!$A$2:$L$201,10,FALSE),""))</f>
        <v/>
      </c>
      <c r="K505" s="10">
        <f>IF(OR(H505="",J505=""),"",H505*J505)</f>
        <v/>
      </c>
      <c r="L505" s="5">
        <f>IF(AND(B505="",D505=""),"",IF(B505="","Missing product",IF(D505="","Missing item",IF(C505="Product not found","Product not found",IF(E505="Item not found","Item not found",IF(OR(F505="",G505=""),"Missing quantity/unit",IF(IFERROR(VLOOKUP(G505,'Units'!$A$2:$D$13,3,FALSE),"")&lt;&gt;I505,"Unit mismatch",IF(J505="","Enter item cost","OK"))))))))</f>
        <v/>
      </c>
      <c r="M505" s="4" t="n"/>
    </row>
    <row r="506">
      <c r="A506" s="5">
        <f>IF(AND(B506="",D506=""),"",ROW()-1)</f>
        <v/>
      </c>
      <c r="B506" s="4" t="n"/>
      <c r="C506" s="5">
        <f>IF(B506="","",IFERROR(VLOOKUP(B506,'Products'!$A$2:$F$201,2,FALSE),"Product not found"))</f>
        <v/>
      </c>
      <c r="D506" s="4" t="n"/>
      <c r="E506" s="5">
        <f>IF(D506="","",IFERROR(VLOOKUP(D506,'Items'!$A$2:$L$201,2,FALSE),"Item not found"))</f>
        <v/>
      </c>
      <c r="F506" s="9" t="n"/>
      <c r="G506" s="4" t="n"/>
      <c r="H506" s="10">
        <f>IF(OR(F506="",G506=""),"",IFERROR(F506*VLOOKUP(G506,'Units'!$A$2:$D$13,4,FALSE),""))</f>
        <v/>
      </c>
      <c r="I506" s="5">
        <f>IF(D506="","",IFERROR(VLOOKUP(D506,'Items'!$A$2:$L$201,4,FALSE),""))</f>
        <v/>
      </c>
      <c r="J506" s="10">
        <f>IF(D506="","",IFERROR(VLOOKUP(D506,'Items'!$A$2:$L$201,10,FALSE),""))</f>
        <v/>
      </c>
      <c r="K506" s="10">
        <f>IF(OR(H506="",J506=""),"",H506*J506)</f>
        <v/>
      </c>
      <c r="L506" s="5">
        <f>IF(AND(B506="",D506=""),"",IF(B506="","Missing product",IF(D506="","Missing item",IF(C506="Product not found","Product not found",IF(E506="Item not found","Item not found",IF(OR(F506="",G506=""),"Missing quantity/unit",IF(IFERROR(VLOOKUP(G506,'Units'!$A$2:$D$13,3,FALSE),"")&lt;&gt;I506,"Unit mismatch",IF(J506="","Enter item cost","OK"))))))))</f>
        <v/>
      </c>
      <c r="M506" s="4" t="n"/>
    </row>
    <row r="507">
      <c r="A507" s="5">
        <f>IF(AND(B507="",D507=""),"",ROW()-1)</f>
        <v/>
      </c>
      <c r="B507" s="4" t="n"/>
      <c r="C507" s="5">
        <f>IF(B507="","",IFERROR(VLOOKUP(B507,'Products'!$A$2:$F$201,2,FALSE),"Product not found"))</f>
        <v/>
      </c>
      <c r="D507" s="4" t="n"/>
      <c r="E507" s="5">
        <f>IF(D507="","",IFERROR(VLOOKUP(D507,'Items'!$A$2:$L$201,2,FALSE),"Item not found"))</f>
        <v/>
      </c>
      <c r="F507" s="9" t="n"/>
      <c r="G507" s="4" t="n"/>
      <c r="H507" s="10">
        <f>IF(OR(F507="",G507=""),"",IFERROR(F507*VLOOKUP(G507,'Units'!$A$2:$D$13,4,FALSE),""))</f>
        <v/>
      </c>
      <c r="I507" s="5">
        <f>IF(D507="","",IFERROR(VLOOKUP(D507,'Items'!$A$2:$L$201,4,FALSE),""))</f>
        <v/>
      </c>
      <c r="J507" s="10">
        <f>IF(D507="","",IFERROR(VLOOKUP(D507,'Items'!$A$2:$L$201,10,FALSE),""))</f>
        <v/>
      </c>
      <c r="K507" s="10">
        <f>IF(OR(H507="",J507=""),"",H507*J507)</f>
        <v/>
      </c>
      <c r="L507" s="5">
        <f>IF(AND(B507="",D507=""),"",IF(B507="","Missing product",IF(D507="","Missing item",IF(C507="Product not found","Product not found",IF(E507="Item not found","Item not found",IF(OR(F507="",G507=""),"Missing quantity/unit",IF(IFERROR(VLOOKUP(G507,'Units'!$A$2:$D$13,3,FALSE),"")&lt;&gt;I507,"Unit mismatch",IF(J507="","Enter item cost","OK"))))))))</f>
        <v/>
      </c>
      <c r="M507" s="4" t="n"/>
    </row>
    <row r="508">
      <c r="A508" s="5">
        <f>IF(AND(B508="",D508=""),"",ROW()-1)</f>
        <v/>
      </c>
      <c r="B508" s="4" t="n"/>
      <c r="C508" s="5">
        <f>IF(B508="","",IFERROR(VLOOKUP(B508,'Products'!$A$2:$F$201,2,FALSE),"Product not found"))</f>
        <v/>
      </c>
      <c r="D508" s="4" t="n"/>
      <c r="E508" s="5">
        <f>IF(D508="","",IFERROR(VLOOKUP(D508,'Items'!$A$2:$L$201,2,FALSE),"Item not found"))</f>
        <v/>
      </c>
      <c r="F508" s="9" t="n"/>
      <c r="G508" s="4" t="n"/>
      <c r="H508" s="10">
        <f>IF(OR(F508="",G508=""),"",IFERROR(F508*VLOOKUP(G508,'Units'!$A$2:$D$13,4,FALSE),""))</f>
        <v/>
      </c>
      <c r="I508" s="5">
        <f>IF(D508="","",IFERROR(VLOOKUP(D508,'Items'!$A$2:$L$201,4,FALSE),""))</f>
        <v/>
      </c>
      <c r="J508" s="10">
        <f>IF(D508="","",IFERROR(VLOOKUP(D508,'Items'!$A$2:$L$201,10,FALSE),""))</f>
        <v/>
      </c>
      <c r="K508" s="10">
        <f>IF(OR(H508="",J508=""),"",H508*J508)</f>
        <v/>
      </c>
      <c r="L508" s="5">
        <f>IF(AND(B508="",D508=""),"",IF(B508="","Missing product",IF(D508="","Missing item",IF(C508="Product not found","Product not found",IF(E508="Item not found","Item not found",IF(OR(F508="",G508=""),"Missing quantity/unit",IF(IFERROR(VLOOKUP(G508,'Units'!$A$2:$D$13,3,FALSE),"")&lt;&gt;I508,"Unit mismatch",IF(J508="","Enter item cost","OK"))))))))</f>
        <v/>
      </c>
      <c r="M508" s="4" t="n"/>
    </row>
    <row r="509">
      <c r="A509" s="5">
        <f>IF(AND(B509="",D509=""),"",ROW()-1)</f>
        <v/>
      </c>
      <c r="B509" s="4" t="n"/>
      <c r="C509" s="5">
        <f>IF(B509="","",IFERROR(VLOOKUP(B509,'Products'!$A$2:$F$201,2,FALSE),"Product not found"))</f>
        <v/>
      </c>
      <c r="D509" s="4" t="n"/>
      <c r="E509" s="5">
        <f>IF(D509="","",IFERROR(VLOOKUP(D509,'Items'!$A$2:$L$201,2,FALSE),"Item not found"))</f>
        <v/>
      </c>
      <c r="F509" s="9" t="n"/>
      <c r="G509" s="4" t="n"/>
      <c r="H509" s="10">
        <f>IF(OR(F509="",G509=""),"",IFERROR(F509*VLOOKUP(G509,'Units'!$A$2:$D$13,4,FALSE),""))</f>
        <v/>
      </c>
      <c r="I509" s="5">
        <f>IF(D509="","",IFERROR(VLOOKUP(D509,'Items'!$A$2:$L$201,4,FALSE),""))</f>
        <v/>
      </c>
      <c r="J509" s="10">
        <f>IF(D509="","",IFERROR(VLOOKUP(D509,'Items'!$A$2:$L$201,10,FALSE),""))</f>
        <v/>
      </c>
      <c r="K509" s="10">
        <f>IF(OR(H509="",J509=""),"",H509*J509)</f>
        <v/>
      </c>
      <c r="L509" s="5">
        <f>IF(AND(B509="",D509=""),"",IF(B509="","Missing product",IF(D509="","Missing item",IF(C509="Product not found","Product not found",IF(E509="Item not found","Item not found",IF(OR(F509="",G509=""),"Missing quantity/unit",IF(IFERROR(VLOOKUP(G509,'Units'!$A$2:$D$13,3,FALSE),"")&lt;&gt;I509,"Unit mismatch",IF(J509="","Enter item cost","OK"))))))))</f>
        <v/>
      </c>
      <c r="M509" s="4" t="n"/>
    </row>
    <row r="510">
      <c r="A510" s="5">
        <f>IF(AND(B510="",D510=""),"",ROW()-1)</f>
        <v/>
      </c>
      <c r="B510" s="4" t="n"/>
      <c r="C510" s="5">
        <f>IF(B510="","",IFERROR(VLOOKUP(B510,'Products'!$A$2:$F$201,2,FALSE),"Product not found"))</f>
        <v/>
      </c>
      <c r="D510" s="4" t="n"/>
      <c r="E510" s="5">
        <f>IF(D510="","",IFERROR(VLOOKUP(D510,'Items'!$A$2:$L$201,2,FALSE),"Item not found"))</f>
        <v/>
      </c>
      <c r="F510" s="9" t="n"/>
      <c r="G510" s="4" t="n"/>
      <c r="H510" s="10">
        <f>IF(OR(F510="",G510=""),"",IFERROR(F510*VLOOKUP(G510,'Units'!$A$2:$D$13,4,FALSE),""))</f>
        <v/>
      </c>
      <c r="I510" s="5">
        <f>IF(D510="","",IFERROR(VLOOKUP(D510,'Items'!$A$2:$L$201,4,FALSE),""))</f>
        <v/>
      </c>
      <c r="J510" s="10">
        <f>IF(D510="","",IFERROR(VLOOKUP(D510,'Items'!$A$2:$L$201,10,FALSE),""))</f>
        <v/>
      </c>
      <c r="K510" s="10">
        <f>IF(OR(H510="",J510=""),"",H510*J510)</f>
        <v/>
      </c>
      <c r="L510" s="5">
        <f>IF(AND(B510="",D510=""),"",IF(B510="","Missing product",IF(D510="","Missing item",IF(C510="Product not found","Product not found",IF(E510="Item not found","Item not found",IF(OR(F510="",G510=""),"Missing quantity/unit",IF(IFERROR(VLOOKUP(G510,'Units'!$A$2:$D$13,3,FALSE),"")&lt;&gt;I510,"Unit mismatch",IF(J510="","Enter item cost","OK"))))))))</f>
        <v/>
      </c>
      <c r="M510" s="4" t="n"/>
    </row>
    <row r="511">
      <c r="A511" s="5">
        <f>IF(AND(B511="",D511=""),"",ROW()-1)</f>
        <v/>
      </c>
      <c r="B511" s="4" t="n"/>
      <c r="C511" s="5">
        <f>IF(B511="","",IFERROR(VLOOKUP(B511,'Products'!$A$2:$F$201,2,FALSE),"Product not found"))</f>
        <v/>
      </c>
      <c r="D511" s="4" t="n"/>
      <c r="E511" s="5">
        <f>IF(D511="","",IFERROR(VLOOKUP(D511,'Items'!$A$2:$L$201,2,FALSE),"Item not found"))</f>
        <v/>
      </c>
      <c r="F511" s="9" t="n"/>
      <c r="G511" s="4" t="n"/>
      <c r="H511" s="10">
        <f>IF(OR(F511="",G511=""),"",IFERROR(F511*VLOOKUP(G511,'Units'!$A$2:$D$13,4,FALSE),""))</f>
        <v/>
      </c>
      <c r="I511" s="5">
        <f>IF(D511="","",IFERROR(VLOOKUP(D511,'Items'!$A$2:$L$201,4,FALSE),""))</f>
        <v/>
      </c>
      <c r="J511" s="10">
        <f>IF(D511="","",IFERROR(VLOOKUP(D511,'Items'!$A$2:$L$201,10,FALSE),""))</f>
        <v/>
      </c>
      <c r="K511" s="10">
        <f>IF(OR(H511="",J511=""),"",H511*J511)</f>
        <v/>
      </c>
      <c r="L511" s="5">
        <f>IF(AND(B511="",D511=""),"",IF(B511="","Missing product",IF(D511="","Missing item",IF(C511="Product not found","Product not found",IF(E511="Item not found","Item not found",IF(OR(F511="",G511=""),"Missing quantity/unit",IF(IFERROR(VLOOKUP(G511,'Units'!$A$2:$D$13,3,FALSE),"")&lt;&gt;I511,"Unit mismatch",IF(J511="","Enter item cost","OK"))))))))</f>
        <v/>
      </c>
      <c r="M511" s="4" t="n"/>
    </row>
    <row r="512">
      <c r="A512" s="5">
        <f>IF(AND(B512="",D512=""),"",ROW()-1)</f>
        <v/>
      </c>
      <c r="B512" s="4" t="n"/>
      <c r="C512" s="5">
        <f>IF(B512="","",IFERROR(VLOOKUP(B512,'Products'!$A$2:$F$201,2,FALSE),"Product not found"))</f>
        <v/>
      </c>
      <c r="D512" s="4" t="n"/>
      <c r="E512" s="5">
        <f>IF(D512="","",IFERROR(VLOOKUP(D512,'Items'!$A$2:$L$201,2,FALSE),"Item not found"))</f>
        <v/>
      </c>
      <c r="F512" s="9" t="n"/>
      <c r="G512" s="4" t="n"/>
      <c r="H512" s="10">
        <f>IF(OR(F512="",G512=""),"",IFERROR(F512*VLOOKUP(G512,'Units'!$A$2:$D$13,4,FALSE),""))</f>
        <v/>
      </c>
      <c r="I512" s="5">
        <f>IF(D512="","",IFERROR(VLOOKUP(D512,'Items'!$A$2:$L$201,4,FALSE),""))</f>
        <v/>
      </c>
      <c r="J512" s="10">
        <f>IF(D512="","",IFERROR(VLOOKUP(D512,'Items'!$A$2:$L$201,10,FALSE),""))</f>
        <v/>
      </c>
      <c r="K512" s="10">
        <f>IF(OR(H512="",J512=""),"",H512*J512)</f>
        <v/>
      </c>
      <c r="L512" s="5">
        <f>IF(AND(B512="",D512=""),"",IF(B512="","Missing product",IF(D512="","Missing item",IF(C512="Product not found","Product not found",IF(E512="Item not found","Item not found",IF(OR(F512="",G512=""),"Missing quantity/unit",IF(IFERROR(VLOOKUP(G512,'Units'!$A$2:$D$13,3,FALSE),"")&lt;&gt;I512,"Unit mismatch",IF(J512="","Enter item cost","OK"))))))))</f>
        <v/>
      </c>
      <c r="M512" s="4" t="n"/>
    </row>
    <row r="513">
      <c r="A513" s="5">
        <f>IF(AND(B513="",D513=""),"",ROW()-1)</f>
        <v/>
      </c>
      <c r="B513" s="4" t="n"/>
      <c r="C513" s="5">
        <f>IF(B513="","",IFERROR(VLOOKUP(B513,'Products'!$A$2:$F$201,2,FALSE),"Product not found"))</f>
        <v/>
      </c>
      <c r="D513" s="4" t="n"/>
      <c r="E513" s="5">
        <f>IF(D513="","",IFERROR(VLOOKUP(D513,'Items'!$A$2:$L$201,2,FALSE),"Item not found"))</f>
        <v/>
      </c>
      <c r="F513" s="9" t="n"/>
      <c r="G513" s="4" t="n"/>
      <c r="H513" s="10">
        <f>IF(OR(F513="",G513=""),"",IFERROR(F513*VLOOKUP(G513,'Units'!$A$2:$D$13,4,FALSE),""))</f>
        <v/>
      </c>
      <c r="I513" s="5">
        <f>IF(D513="","",IFERROR(VLOOKUP(D513,'Items'!$A$2:$L$201,4,FALSE),""))</f>
        <v/>
      </c>
      <c r="J513" s="10">
        <f>IF(D513="","",IFERROR(VLOOKUP(D513,'Items'!$A$2:$L$201,10,FALSE),""))</f>
        <v/>
      </c>
      <c r="K513" s="10">
        <f>IF(OR(H513="",J513=""),"",H513*J513)</f>
        <v/>
      </c>
      <c r="L513" s="5">
        <f>IF(AND(B513="",D513=""),"",IF(B513="","Missing product",IF(D513="","Missing item",IF(C513="Product not found","Product not found",IF(E513="Item not found","Item not found",IF(OR(F513="",G513=""),"Missing quantity/unit",IF(IFERROR(VLOOKUP(G513,'Units'!$A$2:$D$13,3,FALSE),"")&lt;&gt;I513,"Unit mismatch",IF(J513="","Enter item cost","OK"))))))))</f>
        <v/>
      </c>
      <c r="M513" s="4" t="n"/>
    </row>
    <row r="514">
      <c r="A514" s="5">
        <f>IF(AND(B514="",D514=""),"",ROW()-1)</f>
        <v/>
      </c>
      <c r="B514" s="4" t="n"/>
      <c r="C514" s="5">
        <f>IF(B514="","",IFERROR(VLOOKUP(B514,'Products'!$A$2:$F$201,2,FALSE),"Product not found"))</f>
        <v/>
      </c>
      <c r="D514" s="4" t="n"/>
      <c r="E514" s="5">
        <f>IF(D514="","",IFERROR(VLOOKUP(D514,'Items'!$A$2:$L$201,2,FALSE),"Item not found"))</f>
        <v/>
      </c>
      <c r="F514" s="9" t="n"/>
      <c r="G514" s="4" t="n"/>
      <c r="H514" s="10">
        <f>IF(OR(F514="",G514=""),"",IFERROR(F514*VLOOKUP(G514,'Units'!$A$2:$D$13,4,FALSE),""))</f>
        <v/>
      </c>
      <c r="I514" s="5">
        <f>IF(D514="","",IFERROR(VLOOKUP(D514,'Items'!$A$2:$L$201,4,FALSE),""))</f>
        <v/>
      </c>
      <c r="J514" s="10">
        <f>IF(D514="","",IFERROR(VLOOKUP(D514,'Items'!$A$2:$L$201,10,FALSE),""))</f>
        <v/>
      </c>
      <c r="K514" s="10">
        <f>IF(OR(H514="",J514=""),"",H514*J514)</f>
        <v/>
      </c>
      <c r="L514" s="5">
        <f>IF(AND(B514="",D514=""),"",IF(B514="","Missing product",IF(D514="","Missing item",IF(C514="Product not found","Product not found",IF(E514="Item not found","Item not found",IF(OR(F514="",G514=""),"Missing quantity/unit",IF(IFERROR(VLOOKUP(G514,'Units'!$A$2:$D$13,3,FALSE),"")&lt;&gt;I514,"Unit mismatch",IF(J514="","Enter item cost","OK"))))))))</f>
        <v/>
      </c>
      <c r="M514" s="4" t="n"/>
    </row>
    <row r="515">
      <c r="A515" s="5">
        <f>IF(AND(B515="",D515=""),"",ROW()-1)</f>
        <v/>
      </c>
      <c r="B515" s="4" t="n"/>
      <c r="C515" s="5">
        <f>IF(B515="","",IFERROR(VLOOKUP(B515,'Products'!$A$2:$F$201,2,FALSE),"Product not found"))</f>
        <v/>
      </c>
      <c r="D515" s="4" t="n"/>
      <c r="E515" s="5">
        <f>IF(D515="","",IFERROR(VLOOKUP(D515,'Items'!$A$2:$L$201,2,FALSE),"Item not found"))</f>
        <v/>
      </c>
      <c r="F515" s="9" t="n"/>
      <c r="G515" s="4" t="n"/>
      <c r="H515" s="10">
        <f>IF(OR(F515="",G515=""),"",IFERROR(F515*VLOOKUP(G515,'Units'!$A$2:$D$13,4,FALSE),""))</f>
        <v/>
      </c>
      <c r="I515" s="5">
        <f>IF(D515="","",IFERROR(VLOOKUP(D515,'Items'!$A$2:$L$201,4,FALSE),""))</f>
        <v/>
      </c>
      <c r="J515" s="10">
        <f>IF(D515="","",IFERROR(VLOOKUP(D515,'Items'!$A$2:$L$201,10,FALSE),""))</f>
        <v/>
      </c>
      <c r="K515" s="10">
        <f>IF(OR(H515="",J515=""),"",H515*J515)</f>
        <v/>
      </c>
      <c r="L515" s="5">
        <f>IF(AND(B515="",D515=""),"",IF(B515="","Missing product",IF(D515="","Missing item",IF(C515="Product not found","Product not found",IF(E515="Item not found","Item not found",IF(OR(F515="",G515=""),"Missing quantity/unit",IF(IFERROR(VLOOKUP(G515,'Units'!$A$2:$D$13,3,FALSE),"")&lt;&gt;I515,"Unit mismatch",IF(J515="","Enter item cost","OK"))))))))</f>
        <v/>
      </c>
      <c r="M515" s="4" t="n"/>
    </row>
    <row r="516">
      <c r="A516" s="5">
        <f>IF(AND(B516="",D516=""),"",ROW()-1)</f>
        <v/>
      </c>
      <c r="B516" s="4" t="n"/>
      <c r="C516" s="5">
        <f>IF(B516="","",IFERROR(VLOOKUP(B516,'Products'!$A$2:$F$201,2,FALSE),"Product not found"))</f>
        <v/>
      </c>
      <c r="D516" s="4" t="n"/>
      <c r="E516" s="5">
        <f>IF(D516="","",IFERROR(VLOOKUP(D516,'Items'!$A$2:$L$201,2,FALSE),"Item not found"))</f>
        <v/>
      </c>
      <c r="F516" s="9" t="n"/>
      <c r="G516" s="4" t="n"/>
      <c r="H516" s="10">
        <f>IF(OR(F516="",G516=""),"",IFERROR(F516*VLOOKUP(G516,'Units'!$A$2:$D$13,4,FALSE),""))</f>
        <v/>
      </c>
      <c r="I516" s="5">
        <f>IF(D516="","",IFERROR(VLOOKUP(D516,'Items'!$A$2:$L$201,4,FALSE),""))</f>
        <v/>
      </c>
      <c r="J516" s="10">
        <f>IF(D516="","",IFERROR(VLOOKUP(D516,'Items'!$A$2:$L$201,10,FALSE),""))</f>
        <v/>
      </c>
      <c r="K516" s="10">
        <f>IF(OR(H516="",J516=""),"",H516*J516)</f>
        <v/>
      </c>
      <c r="L516" s="5">
        <f>IF(AND(B516="",D516=""),"",IF(B516="","Missing product",IF(D516="","Missing item",IF(C516="Product not found","Product not found",IF(E516="Item not found","Item not found",IF(OR(F516="",G516=""),"Missing quantity/unit",IF(IFERROR(VLOOKUP(G516,'Units'!$A$2:$D$13,3,FALSE),"")&lt;&gt;I516,"Unit mismatch",IF(J516="","Enter item cost","OK"))))))))</f>
        <v/>
      </c>
      <c r="M516" s="4" t="n"/>
    </row>
    <row r="517">
      <c r="A517" s="5">
        <f>IF(AND(B517="",D517=""),"",ROW()-1)</f>
        <v/>
      </c>
      <c r="B517" s="4" t="n"/>
      <c r="C517" s="5">
        <f>IF(B517="","",IFERROR(VLOOKUP(B517,'Products'!$A$2:$F$201,2,FALSE),"Product not found"))</f>
        <v/>
      </c>
      <c r="D517" s="4" t="n"/>
      <c r="E517" s="5">
        <f>IF(D517="","",IFERROR(VLOOKUP(D517,'Items'!$A$2:$L$201,2,FALSE),"Item not found"))</f>
        <v/>
      </c>
      <c r="F517" s="9" t="n"/>
      <c r="G517" s="4" t="n"/>
      <c r="H517" s="10">
        <f>IF(OR(F517="",G517=""),"",IFERROR(F517*VLOOKUP(G517,'Units'!$A$2:$D$13,4,FALSE),""))</f>
        <v/>
      </c>
      <c r="I517" s="5">
        <f>IF(D517="","",IFERROR(VLOOKUP(D517,'Items'!$A$2:$L$201,4,FALSE),""))</f>
        <v/>
      </c>
      <c r="J517" s="10">
        <f>IF(D517="","",IFERROR(VLOOKUP(D517,'Items'!$A$2:$L$201,10,FALSE),""))</f>
        <v/>
      </c>
      <c r="K517" s="10">
        <f>IF(OR(H517="",J517=""),"",H517*J517)</f>
        <v/>
      </c>
      <c r="L517" s="5">
        <f>IF(AND(B517="",D517=""),"",IF(B517="","Missing product",IF(D517="","Missing item",IF(C517="Product not found","Product not found",IF(E517="Item not found","Item not found",IF(OR(F517="",G517=""),"Missing quantity/unit",IF(IFERROR(VLOOKUP(G517,'Units'!$A$2:$D$13,3,FALSE),"")&lt;&gt;I517,"Unit mismatch",IF(J517="","Enter item cost","OK"))))))))</f>
        <v/>
      </c>
      <c r="M517" s="4" t="n"/>
    </row>
    <row r="518">
      <c r="A518" s="5">
        <f>IF(AND(B518="",D518=""),"",ROW()-1)</f>
        <v/>
      </c>
      <c r="B518" s="4" t="n"/>
      <c r="C518" s="5">
        <f>IF(B518="","",IFERROR(VLOOKUP(B518,'Products'!$A$2:$F$201,2,FALSE),"Product not found"))</f>
        <v/>
      </c>
      <c r="D518" s="4" t="n"/>
      <c r="E518" s="5">
        <f>IF(D518="","",IFERROR(VLOOKUP(D518,'Items'!$A$2:$L$201,2,FALSE),"Item not found"))</f>
        <v/>
      </c>
      <c r="F518" s="9" t="n"/>
      <c r="G518" s="4" t="n"/>
      <c r="H518" s="10">
        <f>IF(OR(F518="",G518=""),"",IFERROR(F518*VLOOKUP(G518,'Units'!$A$2:$D$13,4,FALSE),""))</f>
        <v/>
      </c>
      <c r="I518" s="5">
        <f>IF(D518="","",IFERROR(VLOOKUP(D518,'Items'!$A$2:$L$201,4,FALSE),""))</f>
        <v/>
      </c>
      <c r="J518" s="10">
        <f>IF(D518="","",IFERROR(VLOOKUP(D518,'Items'!$A$2:$L$201,10,FALSE),""))</f>
        <v/>
      </c>
      <c r="K518" s="10">
        <f>IF(OR(H518="",J518=""),"",H518*J518)</f>
        <v/>
      </c>
      <c r="L518" s="5">
        <f>IF(AND(B518="",D518=""),"",IF(B518="","Missing product",IF(D518="","Missing item",IF(C518="Product not found","Product not found",IF(E518="Item not found","Item not found",IF(OR(F518="",G518=""),"Missing quantity/unit",IF(IFERROR(VLOOKUP(G518,'Units'!$A$2:$D$13,3,FALSE),"")&lt;&gt;I518,"Unit mismatch",IF(J518="","Enter item cost","OK"))))))))</f>
        <v/>
      </c>
      <c r="M518" s="4" t="n"/>
    </row>
    <row r="519">
      <c r="A519" s="5">
        <f>IF(AND(B519="",D519=""),"",ROW()-1)</f>
        <v/>
      </c>
      <c r="B519" s="4" t="n"/>
      <c r="C519" s="5">
        <f>IF(B519="","",IFERROR(VLOOKUP(B519,'Products'!$A$2:$F$201,2,FALSE),"Product not found"))</f>
        <v/>
      </c>
      <c r="D519" s="4" t="n"/>
      <c r="E519" s="5">
        <f>IF(D519="","",IFERROR(VLOOKUP(D519,'Items'!$A$2:$L$201,2,FALSE),"Item not found"))</f>
        <v/>
      </c>
      <c r="F519" s="9" t="n"/>
      <c r="G519" s="4" t="n"/>
      <c r="H519" s="10">
        <f>IF(OR(F519="",G519=""),"",IFERROR(F519*VLOOKUP(G519,'Units'!$A$2:$D$13,4,FALSE),""))</f>
        <v/>
      </c>
      <c r="I519" s="5">
        <f>IF(D519="","",IFERROR(VLOOKUP(D519,'Items'!$A$2:$L$201,4,FALSE),""))</f>
        <v/>
      </c>
      <c r="J519" s="10">
        <f>IF(D519="","",IFERROR(VLOOKUP(D519,'Items'!$A$2:$L$201,10,FALSE),""))</f>
        <v/>
      </c>
      <c r="K519" s="10">
        <f>IF(OR(H519="",J519=""),"",H519*J519)</f>
        <v/>
      </c>
      <c r="L519" s="5">
        <f>IF(AND(B519="",D519=""),"",IF(B519="","Missing product",IF(D519="","Missing item",IF(C519="Product not found","Product not found",IF(E519="Item not found","Item not found",IF(OR(F519="",G519=""),"Missing quantity/unit",IF(IFERROR(VLOOKUP(G519,'Units'!$A$2:$D$13,3,FALSE),"")&lt;&gt;I519,"Unit mismatch",IF(J519="","Enter item cost","OK"))))))))</f>
        <v/>
      </c>
      <c r="M519" s="4" t="n"/>
    </row>
    <row r="520">
      <c r="A520" s="5">
        <f>IF(AND(B520="",D520=""),"",ROW()-1)</f>
        <v/>
      </c>
      <c r="B520" s="4" t="n"/>
      <c r="C520" s="5">
        <f>IF(B520="","",IFERROR(VLOOKUP(B520,'Products'!$A$2:$F$201,2,FALSE),"Product not found"))</f>
        <v/>
      </c>
      <c r="D520" s="4" t="n"/>
      <c r="E520" s="5">
        <f>IF(D520="","",IFERROR(VLOOKUP(D520,'Items'!$A$2:$L$201,2,FALSE),"Item not found"))</f>
        <v/>
      </c>
      <c r="F520" s="9" t="n"/>
      <c r="G520" s="4" t="n"/>
      <c r="H520" s="10">
        <f>IF(OR(F520="",G520=""),"",IFERROR(F520*VLOOKUP(G520,'Units'!$A$2:$D$13,4,FALSE),""))</f>
        <v/>
      </c>
      <c r="I520" s="5">
        <f>IF(D520="","",IFERROR(VLOOKUP(D520,'Items'!$A$2:$L$201,4,FALSE),""))</f>
        <v/>
      </c>
      <c r="J520" s="10">
        <f>IF(D520="","",IFERROR(VLOOKUP(D520,'Items'!$A$2:$L$201,10,FALSE),""))</f>
        <v/>
      </c>
      <c r="K520" s="10">
        <f>IF(OR(H520="",J520=""),"",H520*J520)</f>
        <v/>
      </c>
      <c r="L520" s="5">
        <f>IF(AND(B520="",D520=""),"",IF(B520="","Missing product",IF(D520="","Missing item",IF(C520="Product not found","Product not found",IF(E520="Item not found","Item not found",IF(OR(F520="",G520=""),"Missing quantity/unit",IF(IFERROR(VLOOKUP(G520,'Units'!$A$2:$D$13,3,FALSE),"")&lt;&gt;I520,"Unit mismatch",IF(J520="","Enter item cost","OK"))))))))</f>
        <v/>
      </c>
      <c r="M520" s="4" t="n"/>
    </row>
    <row r="521">
      <c r="A521" s="5">
        <f>IF(AND(B521="",D521=""),"",ROW()-1)</f>
        <v/>
      </c>
      <c r="B521" s="4" t="n"/>
      <c r="C521" s="5">
        <f>IF(B521="","",IFERROR(VLOOKUP(B521,'Products'!$A$2:$F$201,2,FALSE),"Product not found"))</f>
        <v/>
      </c>
      <c r="D521" s="4" t="n"/>
      <c r="E521" s="5">
        <f>IF(D521="","",IFERROR(VLOOKUP(D521,'Items'!$A$2:$L$201,2,FALSE),"Item not found"))</f>
        <v/>
      </c>
      <c r="F521" s="9" t="n"/>
      <c r="G521" s="4" t="n"/>
      <c r="H521" s="10">
        <f>IF(OR(F521="",G521=""),"",IFERROR(F521*VLOOKUP(G521,'Units'!$A$2:$D$13,4,FALSE),""))</f>
        <v/>
      </c>
      <c r="I521" s="5">
        <f>IF(D521="","",IFERROR(VLOOKUP(D521,'Items'!$A$2:$L$201,4,FALSE),""))</f>
        <v/>
      </c>
      <c r="J521" s="10">
        <f>IF(D521="","",IFERROR(VLOOKUP(D521,'Items'!$A$2:$L$201,10,FALSE),""))</f>
        <v/>
      </c>
      <c r="K521" s="10">
        <f>IF(OR(H521="",J521=""),"",H521*J521)</f>
        <v/>
      </c>
      <c r="L521" s="5">
        <f>IF(AND(B521="",D521=""),"",IF(B521="","Missing product",IF(D521="","Missing item",IF(C521="Product not found","Product not found",IF(E521="Item not found","Item not found",IF(OR(F521="",G521=""),"Missing quantity/unit",IF(IFERROR(VLOOKUP(G521,'Units'!$A$2:$D$13,3,FALSE),"")&lt;&gt;I521,"Unit mismatch",IF(J521="","Enter item cost","OK"))))))))</f>
        <v/>
      </c>
      <c r="M521" s="4" t="n"/>
    </row>
    <row r="522">
      <c r="A522" s="5">
        <f>IF(AND(B522="",D522=""),"",ROW()-1)</f>
        <v/>
      </c>
      <c r="B522" s="4" t="n"/>
      <c r="C522" s="5">
        <f>IF(B522="","",IFERROR(VLOOKUP(B522,'Products'!$A$2:$F$201,2,FALSE),"Product not found"))</f>
        <v/>
      </c>
      <c r="D522" s="4" t="n"/>
      <c r="E522" s="5">
        <f>IF(D522="","",IFERROR(VLOOKUP(D522,'Items'!$A$2:$L$201,2,FALSE),"Item not found"))</f>
        <v/>
      </c>
      <c r="F522" s="9" t="n"/>
      <c r="G522" s="4" t="n"/>
      <c r="H522" s="10">
        <f>IF(OR(F522="",G522=""),"",IFERROR(F522*VLOOKUP(G522,'Units'!$A$2:$D$13,4,FALSE),""))</f>
        <v/>
      </c>
      <c r="I522" s="5">
        <f>IF(D522="","",IFERROR(VLOOKUP(D522,'Items'!$A$2:$L$201,4,FALSE),""))</f>
        <v/>
      </c>
      <c r="J522" s="10">
        <f>IF(D522="","",IFERROR(VLOOKUP(D522,'Items'!$A$2:$L$201,10,FALSE),""))</f>
        <v/>
      </c>
      <c r="K522" s="10">
        <f>IF(OR(H522="",J522=""),"",H522*J522)</f>
        <v/>
      </c>
      <c r="L522" s="5">
        <f>IF(AND(B522="",D522=""),"",IF(B522="","Missing product",IF(D522="","Missing item",IF(C522="Product not found","Product not found",IF(E522="Item not found","Item not found",IF(OR(F522="",G522=""),"Missing quantity/unit",IF(IFERROR(VLOOKUP(G522,'Units'!$A$2:$D$13,3,FALSE),"")&lt;&gt;I522,"Unit mismatch",IF(J522="","Enter item cost","OK"))))))))</f>
        <v/>
      </c>
      <c r="M522" s="4" t="n"/>
    </row>
    <row r="523">
      <c r="A523" s="5">
        <f>IF(AND(B523="",D523=""),"",ROW()-1)</f>
        <v/>
      </c>
      <c r="B523" s="4" t="n"/>
      <c r="C523" s="5">
        <f>IF(B523="","",IFERROR(VLOOKUP(B523,'Products'!$A$2:$F$201,2,FALSE),"Product not found"))</f>
        <v/>
      </c>
      <c r="D523" s="4" t="n"/>
      <c r="E523" s="5">
        <f>IF(D523="","",IFERROR(VLOOKUP(D523,'Items'!$A$2:$L$201,2,FALSE),"Item not found"))</f>
        <v/>
      </c>
      <c r="F523" s="9" t="n"/>
      <c r="G523" s="4" t="n"/>
      <c r="H523" s="10">
        <f>IF(OR(F523="",G523=""),"",IFERROR(F523*VLOOKUP(G523,'Units'!$A$2:$D$13,4,FALSE),""))</f>
        <v/>
      </c>
      <c r="I523" s="5">
        <f>IF(D523="","",IFERROR(VLOOKUP(D523,'Items'!$A$2:$L$201,4,FALSE),""))</f>
        <v/>
      </c>
      <c r="J523" s="10">
        <f>IF(D523="","",IFERROR(VLOOKUP(D523,'Items'!$A$2:$L$201,10,FALSE),""))</f>
        <v/>
      </c>
      <c r="K523" s="10">
        <f>IF(OR(H523="",J523=""),"",H523*J523)</f>
        <v/>
      </c>
      <c r="L523" s="5">
        <f>IF(AND(B523="",D523=""),"",IF(B523="","Missing product",IF(D523="","Missing item",IF(C523="Product not found","Product not found",IF(E523="Item not found","Item not found",IF(OR(F523="",G523=""),"Missing quantity/unit",IF(IFERROR(VLOOKUP(G523,'Units'!$A$2:$D$13,3,FALSE),"")&lt;&gt;I523,"Unit mismatch",IF(J523="","Enter item cost","OK"))))))))</f>
        <v/>
      </c>
      <c r="M523" s="4" t="n"/>
    </row>
    <row r="524">
      <c r="A524" s="5">
        <f>IF(AND(B524="",D524=""),"",ROW()-1)</f>
        <v/>
      </c>
      <c r="B524" s="4" t="n"/>
      <c r="C524" s="5">
        <f>IF(B524="","",IFERROR(VLOOKUP(B524,'Products'!$A$2:$F$201,2,FALSE),"Product not found"))</f>
        <v/>
      </c>
      <c r="D524" s="4" t="n"/>
      <c r="E524" s="5">
        <f>IF(D524="","",IFERROR(VLOOKUP(D524,'Items'!$A$2:$L$201,2,FALSE),"Item not found"))</f>
        <v/>
      </c>
      <c r="F524" s="9" t="n"/>
      <c r="G524" s="4" t="n"/>
      <c r="H524" s="10">
        <f>IF(OR(F524="",G524=""),"",IFERROR(F524*VLOOKUP(G524,'Units'!$A$2:$D$13,4,FALSE),""))</f>
        <v/>
      </c>
      <c r="I524" s="5">
        <f>IF(D524="","",IFERROR(VLOOKUP(D524,'Items'!$A$2:$L$201,4,FALSE),""))</f>
        <v/>
      </c>
      <c r="J524" s="10">
        <f>IF(D524="","",IFERROR(VLOOKUP(D524,'Items'!$A$2:$L$201,10,FALSE),""))</f>
        <v/>
      </c>
      <c r="K524" s="10">
        <f>IF(OR(H524="",J524=""),"",H524*J524)</f>
        <v/>
      </c>
      <c r="L524" s="5">
        <f>IF(AND(B524="",D524=""),"",IF(B524="","Missing product",IF(D524="","Missing item",IF(C524="Product not found","Product not found",IF(E524="Item not found","Item not found",IF(OR(F524="",G524=""),"Missing quantity/unit",IF(IFERROR(VLOOKUP(G524,'Units'!$A$2:$D$13,3,FALSE),"")&lt;&gt;I524,"Unit mismatch",IF(J524="","Enter item cost","OK"))))))))</f>
        <v/>
      </c>
      <c r="M524" s="4" t="n"/>
    </row>
    <row r="525">
      <c r="A525" s="5">
        <f>IF(AND(B525="",D525=""),"",ROW()-1)</f>
        <v/>
      </c>
      <c r="B525" s="4" t="n"/>
      <c r="C525" s="5">
        <f>IF(B525="","",IFERROR(VLOOKUP(B525,'Products'!$A$2:$F$201,2,FALSE),"Product not found"))</f>
        <v/>
      </c>
      <c r="D525" s="4" t="n"/>
      <c r="E525" s="5">
        <f>IF(D525="","",IFERROR(VLOOKUP(D525,'Items'!$A$2:$L$201,2,FALSE),"Item not found"))</f>
        <v/>
      </c>
      <c r="F525" s="9" t="n"/>
      <c r="G525" s="4" t="n"/>
      <c r="H525" s="10">
        <f>IF(OR(F525="",G525=""),"",IFERROR(F525*VLOOKUP(G525,'Units'!$A$2:$D$13,4,FALSE),""))</f>
        <v/>
      </c>
      <c r="I525" s="5">
        <f>IF(D525="","",IFERROR(VLOOKUP(D525,'Items'!$A$2:$L$201,4,FALSE),""))</f>
        <v/>
      </c>
      <c r="J525" s="10">
        <f>IF(D525="","",IFERROR(VLOOKUP(D525,'Items'!$A$2:$L$201,10,FALSE),""))</f>
        <v/>
      </c>
      <c r="K525" s="10">
        <f>IF(OR(H525="",J525=""),"",H525*J525)</f>
        <v/>
      </c>
      <c r="L525" s="5">
        <f>IF(AND(B525="",D525=""),"",IF(B525="","Missing product",IF(D525="","Missing item",IF(C525="Product not found","Product not found",IF(E525="Item not found","Item not found",IF(OR(F525="",G525=""),"Missing quantity/unit",IF(IFERROR(VLOOKUP(G525,'Units'!$A$2:$D$13,3,FALSE),"")&lt;&gt;I525,"Unit mismatch",IF(J525="","Enter item cost","OK"))))))))</f>
        <v/>
      </c>
      <c r="M525" s="4" t="n"/>
    </row>
    <row r="526">
      <c r="A526" s="5">
        <f>IF(AND(B526="",D526=""),"",ROW()-1)</f>
        <v/>
      </c>
      <c r="B526" s="4" t="n"/>
      <c r="C526" s="5">
        <f>IF(B526="","",IFERROR(VLOOKUP(B526,'Products'!$A$2:$F$201,2,FALSE),"Product not found"))</f>
        <v/>
      </c>
      <c r="D526" s="4" t="n"/>
      <c r="E526" s="5">
        <f>IF(D526="","",IFERROR(VLOOKUP(D526,'Items'!$A$2:$L$201,2,FALSE),"Item not found"))</f>
        <v/>
      </c>
      <c r="F526" s="9" t="n"/>
      <c r="G526" s="4" t="n"/>
      <c r="H526" s="10">
        <f>IF(OR(F526="",G526=""),"",IFERROR(F526*VLOOKUP(G526,'Units'!$A$2:$D$13,4,FALSE),""))</f>
        <v/>
      </c>
      <c r="I526" s="5">
        <f>IF(D526="","",IFERROR(VLOOKUP(D526,'Items'!$A$2:$L$201,4,FALSE),""))</f>
        <v/>
      </c>
      <c r="J526" s="10">
        <f>IF(D526="","",IFERROR(VLOOKUP(D526,'Items'!$A$2:$L$201,10,FALSE),""))</f>
        <v/>
      </c>
      <c r="K526" s="10">
        <f>IF(OR(H526="",J526=""),"",H526*J526)</f>
        <v/>
      </c>
      <c r="L526" s="5">
        <f>IF(AND(B526="",D526=""),"",IF(B526="","Missing product",IF(D526="","Missing item",IF(C526="Product not found","Product not found",IF(E526="Item not found","Item not found",IF(OR(F526="",G526=""),"Missing quantity/unit",IF(IFERROR(VLOOKUP(G526,'Units'!$A$2:$D$13,3,FALSE),"")&lt;&gt;I526,"Unit mismatch",IF(J526="","Enter item cost","OK"))))))))</f>
        <v/>
      </c>
      <c r="M526" s="4" t="n"/>
    </row>
    <row r="527">
      <c r="A527" s="5">
        <f>IF(AND(B527="",D527=""),"",ROW()-1)</f>
        <v/>
      </c>
      <c r="B527" s="4" t="n"/>
      <c r="C527" s="5">
        <f>IF(B527="","",IFERROR(VLOOKUP(B527,'Products'!$A$2:$F$201,2,FALSE),"Product not found"))</f>
        <v/>
      </c>
      <c r="D527" s="4" t="n"/>
      <c r="E527" s="5">
        <f>IF(D527="","",IFERROR(VLOOKUP(D527,'Items'!$A$2:$L$201,2,FALSE),"Item not found"))</f>
        <v/>
      </c>
      <c r="F527" s="9" t="n"/>
      <c r="G527" s="4" t="n"/>
      <c r="H527" s="10">
        <f>IF(OR(F527="",G527=""),"",IFERROR(F527*VLOOKUP(G527,'Units'!$A$2:$D$13,4,FALSE),""))</f>
        <v/>
      </c>
      <c r="I527" s="5">
        <f>IF(D527="","",IFERROR(VLOOKUP(D527,'Items'!$A$2:$L$201,4,FALSE),""))</f>
        <v/>
      </c>
      <c r="J527" s="10">
        <f>IF(D527="","",IFERROR(VLOOKUP(D527,'Items'!$A$2:$L$201,10,FALSE),""))</f>
        <v/>
      </c>
      <c r="K527" s="10">
        <f>IF(OR(H527="",J527=""),"",H527*J527)</f>
        <v/>
      </c>
      <c r="L527" s="5">
        <f>IF(AND(B527="",D527=""),"",IF(B527="","Missing product",IF(D527="","Missing item",IF(C527="Product not found","Product not found",IF(E527="Item not found","Item not found",IF(OR(F527="",G527=""),"Missing quantity/unit",IF(IFERROR(VLOOKUP(G527,'Units'!$A$2:$D$13,3,FALSE),"")&lt;&gt;I527,"Unit mismatch",IF(J527="","Enter item cost","OK"))))))))</f>
        <v/>
      </c>
      <c r="M527" s="4" t="n"/>
    </row>
    <row r="528">
      <c r="A528" s="5">
        <f>IF(AND(B528="",D528=""),"",ROW()-1)</f>
        <v/>
      </c>
      <c r="B528" s="4" t="n"/>
      <c r="C528" s="5">
        <f>IF(B528="","",IFERROR(VLOOKUP(B528,'Products'!$A$2:$F$201,2,FALSE),"Product not found"))</f>
        <v/>
      </c>
      <c r="D528" s="4" t="n"/>
      <c r="E528" s="5">
        <f>IF(D528="","",IFERROR(VLOOKUP(D528,'Items'!$A$2:$L$201,2,FALSE),"Item not found"))</f>
        <v/>
      </c>
      <c r="F528" s="9" t="n"/>
      <c r="G528" s="4" t="n"/>
      <c r="H528" s="10">
        <f>IF(OR(F528="",G528=""),"",IFERROR(F528*VLOOKUP(G528,'Units'!$A$2:$D$13,4,FALSE),""))</f>
        <v/>
      </c>
      <c r="I528" s="5">
        <f>IF(D528="","",IFERROR(VLOOKUP(D528,'Items'!$A$2:$L$201,4,FALSE),""))</f>
        <v/>
      </c>
      <c r="J528" s="10">
        <f>IF(D528="","",IFERROR(VLOOKUP(D528,'Items'!$A$2:$L$201,10,FALSE),""))</f>
        <v/>
      </c>
      <c r="K528" s="10">
        <f>IF(OR(H528="",J528=""),"",H528*J528)</f>
        <v/>
      </c>
      <c r="L528" s="5">
        <f>IF(AND(B528="",D528=""),"",IF(B528="","Missing product",IF(D528="","Missing item",IF(C528="Product not found","Product not found",IF(E528="Item not found","Item not found",IF(OR(F528="",G528=""),"Missing quantity/unit",IF(IFERROR(VLOOKUP(G528,'Units'!$A$2:$D$13,3,FALSE),"")&lt;&gt;I528,"Unit mismatch",IF(J528="","Enter item cost","OK"))))))))</f>
        <v/>
      </c>
      <c r="M528" s="4" t="n"/>
    </row>
    <row r="529">
      <c r="A529" s="5">
        <f>IF(AND(B529="",D529=""),"",ROW()-1)</f>
        <v/>
      </c>
      <c r="B529" s="4" t="n"/>
      <c r="C529" s="5">
        <f>IF(B529="","",IFERROR(VLOOKUP(B529,'Products'!$A$2:$F$201,2,FALSE),"Product not found"))</f>
        <v/>
      </c>
      <c r="D529" s="4" t="n"/>
      <c r="E529" s="5">
        <f>IF(D529="","",IFERROR(VLOOKUP(D529,'Items'!$A$2:$L$201,2,FALSE),"Item not found"))</f>
        <v/>
      </c>
      <c r="F529" s="9" t="n"/>
      <c r="G529" s="4" t="n"/>
      <c r="H529" s="10">
        <f>IF(OR(F529="",G529=""),"",IFERROR(F529*VLOOKUP(G529,'Units'!$A$2:$D$13,4,FALSE),""))</f>
        <v/>
      </c>
      <c r="I529" s="5">
        <f>IF(D529="","",IFERROR(VLOOKUP(D529,'Items'!$A$2:$L$201,4,FALSE),""))</f>
        <v/>
      </c>
      <c r="J529" s="10">
        <f>IF(D529="","",IFERROR(VLOOKUP(D529,'Items'!$A$2:$L$201,10,FALSE),""))</f>
        <v/>
      </c>
      <c r="K529" s="10">
        <f>IF(OR(H529="",J529=""),"",H529*J529)</f>
        <v/>
      </c>
      <c r="L529" s="5">
        <f>IF(AND(B529="",D529=""),"",IF(B529="","Missing product",IF(D529="","Missing item",IF(C529="Product not found","Product not found",IF(E529="Item not found","Item not found",IF(OR(F529="",G529=""),"Missing quantity/unit",IF(IFERROR(VLOOKUP(G529,'Units'!$A$2:$D$13,3,FALSE),"")&lt;&gt;I529,"Unit mismatch",IF(J529="","Enter item cost","OK"))))))))</f>
        <v/>
      </c>
      <c r="M529" s="4" t="n"/>
    </row>
    <row r="530">
      <c r="A530" s="5">
        <f>IF(AND(B530="",D530=""),"",ROW()-1)</f>
        <v/>
      </c>
      <c r="B530" s="4" t="n"/>
      <c r="C530" s="5">
        <f>IF(B530="","",IFERROR(VLOOKUP(B530,'Products'!$A$2:$F$201,2,FALSE),"Product not found"))</f>
        <v/>
      </c>
      <c r="D530" s="4" t="n"/>
      <c r="E530" s="5">
        <f>IF(D530="","",IFERROR(VLOOKUP(D530,'Items'!$A$2:$L$201,2,FALSE),"Item not found"))</f>
        <v/>
      </c>
      <c r="F530" s="9" t="n"/>
      <c r="G530" s="4" t="n"/>
      <c r="H530" s="10">
        <f>IF(OR(F530="",G530=""),"",IFERROR(F530*VLOOKUP(G530,'Units'!$A$2:$D$13,4,FALSE),""))</f>
        <v/>
      </c>
      <c r="I530" s="5">
        <f>IF(D530="","",IFERROR(VLOOKUP(D530,'Items'!$A$2:$L$201,4,FALSE),""))</f>
        <v/>
      </c>
      <c r="J530" s="10">
        <f>IF(D530="","",IFERROR(VLOOKUP(D530,'Items'!$A$2:$L$201,10,FALSE),""))</f>
        <v/>
      </c>
      <c r="K530" s="10">
        <f>IF(OR(H530="",J530=""),"",H530*J530)</f>
        <v/>
      </c>
      <c r="L530" s="5">
        <f>IF(AND(B530="",D530=""),"",IF(B530="","Missing product",IF(D530="","Missing item",IF(C530="Product not found","Product not found",IF(E530="Item not found","Item not found",IF(OR(F530="",G530=""),"Missing quantity/unit",IF(IFERROR(VLOOKUP(G530,'Units'!$A$2:$D$13,3,FALSE),"")&lt;&gt;I530,"Unit mismatch",IF(J530="","Enter item cost","OK"))))))))</f>
        <v/>
      </c>
      <c r="M530" s="4" t="n"/>
    </row>
    <row r="531">
      <c r="A531" s="5">
        <f>IF(AND(B531="",D531=""),"",ROW()-1)</f>
        <v/>
      </c>
      <c r="B531" s="4" t="n"/>
      <c r="C531" s="5">
        <f>IF(B531="","",IFERROR(VLOOKUP(B531,'Products'!$A$2:$F$201,2,FALSE),"Product not found"))</f>
        <v/>
      </c>
      <c r="D531" s="4" t="n"/>
      <c r="E531" s="5">
        <f>IF(D531="","",IFERROR(VLOOKUP(D531,'Items'!$A$2:$L$201,2,FALSE),"Item not found"))</f>
        <v/>
      </c>
      <c r="F531" s="9" t="n"/>
      <c r="G531" s="4" t="n"/>
      <c r="H531" s="10">
        <f>IF(OR(F531="",G531=""),"",IFERROR(F531*VLOOKUP(G531,'Units'!$A$2:$D$13,4,FALSE),""))</f>
        <v/>
      </c>
      <c r="I531" s="5">
        <f>IF(D531="","",IFERROR(VLOOKUP(D531,'Items'!$A$2:$L$201,4,FALSE),""))</f>
        <v/>
      </c>
      <c r="J531" s="10">
        <f>IF(D531="","",IFERROR(VLOOKUP(D531,'Items'!$A$2:$L$201,10,FALSE),""))</f>
        <v/>
      </c>
      <c r="K531" s="10">
        <f>IF(OR(H531="",J531=""),"",H531*J531)</f>
        <v/>
      </c>
      <c r="L531" s="5">
        <f>IF(AND(B531="",D531=""),"",IF(B531="","Missing product",IF(D531="","Missing item",IF(C531="Product not found","Product not found",IF(E531="Item not found","Item not found",IF(OR(F531="",G531=""),"Missing quantity/unit",IF(IFERROR(VLOOKUP(G531,'Units'!$A$2:$D$13,3,FALSE),"")&lt;&gt;I531,"Unit mismatch",IF(J531="","Enter item cost","OK"))))))))</f>
        <v/>
      </c>
      <c r="M531" s="4" t="n"/>
    </row>
    <row r="532">
      <c r="A532" s="5">
        <f>IF(AND(B532="",D532=""),"",ROW()-1)</f>
        <v/>
      </c>
      <c r="B532" s="4" t="n"/>
      <c r="C532" s="5">
        <f>IF(B532="","",IFERROR(VLOOKUP(B532,'Products'!$A$2:$F$201,2,FALSE),"Product not found"))</f>
        <v/>
      </c>
      <c r="D532" s="4" t="n"/>
      <c r="E532" s="5">
        <f>IF(D532="","",IFERROR(VLOOKUP(D532,'Items'!$A$2:$L$201,2,FALSE),"Item not found"))</f>
        <v/>
      </c>
      <c r="F532" s="9" t="n"/>
      <c r="G532" s="4" t="n"/>
      <c r="H532" s="10">
        <f>IF(OR(F532="",G532=""),"",IFERROR(F532*VLOOKUP(G532,'Units'!$A$2:$D$13,4,FALSE),""))</f>
        <v/>
      </c>
      <c r="I532" s="5">
        <f>IF(D532="","",IFERROR(VLOOKUP(D532,'Items'!$A$2:$L$201,4,FALSE),""))</f>
        <v/>
      </c>
      <c r="J532" s="10">
        <f>IF(D532="","",IFERROR(VLOOKUP(D532,'Items'!$A$2:$L$201,10,FALSE),""))</f>
        <v/>
      </c>
      <c r="K532" s="10">
        <f>IF(OR(H532="",J532=""),"",H532*J532)</f>
        <v/>
      </c>
      <c r="L532" s="5">
        <f>IF(AND(B532="",D532=""),"",IF(B532="","Missing product",IF(D532="","Missing item",IF(C532="Product not found","Product not found",IF(E532="Item not found","Item not found",IF(OR(F532="",G532=""),"Missing quantity/unit",IF(IFERROR(VLOOKUP(G532,'Units'!$A$2:$D$13,3,FALSE),"")&lt;&gt;I532,"Unit mismatch",IF(J532="","Enter item cost","OK"))))))))</f>
        <v/>
      </c>
      <c r="M532" s="4" t="n"/>
    </row>
    <row r="533">
      <c r="A533" s="5">
        <f>IF(AND(B533="",D533=""),"",ROW()-1)</f>
        <v/>
      </c>
      <c r="B533" s="4" t="n"/>
      <c r="C533" s="5">
        <f>IF(B533="","",IFERROR(VLOOKUP(B533,'Products'!$A$2:$F$201,2,FALSE),"Product not found"))</f>
        <v/>
      </c>
      <c r="D533" s="4" t="n"/>
      <c r="E533" s="5">
        <f>IF(D533="","",IFERROR(VLOOKUP(D533,'Items'!$A$2:$L$201,2,FALSE),"Item not found"))</f>
        <v/>
      </c>
      <c r="F533" s="9" t="n"/>
      <c r="G533" s="4" t="n"/>
      <c r="H533" s="10">
        <f>IF(OR(F533="",G533=""),"",IFERROR(F533*VLOOKUP(G533,'Units'!$A$2:$D$13,4,FALSE),""))</f>
        <v/>
      </c>
      <c r="I533" s="5">
        <f>IF(D533="","",IFERROR(VLOOKUP(D533,'Items'!$A$2:$L$201,4,FALSE),""))</f>
        <v/>
      </c>
      <c r="J533" s="10">
        <f>IF(D533="","",IFERROR(VLOOKUP(D533,'Items'!$A$2:$L$201,10,FALSE),""))</f>
        <v/>
      </c>
      <c r="K533" s="10">
        <f>IF(OR(H533="",J533=""),"",H533*J533)</f>
        <v/>
      </c>
      <c r="L533" s="5">
        <f>IF(AND(B533="",D533=""),"",IF(B533="","Missing product",IF(D533="","Missing item",IF(C533="Product not found","Product not found",IF(E533="Item not found","Item not found",IF(OR(F533="",G533=""),"Missing quantity/unit",IF(IFERROR(VLOOKUP(G533,'Units'!$A$2:$D$13,3,FALSE),"")&lt;&gt;I533,"Unit mismatch",IF(J533="","Enter item cost","OK"))))))))</f>
        <v/>
      </c>
      <c r="M533" s="4" t="n"/>
    </row>
    <row r="534">
      <c r="A534" s="5">
        <f>IF(AND(B534="",D534=""),"",ROW()-1)</f>
        <v/>
      </c>
      <c r="B534" s="4" t="n"/>
      <c r="C534" s="5">
        <f>IF(B534="","",IFERROR(VLOOKUP(B534,'Products'!$A$2:$F$201,2,FALSE),"Product not found"))</f>
        <v/>
      </c>
      <c r="D534" s="4" t="n"/>
      <c r="E534" s="5">
        <f>IF(D534="","",IFERROR(VLOOKUP(D534,'Items'!$A$2:$L$201,2,FALSE),"Item not found"))</f>
        <v/>
      </c>
      <c r="F534" s="9" t="n"/>
      <c r="G534" s="4" t="n"/>
      <c r="H534" s="10">
        <f>IF(OR(F534="",G534=""),"",IFERROR(F534*VLOOKUP(G534,'Units'!$A$2:$D$13,4,FALSE),""))</f>
        <v/>
      </c>
      <c r="I534" s="5">
        <f>IF(D534="","",IFERROR(VLOOKUP(D534,'Items'!$A$2:$L$201,4,FALSE),""))</f>
        <v/>
      </c>
      <c r="J534" s="10">
        <f>IF(D534="","",IFERROR(VLOOKUP(D534,'Items'!$A$2:$L$201,10,FALSE),""))</f>
        <v/>
      </c>
      <c r="K534" s="10">
        <f>IF(OR(H534="",J534=""),"",H534*J534)</f>
        <v/>
      </c>
      <c r="L534" s="5">
        <f>IF(AND(B534="",D534=""),"",IF(B534="","Missing product",IF(D534="","Missing item",IF(C534="Product not found","Product not found",IF(E534="Item not found","Item not found",IF(OR(F534="",G534=""),"Missing quantity/unit",IF(IFERROR(VLOOKUP(G534,'Units'!$A$2:$D$13,3,FALSE),"")&lt;&gt;I534,"Unit mismatch",IF(J534="","Enter item cost","OK"))))))))</f>
        <v/>
      </c>
      <c r="M534" s="4" t="n"/>
    </row>
    <row r="535">
      <c r="A535" s="5">
        <f>IF(AND(B535="",D535=""),"",ROW()-1)</f>
        <v/>
      </c>
      <c r="B535" s="4" t="n"/>
      <c r="C535" s="5">
        <f>IF(B535="","",IFERROR(VLOOKUP(B535,'Products'!$A$2:$F$201,2,FALSE),"Product not found"))</f>
        <v/>
      </c>
      <c r="D535" s="4" t="n"/>
      <c r="E535" s="5">
        <f>IF(D535="","",IFERROR(VLOOKUP(D535,'Items'!$A$2:$L$201,2,FALSE),"Item not found"))</f>
        <v/>
      </c>
      <c r="F535" s="9" t="n"/>
      <c r="G535" s="4" t="n"/>
      <c r="H535" s="10">
        <f>IF(OR(F535="",G535=""),"",IFERROR(F535*VLOOKUP(G535,'Units'!$A$2:$D$13,4,FALSE),""))</f>
        <v/>
      </c>
      <c r="I535" s="5">
        <f>IF(D535="","",IFERROR(VLOOKUP(D535,'Items'!$A$2:$L$201,4,FALSE),""))</f>
        <v/>
      </c>
      <c r="J535" s="10">
        <f>IF(D535="","",IFERROR(VLOOKUP(D535,'Items'!$A$2:$L$201,10,FALSE),""))</f>
        <v/>
      </c>
      <c r="K535" s="10">
        <f>IF(OR(H535="",J535=""),"",H535*J535)</f>
        <v/>
      </c>
      <c r="L535" s="5">
        <f>IF(AND(B535="",D535=""),"",IF(B535="","Missing product",IF(D535="","Missing item",IF(C535="Product not found","Product not found",IF(E535="Item not found","Item not found",IF(OR(F535="",G535=""),"Missing quantity/unit",IF(IFERROR(VLOOKUP(G535,'Units'!$A$2:$D$13,3,FALSE),"")&lt;&gt;I535,"Unit mismatch",IF(J535="","Enter item cost","OK"))))))))</f>
        <v/>
      </c>
      <c r="M535" s="4" t="n"/>
    </row>
    <row r="536">
      <c r="A536" s="5">
        <f>IF(AND(B536="",D536=""),"",ROW()-1)</f>
        <v/>
      </c>
      <c r="B536" s="4" t="n"/>
      <c r="C536" s="5">
        <f>IF(B536="","",IFERROR(VLOOKUP(B536,'Products'!$A$2:$F$201,2,FALSE),"Product not found"))</f>
        <v/>
      </c>
      <c r="D536" s="4" t="n"/>
      <c r="E536" s="5">
        <f>IF(D536="","",IFERROR(VLOOKUP(D536,'Items'!$A$2:$L$201,2,FALSE),"Item not found"))</f>
        <v/>
      </c>
      <c r="F536" s="9" t="n"/>
      <c r="G536" s="4" t="n"/>
      <c r="H536" s="10">
        <f>IF(OR(F536="",G536=""),"",IFERROR(F536*VLOOKUP(G536,'Units'!$A$2:$D$13,4,FALSE),""))</f>
        <v/>
      </c>
      <c r="I536" s="5">
        <f>IF(D536="","",IFERROR(VLOOKUP(D536,'Items'!$A$2:$L$201,4,FALSE),""))</f>
        <v/>
      </c>
      <c r="J536" s="10">
        <f>IF(D536="","",IFERROR(VLOOKUP(D536,'Items'!$A$2:$L$201,10,FALSE),""))</f>
        <v/>
      </c>
      <c r="K536" s="10">
        <f>IF(OR(H536="",J536=""),"",H536*J536)</f>
        <v/>
      </c>
      <c r="L536" s="5">
        <f>IF(AND(B536="",D536=""),"",IF(B536="","Missing product",IF(D536="","Missing item",IF(C536="Product not found","Product not found",IF(E536="Item not found","Item not found",IF(OR(F536="",G536=""),"Missing quantity/unit",IF(IFERROR(VLOOKUP(G536,'Units'!$A$2:$D$13,3,FALSE),"")&lt;&gt;I536,"Unit mismatch",IF(J536="","Enter item cost","OK"))))))))</f>
        <v/>
      </c>
      <c r="M536" s="4" t="n"/>
    </row>
    <row r="537">
      <c r="A537" s="5">
        <f>IF(AND(B537="",D537=""),"",ROW()-1)</f>
        <v/>
      </c>
      <c r="B537" s="4" t="n"/>
      <c r="C537" s="5">
        <f>IF(B537="","",IFERROR(VLOOKUP(B537,'Products'!$A$2:$F$201,2,FALSE),"Product not found"))</f>
        <v/>
      </c>
      <c r="D537" s="4" t="n"/>
      <c r="E537" s="5">
        <f>IF(D537="","",IFERROR(VLOOKUP(D537,'Items'!$A$2:$L$201,2,FALSE),"Item not found"))</f>
        <v/>
      </c>
      <c r="F537" s="9" t="n"/>
      <c r="G537" s="4" t="n"/>
      <c r="H537" s="10">
        <f>IF(OR(F537="",G537=""),"",IFERROR(F537*VLOOKUP(G537,'Units'!$A$2:$D$13,4,FALSE),""))</f>
        <v/>
      </c>
      <c r="I537" s="5">
        <f>IF(D537="","",IFERROR(VLOOKUP(D537,'Items'!$A$2:$L$201,4,FALSE),""))</f>
        <v/>
      </c>
      <c r="J537" s="10">
        <f>IF(D537="","",IFERROR(VLOOKUP(D537,'Items'!$A$2:$L$201,10,FALSE),""))</f>
        <v/>
      </c>
      <c r="K537" s="10">
        <f>IF(OR(H537="",J537=""),"",H537*J537)</f>
        <v/>
      </c>
      <c r="L537" s="5">
        <f>IF(AND(B537="",D537=""),"",IF(B537="","Missing product",IF(D537="","Missing item",IF(C537="Product not found","Product not found",IF(E537="Item not found","Item not found",IF(OR(F537="",G537=""),"Missing quantity/unit",IF(IFERROR(VLOOKUP(G537,'Units'!$A$2:$D$13,3,FALSE),"")&lt;&gt;I537,"Unit mismatch",IF(J537="","Enter item cost","OK"))))))))</f>
        <v/>
      </c>
      <c r="M537" s="4" t="n"/>
    </row>
    <row r="538">
      <c r="A538" s="5">
        <f>IF(AND(B538="",D538=""),"",ROW()-1)</f>
        <v/>
      </c>
      <c r="B538" s="4" t="n"/>
      <c r="C538" s="5">
        <f>IF(B538="","",IFERROR(VLOOKUP(B538,'Products'!$A$2:$F$201,2,FALSE),"Product not found"))</f>
        <v/>
      </c>
      <c r="D538" s="4" t="n"/>
      <c r="E538" s="5">
        <f>IF(D538="","",IFERROR(VLOOKUP(D538,'Items'!$A$2:$L$201,2,FALSE),"Item not found"))</f>
        <v/>
      </c>
      <c r="F538" s="9" t="n"/>
      <c r="G538" s="4" t="n"/>
      <c r="H538" s="10">
        <f>IF(OR(F538="",G538=""),"",IFERROR(F538*VLOOKUP(G538,'Units'!$A$2:$D$13,4,FALSE),""))</f>
        <v/>
      </c>
      <c r="I538" s="5">
        <f>IF(D538="","",IFERROR(VLOOKUP(D538,'Items'!$A$2:$L$201,4,FALSE),""))</f>
        <v/>
      </c>
      <c r="J538" s="10">
        <f>IF(D538="","",IFERROR(VLOOKUP(D538,'Items'!$A$2:$L$201,10,FALSE),""))</f>
        <v/>
      </c>
      <c r="K538" s="10">
        <f>IF(OR(H538="",J538=""),"",H538*J538)</f>
        <v/>
      </c>
      <c r="L538" s="5">
        <f>IF(AND(B538="",D538=""),"",IF(B538="","Missing product",IF(D538="","Missing item",IF(C538="Product not found","Product not found",IF(E538="Item not found","Item not found",IF(OR(F538="",G538=""),"Missing quantity/unit",IF(IFERROR(VLOOKUP(G538,'Units'!$A$2:$D$13,3,FALSE),"")&lt;&gt;I538,"Unit mismatch",IF(J538="","Enter item cost","OK"))))))))</f>
        <v/>
      </c>
      <c r="M538" s="4" t="n"/>
    </row>
    <row r="539">
      <c r="A539" s="5">
        <f>IF(AND(B539="",D539=""),"",ROW()-1)</f>
        <v/>
      </c>
      <c r="B539" s="4" t="n"/>
      <c r="C539" s="5">
        <f>IF(B539="","",IFERROR(VLOOKUP(B539,'Products'!$A$2:$F$201,2,FALSE),"Product not found"))</f>
        <v/>
      </c>
      <c r="D539" s="4" t="n"/>
      <c r="E539" s="5">
        <f>IF(D539="","",IFERROR(VLOOKUP(D539,'Items'!$A$2:$L$201,2,FALSE),"Item not found"))</f>
        <v/>
      </c>
      <c r="F539" s="9" t="n"/>
      <c r="G539" s="4" t="n"/>
      <c r="H539" s="10">
        <f>IF(OR(F539="",G539=""),"",IFERROR(F539*VLOOKUP(G539,'Units'!$A$2:$D$13,4,FALSE),""))</f>
        <v/>
      </c>
      <c r="I539" s="5">
        <f>IF(D539="","",IFERROR(VLOOKUP(D539,'Items'!$A$2:$L$201,4,FALSE),""))</f>
        <v/>
      </c>
      <c r="J539" s="10">
        <f>IF(D539="","",IFERROR(VLOOKUP(D539,'Items'!$A$2:$L$201,10,FALSE),""))</f>
        <v/>
      </c>
      <c r="K539" s="10">
        <f>IF(OR(H539="",J539=""),"",H539*J539)</f>
        <v/>
      </c>
      <c r="L539" s="5">
        <f>IF(AND(B539="",D539=""),"",IF(B539="","Missing product",IF(D539="","Missing item",IF(C539="Product not found","Product not found",IF(E539="Item not found","Item not found",IF(OR(F539="",G539=""),"Missing quantity/unit",IF(IFERROR(VLOOKUP(G539,'Units'!$A$2:$D$13,3,FALSE),"")&lt;&gt;I539,"Unit mismatch",IF(J539="","Enter item cost","OK"))))))))</f>
        <v/>
      </c>
      <c r="M539" s="4" t="n"/>
    </row>
    <row r="540">
      <c r="A540" s="5">
        <f>IF(AND(B540="",D540=""),"",ROW()-1)</f>
        <v/>
      </c>
      <c r="B540" s="4" t="n"/>
      <c r="C540" s="5">
        <f>IF(B540="","",IFERROR(VLOOKUP(B540,'Products'!$A$2:$F$201,2,FALSE),"Product not found"))</f>
        <v/>
      </c>
      <c r="D540" s="4" t="n"/>
      <c r="E540" s="5">
        <f>IF(D540="","",IFERROR(VLOOKUP(D540,'Items'!$A$2:$L$201,2,FALSE),"Item not found"))</f>
        <v/>
      </c>
      <c r="F540" s="9" t="n"/>
      <c r="G540" s="4" t="n"/>
      <c r="H540" s="10">
        <f>IF(OR(F540="",G540=""),"",IFERROR(F540*VLOOKUP(G540,'Units'!$A$2:$D$13,4,FALSE),""))</f>
        <v/>
      </c>
      <c r="I540" s="5">
        <f>IF(D540="","",IFERROR(VLOOKUP(D540,'Items'!$A$2:$L$201,4,FALSE),""))</f>
        <v/>
      </c>
      <c r="J540" s="10">
        <f>IF(D540="","",IFERROR(VLOOKUP(D540,'Items'!$A$2:$L$201,10,FALSE),""))</f>
        <v/>
      </c>
      <c r="K540" s="10">
        <f>IF(OR(H540="",J540=""),"",H540*J540)</f>
        <v/>
      </c>
      <c r="L540" s="5">
        <f>IF(AND(B540="",D540=""),"",IF(B540="","Missing product",IF(D540="","Missing item",IF(C540="Product not found","Product not found",IF(E540="Item not found","Item not found",IF(OR(F540="",G540=""),"Missing quantity/unit",IF(IFERROR(VLOOKUP(G540,'Units'!$A$2:$D$13,3,FALSE),"")&lt;&gt;I540,"Unit mismatch",IF(J540="","Enter item cost","OK"))))))))</f>
        <v/>
      </c>
      <c r="M540" s="4" t="n"/>
    </row>
    <row r="541">
      <c r="A541" s="5">
        <f>IF(AND(B541="",D541=""),"",ROW()-1)</f>
        <v/>
      </c>
      <c r="B541" s="4" t="n"/>
      <c r="C541" s="5">
        <f>IF(B541="","",IFERROR(VLOOKUP(B541,'Products'!$A$2:$F$201,2,FALSE),"Product not found"))</f>
        <v/>
      </c>
      <c r="D541" s="4" t="n"/>
      <c r="E541" s="5">
        <f>IF(D541="","",IFERROR(VLOOKUP(D541,'Items'!$A$2:$L$201,2,FALSE),"Item not found"))</f>
        <v/>
      </c>
      <c r="F541" s="9" t="n"/>
      <c r="G541" s="4" t="n"/>
      <c r="H541" s="10">
        <f>IF(OR(F541="",G541=""),"",IFERROR(F541*VLOOKUP(G541,'Units'!$A$2:$D$13,4,FALSE),""))</f>
        <v/>
      </c>
      <c r="I541" s="5">
        <f>IF(D541="","",IFERROR(VLOOKUP(D541,'Items'!$A$2:$L$201,4,FALSE),""))</f>
        <v/>
      </c>
      <c r="J541" s="10">
        <f>IF(D541="","",IFERROR(VLOOKUP(D541,'Items'!$A$2:$L$201,10,FALSE),""))</f>
        <v/>
      </c>
      <c r="K541" s="10">
        <f>IF(OR(H541="",J541=""),"",H541*J541)</f>
        <v/>
      </c>
      <c r="L541" s="5">
        <f>IF(AND(B541="",D541=""),"",IF(B541="","Missing product",IF(D541="","Missing item",IF(C541="Product not found","Product not found",IF(E541="Item not found","Item not found",IF(OR(F541="",G541=""),"Missing quantity/unit",IF(IFERROR(VLOOKUP(G541,'Units'!$A$2:$D$13,3,FALSE),"")&lt;&gt;I541,"Unit mismatch",IF(J541="","Enter item cost","OK"))))))))</f>
        <v/>
      </c>
      <c r="M541" s="4" t="n"/>
    </row>
    <row r="542">
      <c r="A542" s="5">
        <f>IF(AND(B542="",D542=""),"",ROW()-1)</f>
        <v/>
      </c>
      <c r="B542" s="4" t="n"/>
      <c r="C542" s="5">
        <f>IF(B542="","",IFERROR(VLOOKUP(B542,'Products'!$A$2:$F$201,2,FALSE),"Product not found"))</f>
        <v/>
      </c>
      <c r="D542" s="4" t="n"/>
      <c r="E542" s="5">
        <f>IF(D542="","",IFERROR(VLOOKUP(D542,'Items'!$A$2:$L$201,2,FALSE),"Item not found"))</f>
        <v/>
      </c>
      <c r="F542" s="9" t="n"/>
      <c r="G542" s="4" t="n"/>
      <c r="H542" s="10">
        <f>IF(OR(F542="",G542=""),"",IFERROR(F542*VLOOKUP(G542,'Units'!$A$2:$D$13,4,FALSE),""))</f>
        <v/>
      </c>
      <c r="I542" s="5">
        <f>IF(D542="","",IFERROR(VLOOKUP(D542,'Items'!$A$2:$L$201,4,FALSE),""))</f>
        <v/>
      </c>
      <c r="J542" s="10">
        <f>IF(D542="","",IFERROR(VLOOKUP(D542,'Items'!$A$2:$L$201,10,FALSE),""))</f>
        <v/>
      </c>
      <c r="K542" s="10">
        <f>IF(OR(H542="",J542=""),"",H542*J542)</f>
        <v/>
      </c>
      <c r="L542" s="5">
        <f>IF(AND(B542="",D542=""),"",IF(B542="","Missing product",IF(D542="","Missing item",IF(C542="Product not found","Product not found",IF(E542="Item not found","Item not found",IF(OR(F542="",G542=""),"Missing quantity/unit",IF(IFERROR(VLOOKUP(G542,'Units'!$A$2:$D$13,3,FALSE),"")&lt;&gt;I542,"Unit mismatch",IF(J542="","Enter item cost","OK"))))))))</f>
        <v/>
      </c>
      <c r="M542" s="4" t="n"/>
    </row>
    <row r="543">
      <c r="A543" s="5">
        <f>IF(AND(B543="",D543=""),"",ROW()-1)</f>
        <v/>
      </c>
      <c r="B543" s="4" t="n"/>
      <c r="C543" s="5">
        <f>IF(B543="","",IFERROR(VLOOKUP(B543,'Products'!$A$2:$F$201,2,FALSE),"Product not found"))</f>
        <v/>
      </c>
      <c r="D543" s="4" t="n"/>
      <c r="E543" s="5">
        <f>IF(D543="","",IFERROR(VLOOKUP(D543,'Items'!$A$2:$L$201,2,FALSE),"Item not found"))</f>
        <v/>
      </c>
      <c r="F543" s="9" t="n"/>
      <c r="G543" s="4" t="n"/>
      <c r="H543" s="10">
        <f>IF(OR(F543="",G543=""),"",IFERROR(F543*VLOOKUP(G543,'Units'!$A$2:$D$13,4,FALSE),""))</f>
        <v/>
      </c>
      <c r="I543" s="5">
        <f>IF(D543="","",IFERROR(VLOOKUP(D543,'Items'!$A$2:$L$201,4,FALSE),""))</f>
        <v/>
      </c>
      <c r="J543" s="10">
        <f>IF(D543="","",IFERROR(VLOOKUP(D543,'Items'!$A$2:$L$201,10,FALSE),""))</f>
        <v/>
      </c>
      <c r="K543" s="10">
        <f>IF(OR(H543="",J543=""),"",H543*J543)</f>
        <v/>
      </c>
      <c r="L543" s="5">
        <f>IF(AND(B543="",D543=""),"",IF(B543="","Missing product",IF(D543="","Missing item",IF(C543="Product not found","Product not found",IF(E543="Item not found","Item not found",IF(OR(F543="",G543=""),"Missing quantity/unit",IF(IFERROR(VLOOKUP(G543,'Units'!$A$2:$D$13,3,FALSE),"")&lt;&gt;I543,"Unit mismatch",IF(J543="","Enter item cost","OK"))))))))</f>
        <v/>
      </c>
      <c r="M543" s="4" t="n"/>
    </row>
    <row r="544">
      <c r="A544" s="5">
        <f>IF(AND(B544="",D544=""),"",ROW()-1)</f>
        <v/>
      </c>
      <c r="B544" s="4" t="n"/>
      <c r="C544" s="5">
        <f>IF(B544="","",IFERROR(VLOOKUP(B544,'Products'!$A$2:$F$201,2,FALSE),"Product not found"))</f>
        <v/>
      </c>
      <c r="D544" s="4" t="n"/>
      <c r="E544" s="5">
        <f>IF(D544="","",IFERROR(VLOOKUP(D544,'Items'!$A$2:$L$201,2,FALSE),"Item not found"))</f>
        <v/>
      </c>
      <c r="F544" s="9" t="n"/>
      <c r="G544" s="4" t="n"/>
      <c r="H544" s="10">
        <f>IF(OR(F544="",G544=""),"",IFERROR(F544*VLOOKUP(G544,'Units'!$A$2:$D$13,4,FALSE),""))</f>
        <v/>
      </c>
      <c r="I544" s="5">
        <f>IF(D544="","",IFERROR(VLOOKUP(D544,'Items'!$A$2:$L$201,4,FALSE),""))</f>
        <v/>
      </c>
      <c r="J544" s="10">
        <f>IF(D544="","",IFERROR(VLOOKUP(D544,'Items'!$A$2:$L$201,10,FALSE),""))</f>
        <v/>
      </c>
      <c r="K544" s="10">
        <f>IF(OR(H544="",J544=""),"",H544*J544)</f>
        <v/>
      </c>
      <c r="L544" s="5">
        <f>IF(AND(B544="",D544=""),"",IF(B544="","Missing product",IF(D544="","Missing item",IF(C544="Product not found","Product not found",IF(E544="Item not found","Item not found",IF(OR(F544="",G544=""),"Missing quantity/unit",IF(IFERROR(VLOOKUP(G544,'Units'!$A$2:$D$13,3,FALSE),"")&lt;&gt;I544,"Unit mismatch",IF(J544="","Enter item cost","OK"))))))))</f>
        <v/>
      </c>
      <c r="M544" s="4" t="n"/>
    </row>
    <row r="545">
      <c r="A545" s="5">
        <f>IF(AND(B545="",D545=""),"",ROW()-1)</f>
        <v/>
      </c>
      <c r="B545" s="4" t="n"/>
      <c r="C545" s="5">
        <f>IF(B545="","",IFERROR(VLOOKUP(B545,'Products'!$A$2:$F$201,2,FALSE),"Product not found"))</f>
        <v/>
      </c>
      <c r="D545" s="4" t="n"/>
      <c r="E545" s="5">
        <f>IF(D545="","",IFERROR(VLOOKUP(D545,'Items'!$A$2:$L$201,2,FALSE),"Item not found"))</f>
        <v/>
      </c>
      <c r="F545" s="9" t="n"/>
      <c r="G545" s="4" t="n"/>
      <c r="H545" s="10">
        <f>IF(OR(F545="",G545=""),"",IFERROR(F545*VLOOKUP(G545,'Units'!$A$2:$D$13,4,FALSE),""))</f>
        <v/>
      </c>
      <c r="I545" s="5">
        <f>IF(D545="","",IFERROR(VLOOKUP(D545,'Items'!$A$2:$L$201,4,FALSE),""))</f>
        <v/>
      </c>
      <c r="J545" s="10">
        <f>IF(D545="","",IFERROR(VLOOKUP(D545,'Items'!$A$2:$L$201,10,FALSE),""))</f>
        <v/>
      </c>
      <c r="K545" s="10">
        <f>IF(OR(H545="",J545=""),"",H545*J545)</f>
        <v/>
      </c>
      <c r="L545" s="5">
        <f>IF(AND(B545="",D545=""),"",IF(B545="","Missing product",IF(D545="","Missing item",IF(C545="Product not found","Product not found",IF(E545="Item not found","Item not found",IF(OR(F545="",G545=""),"Missing quantity/unit",IF(IFERROR(VLOOKUP(G545,'Units'!$A$2:$D$13,3,FALSE),"")&lt;&gt;I545,"Unit mismatch",IF(J545="","Enter item cost","OK"))))))))</f>
        <v/>
      </c>
      <c r="M545" s="4" t="n"/>
    </row>
    <row r="546">
      <c r="A546" s="5">
        <f>IF(AND(B546="",D546=""),"",ROW()-1)</f>
        <v/>
      </c>
      <c r="B546" s="4" t="n"/>
      <c r="C546" s="5">
        <f>IF(B546="","",IFERROR(VLOOKUP(B546,'Products'!$A$2:$F$201,2,FALSE),"Product not found"))</f>
        <v/>
      </c>
      <c r="D546" s="4" t="n"/>
      <c r="E546" s="5">
        <f>IF(D546="","",IFERROR(VLOOKUP(D546,'Items'!$A$2:$L$201,2,FALSE),"Item not found"))</f>
        <v/>
      </c>
      <c r="F546" s="9" t="n"/>
      <c r="G546" s="4" t="n"/>
      <c r="H546" s="10">
        <f>IF(OR(F546="",G546=""),"",IFERROR(F546*VLOOKUP(G546,'Units'!$A$2:$D$13,4,FALSE),""))</f>
        <v/>
      </c>
      <c r="I546" s="5">
        <f>IF(D546="","",IFERROR(VLOOKUP(D546,'Items'!$A$2:$L$201,4,FALSE),""))</f>
        <v/>
      </c>
      <c r="J546" s="10">
        <f>IF(D546="","",IFERROR(VLOOKUP(D546,'Items'!$A$2:$L$201,10,FALSE),""))</f>
        <v/>
      </c>
      <c r="K546" s="10">
        <f>IF(OR(H546="",J546=""),"",H546*J546)</f>
        <v/>
      </c>
      <c r="L546" s="5">
        <f>IF(AND(B546="",D546=""),"",IF(B546="","Missing product",IF(D546="","Missing item",IF(C546="Product not found","Product not found",IF(E546="Item not found","Item not found",IF(OR(F546="",G546=""),"Missing quantity/unit",IF(IFERROR(VLOOKUP(G546,'Units'!$A$2:$D$13,3,FALSE),"")&lt;&gt;I546,"Unit mismatch",IF(J546="","Enter item cost","OK"))))))))</f>
        <v/>
      </c>
      <c r="M546" s="4" t="n"/>
    </row>
    <row r="547">
      <c r="A547" s="5">
        <f>IF(AND(B547="",D547=""),"",ROW()-1)</f>
        <v/>
      </c>
      <c r="B547" s="4" t="n"/>
      <c r="C547" s="5">
        <f>IF(B547="","",IFERROR(VLOOKUP(B547,'Products'!$A$2:$F$201,2,FALSE),"Product not found"))</f>
        <v/>
      </c>
      <c r="D547" s="4" t="n"/>
      <c r="E547" s="5">
        <f>IF(D547="","",IFERROR(VLOOKUP(D547,'Items'!$A$2:$L$201,2,FALSE),"Item not found"))</f>
        <v/>
      </c>
      <c r="F547" s="9" t="n"/>
      <c r="G547" s="4" t="n"/>
      <c r="H547" s="10">
        <f>IF(OR(F547="",G547=""),"",IFERROR(F547*VLOOKUP(G547,'Units'!$A$2:$D$13,4,FALSE),""))</f>
        <v/>
      </c>
      <c r="I547" s="5">
        <f>IF(D547="","",IFERROR(VLOOKUP(D547,'Items'!$A$2:$L$201,4,FALSE),""))</f>
        <v/>
      </c>
      <c r="J547" s="10">
        <f>IF(D547="","",IFERROR(VLOOKUP(D547,'Items'!$A$2:$L$201,10,FALSE),""))</f>
        <v/>
      </c>
      <c r="K547" s="10">
        <f>IF(OR(H547="",J547=""),"",H547*J547)</f>
        <v/>
      </c>
      <c r="L547" s="5">
        <f>IF(AND(B547="",D547=""),"",IF(B547="","Missing product",IF(D547="","Missing item",IF(C547="Product not found","Product not found",IF(E547="Item not found","Item not found",IF(OR(F547="",G547=""),"Missing quantity/unit",IF(IFERROR(VLOOKUP(G547,'Units'!$A$2:$D$13,3,FALSE),"")&lt;&gt;I547,"Unit mismatch",IF(J547="","Enter item cost","OK"))))))))</f>
        <v/>
      </c>
      <c r="M547" s="4" t="n"/>
    </row>
    <row r="548">
      <c r="A548" s="5">
        <f>IF(AND(B548="",D548=""),"",ROW()-1)</f>
        <v/>
      </c>
      <c r="B548" s="4" t="n"/>
      <c r="C548" s="5">
        <f>IF(B548="","",IFERROR(VLOOKUP(B548,'Products'!$A$2:$F$201,2,FALSE),"Product not found"))</f>
        <v/>
      </c>
      <c r="D548" s="4" t="n"/>
      <c r="E548" s="5">
        <f>IF(D548="","",IFERROR(VLOOKUP(D548,'Items'!$A$2:$L$201,2,FALSE),"Item not found"))</f>
        <v/>
      </c>
      <c r="F548" s="9" t="n"/>
      <c r="G548" s="4" t="n"/>
      <c r="H548" s="10">
        <f>IF(OR(F548="",G548=""),"",IFERROR(F548*VLOOKUP(G548,'Units'!$A$2:$D$13,4,FALSE),""))</f>
        <v/>
      </c>
      <c r="I548" s="5">
        <f>IF(D548="","",IFERROR(VLOOKUP(D548,'Items'!$A$2:$L$201,4,FALSE),""))</f>
        <v/>
      </c>
      <c r="J548" s="10">
        <f>IF(D548="","",IFERROR(VLOOKUP(D548,'Items'!$A$2:$L$201,10,FALSE),""))</f>
        <v/>
      </c>
      <c r="K548" s="10">
        <f>IF(OR(H548="",J548=""),"",H548*J548)</f>
        <v/>
      </c>
      <c r="L548" s="5">
        <f>IF(AND(B548="",D548=""),"",IF(B548="","Missing product",IF(D548="","Missing item",IF(C548="Product not found","Product not found",IF(E548="Item not found","Item not found",IF(OR(F548="",G548=""),"Missing quantity/unit",IF(IFERROR(VLOOKUP(G548,'Units'!$A$2:$D$13,3,FALSE),"")&lt;&gt;I548,"Unit mismatch",IF(J548="","Enter item cost","OK"))))))))</f>
        <v/>
      </c>
      <c r="M548" s="4" t="n"/>
    </row>
    <row r="549">
      <c r="A549" s="5">
        <f>IF(AND(B549="",D549=""),"",ROW()-1)</f>
        <v/>
      </c>
      <c r="B549" s="4" t="n"/>
      <c r="C549" s="5">
        <f>IF(B549="","",IFERROR(VLOOKUP(B549,'Products'!$A$2:$F$201,2,FALSE),"Product not found"))</f>
        <v/>
      </c>
      <c r="D549" s="4" t="n"/>
      <c r="E549" s="5">
        <f>IF(D549="","",IFERROR(VLOOKUP(D549,'Items'!$A$2:$L$201,2,FALSE),"Item not found"))</f>
        <v/>
      </c>
      <c r="F549" s="9" t="n"/>
      <c r="G549" s="4" t="n"/>
      <c r="H549" s="10">
        <f>IF(OR(F549="",G549=""),"",IFERROR(F549*VLOOKUP(G549,'Units'!$A$2:$D$13,4,FALSE),""))</f>
        <v/>
      </c>
      <c r="I549" s="5">
        <f>IF(D549="","",IFERROR(VLOOKUP(D549,'Items'!$A$2:$L$201,4,FALSE),""))</f>
        <v/>
      </c>
      <c r="J549" s="10">
        <f>IF(D549="","",IFERROR(VLOOKUP(D549,'Items'!$A$2:$L$201,10,FALSE),""))</f>
        <v/>
      </c>
      <c r="K549" s="10">
        <f>IF(OR(H549="",J549=""),"",H549*J549)</f>
        <v/>
      </c>
      <c r="L549" s="5">
        <f>IF(AND(B549="",D549=""),"",IF(B549="","Missing product",IF(D549="","Missing item",IF(C549="Product not found","Product not found",IF(E549="Item not found","Item not found",IF(OR(F549="",G549=""),"Missing quantity/unit",IF(IFERROR(VLOOKUP(G549,'Units'!$A$2:$D$13,3,FALSE),"")&lt;&gt;I549,"Unit mismatch",IF(J549="","Enter item cost","OK"))))))))</f>
        <v/>
      </c>
      <c r="M549" s="4" t="n"/>
    </row>
    <row r="550">
      <c r="A550" s="5">
        <f>IF(AND(B550="",D550=""),"",ROW()-1)</f>
        <v/>
      </c>
      <c r="B550" s="4" t="n"/>
      <c r="C550" s="5">
        <f>IF(B550="","",IFERROR(VLOOKUP(B550,'Products'!$A$2:$F$201,2,FALSE),"Product not found"))</f>
        <v/>
      </c>
      <c r="D550" s="4" t="n"/>
      <c r="E550" s="5">
        <f>IF(D550="","",IFERROR(VLOOKUP(D550,'Items'!$A$2:$L$201,2,FALSE),"Item not found"))</f>
        <v/>
      </c>
      <c r="F550" s="9" t="n"/>
      <c r="G550" s="4" t="n"/>
      <c r="H550" s="10">
        <f>IF(OR(F550="",G550=""),"",IFERROR(F550*VLOOKUP(G550,'Units'!$A$2:$D$13,4,FALSE),""))</f>
        <v/>
      </c>
      <c r="I550" s="5">
        <f>IF(D550="","",IFERROR(VLOOKUP(D550,'Items'!$A$2:$L$201,4,FALSE),""))</f>
        <v/>
      </c>
      <c r="J550" s="10">
        <f>IF(D550="","",IFERROR(VLOOKUP(D550,'Items'!$A$2:$L$201,10,FALSE),""))</f>
        <v/>
      </c>
      <c r="K550" s="10">
        <f>IF(OR(H550="",J550=""),"",H550*J550)</f>
        <v/>
      </c>
      <c r="L550" s="5">
        <f>IF(AND(B550="",D550=""),"",IF(B550="","Missing product",IF(D550="","Missing item",IF(C550="Product not found","Product not found",IF(E550="Item not found","Item not found",IF(OR(F550="",G550=""),"Missing quantity/unit",IF(IFERROR(VLOOKUP(G550,'Units'!$A$2:$D$13,3,FALSE),"")&lt;&gt;I550,"Unit mismatch",IF(J550="","Enter item cost","OK"))))))))</f>
        <v/>
      </c>
      <c r="M550" s="4" t="n"/>
    </row>
    <row r="551">
      <c r="A551" s="5">
        <f>IF(AND(B551="",D551=""),"",ROW()-1)</f>
        <v/>
      </c>
      <c r="B551" s="4" t="n"/>
      <c r="C551" s="5">
        <f>IF(B551="","",IFERROR(VLOOKUP(B551,'Products'!$A$2:$F$201,2,FALSE),"Product not found"))</f>
        <v/>
      </c>
      <c r="D551" s="4" t="n"/>
      <c r="E551" s="5">
        <f>IF(D551="","",IFERROR(VLOOKUP(D551,'Items'!$A$2:$L$201,2,FALSE),"Item not found"))</f>
        <v/>
      </c>
      <c r="F551" s="9" t="n"/>
      <c r="G551" s="4" t="n"/>
      <c r="H551" s="10">
        <f>IF(OR(F551="",G551=""),"",IFERROR(F551*VLOOKUP(G551,'Units'!$A$2:$D$13,4,FALSE),""))</f>
        <v/>
      </c>
      <c r="I551" s="5">
        <f>IF(D551="","",IFERROR(VLOOKUP(D551,'Items'!$A$2:$L$201,4,FALSE),""))</f>
        <v/>
      </c>
      <c r="J551" s="10">
        <f>IF(D551="","",IFERROR(VLOOKUP(D551,'Items'!$A$2:$L$201,10,FALSE),""))</f>
        <v/>
      </c>
      <c r="K551" s="10">
        <f>IF(OR(H551="",J551=""),"",H551*J551)</f>
        <v/>
      </c>
      <c r="L551" s="5">
        <f>IF(AND(B551="",D551=""),"",IF(B551="","Missing product",IF(D551="","Missing item",IF(C551="Product not found","Product not found",IF(E551="Item not found","Item not found",IF(OR(F551="",G551=""),"Missing quantity/unit",IF(IFERROR(VLOOKUP(G551,'Units'!$A$2:$D$13,3,FALSE),"")&lt;&gt;I551,"Unit mismatch",IF(J551="","Enter item cost","OK"))))))))</f>
        <v/>
      </c>
      <c r="M551" s="4" t="n"/>
    </row>
    <row r="552">
      <c r="A552" s="5">
        <f>IF(AND(B552="",D552=""),"",ROW()-1)</f>
        <v/>
      </c>
      <c r="B552" s="4" t="n"/>
      <c r="C552" s="5">
        <f>IF(B552="","",IFERROR(VLOOKUP(B552,'Products'!$A$2:$F$201,2,FALSE),"Product not found"))</f>
        <v/>
      </c>
      <c r="D552" s="4" t="n"/>
      <c r="E552" s="5">
        <f>IF(D552="","",IFERROR(VLOOKUP(D552,'Items'!$A$2:$L$201,2,FALSE),"Item not found"))</f>
        <v/>
      </c>
      <c r="F552" s="9" t="n"/>
      <c r="G552" s="4" t="n"/>
      <c r="H552" s="10">
        <f>IF(OR(F552="",G552=""),"",IFERROR(F552*VLOOKUP(G552,'Units'!$A$2:$D$13,4,FALSE),""))</f>
        <v/>
      </c>
      <c r="I552" s="5">
        <f>IF(D552="","",IFERROR(VLOOKUP(D552,'Items'!$A$2:$L$201,4,FALSE),""))</f>
        <v/>
      </c>
      <c r="J552" s="10">
        <f>IF(D552="","",IFERROR(VLOOKUP(D552,'Items'!$A$2:$L$201,10,FALSE),""))</f>
        <v/>
      </c>
      <c r="K552" s="10">
        <f>IF(OR(H552="",J552=""),"",H552*J552)</f>
        <v/>
      </c>
      <c r="L552" s="5">
        <f>IF(AND(B552="",D552=""),"",IF(B552="","Missing product",IF(D552="","Missing item",IF(C552="Product not found","Product not found",IF(E552="Item not found","Item not found",IF(OR(F552="",G552=""),"Missing quantity/unit",IF(IFERROR(VLOOKUP(G552,'Units'!$A$2:$D$13,3,FALSE),"")&lt;&gt;I552,"Unit mismatch",IF(J552="","Enter item cost","OK"))))))))</f>
        <v/>
      </c>
      <c r="M552" s="4" t="n"/>
    </row>
    <row r="553">
      <c r="A553" s="5">
        <f>IF(AND(B553="",D553=""),"",ROW()-1)</f>
        <v/>
      </c>
      <c r="B553" s="4" t="n"/>
      <c r="C553" s="5">
        <f>IF(B553="","",IFERROR(VLOOKUP(B553,'Products'!$A$2:$F$201,2,FALSE),"Product not found"))</f>
        <v/>
      </c>
      <c r="D553" s="4" t="n"/>
      <c r="E553" s="5">
        <f>IF(D553="","",IFERROR(VLOOKUP(D553,'Items'!$A$2:$L$201,2,FALSE),"Item not found"))</f>
        <v/>
      </c>
      <c r="F553" s="9" t="n"/>
      <c r="G553" s="4" t="n"/>
      <c r="H553" s="10">
        <f>IF(OR(F553="",G553=""),"",IFERROR(F553*VLOOKUP(G553,'Units'!$A$2:$D$13,4,FALSE),""))</f>
        <v/>
      </c>
      <c r="I553" s="5">
        <f>IF(D553="","",IFERROR(VLOOKUP(D553,'Items'!$A$2:$L$201,4,FALSE),""))</f>
        <v/>
      </c>
      <c r="J553" s="10">
        <f>IF(D553="","",IFERROR(VLOOKUP(D553,'Items'!$A$2:$L$201,10,FALSE),""))</f>
        <v/>
      </c>
      <c r="K553" s="10">
        <f>IF(OR(H553="",J553=""),"",H553*J553)</f>
        <v/>
      </c>
      <c r="L553" s="5">
        <f>IF(AND(B553="",D553=""),"",IF(B553="","Missing product",IF(D553="","Missing item",IF(C553="Product not found","Product not found",IF(E553="Item not found","Item not found",IF(OR(F553="",G553=""),"Missing quantity/unit",IF(IFERROR(VLOOKUP(G553,'Units'!$A$2:$D$13,3,FALSE),"")&lt;&gt;I553,"Unit mismatch",IF(J553="","Enter item cost","OK"))))))))</f>
        <v/>
      </c>
      <c r="M553" s="4" t="n"/>
    </row>
    <row r="554">
      <c r="A554" s="5">
        <f>IF(AND(B554="",D554=""),"",ROW()-1)</f>
        <v/>
      </c>
      <c r="B554" s="4" t="n"/>
      <c r="C554" s="5">
        <f>IF(B554="","",IFERROR(VLOOKUP(B554,'Products'!$A$2:$F$201,2,FALSE),"Product not found"))</f>
        <v/>
      </c>
      <c r="D554" s="4" t="n"/>
      <c r="E554" s="5">
        <f>IF(D554="","",IFERROR(VLOOKUP(D554,'Items'!$A$2:$L$201,2,FALSE),"Item not found"))</f>
        <v/>
      </c>
      <c r="F554" s="9" t="n"/>
      <c r="G554" s="4" t="n"/>
      <c r="H554" s="10">
        <f>IF(OR(F554="",G554=""),"",IFERROR(F554*VLOOKUP(G554,'Units'!$A$2:$D$13,4,FALSE),""))</f>
        <v/>
      </c>
      <c r="I554" s="5">
        <f>IF(D554="","",IFERROR(VLOOKUP(D554,'Items'!$A$2:$L$201,4,FALSE),""))</f>
        <v/>
      </c>
      <c r="J554" s="10">
        <f>IF(D554="","",IFERROR(VLOOKUP(D554,'Items'!$A$2:$L$201,10,FALSE),""))</f>
        <v/>
      </c>
      <c r="K554" s="10">
        <f>IF(OR(H554="",J554=""),"",H554*J554)</f>
        <v/>
      </c>
      <c r="L554" s="5">
        <f>IF(AND(B554="",D554=""),"",IF(B554="","Missing product",IF(D554="","Missing item",IF(C554="Product not found","Product not found",IF(E554="Item not found","Item not found",IF(OR(F554="",G554=""),"Missing quantity/unit",IF(IFERROR(VLOOKUP(G554,'Units'!$A$2:$D$13,3,FALSE),"")&lt;&gt;I554,"Unit mismatch",IF(J554="","Enter item cost","OK"))))))))</f>
        <v/>
      </c>
      <c r="M554" s="4" t="n"/>
    </row>
    <row r="555">
      <c r="A555" s="5">
        <f>IF(AND(B555="",D555=""),"",ROW()-1)</f>
        <v/>
      </c>
      <c r="B555" s="4" t="n"/>
      <c r="C555" s="5">
        <f>IF(B555="","",IFERROR(VLOOKUP(B555,'Products'!$A$2:$F$201,2,FALSE),"Product not found"))</f>
        <v/>
      </c>
      <c r="D555" s="4" t="n"/>
      <c r="E555" s="5">
        <f>IF(D555="","",IFERROR(VLOOKUP(D555,'Items'!$A$2:$L$201,2,FALSE),"Item not found"))</f>
        <v/>
      </c>
      <c r="F555" s="9" t="n"/>
      <c r="G555" s="4" t="n"/>
      <c r="H555" s="10">
        <f>IF(OR(F555="",G555=""),"",IFERROR(F555*VLOOKUP(G555,'Units'!$A$2:$D$13,4,FALSE),""))</f>
        <v/>
      </c>
      <c r="I555" s="5">
        <f>IF(D555="","",IFERROR(VLOOKUP(D555,'Items'!$A$2:$L$201,4,FALSE),""))</f>
        <v/>
      </c>
      <c r="J555" s="10">
        <f>IF(D555="","",IFERROR(VLOOKUP(D555,'Items'!$A$2:$L$201,10,FALSE),""))</f>
        <v/>
      </c>
      <c r="K555" s="10">
        <f>IF(OR(H555="",J555=""),"",H555*J555)</f>
        <v/>
      </c>
      <c r="L555" s="5">
        <f>IF(AND(B555="",D555=""),"",IF(B555="","Missing product",IF(D555="","Missing item",IF(C555="Product not found","Product not found",IF(E555="Item not found","Item not found",IF(OR(F555="",G555=""),"Missing quantity/unit",IF(IFERROR(VLOOKUP(G555,'Units'!$A$2:$D$13,3,FALSE),"")&lt;&gt;I555,"Unit mismatch",IF(J555="","Enter item cost","OK"))))))))</f>
        <v/>
      </c>
      <c r="M555" s="4" t="n"/>
    </row>
    <row r="556">
      <c r="A556" s="5">
        <f>IF(AND(B556="",D556=""),"",ROW()-1)</f>
        <v/>
      </c>
      <c r="B556" s="4" t="n"/>
      <c r="C556" s="5">
        <f>IF(B556="","",IFERROR(VLOOKUP(B556,'Products'!$A$2:$F$201,2,FALSE),"Product not found"))</f>
        <v/>
      </c>
      <c r="D556" s="4" t="n"/>
      <c r="E556" s="5">
        <f>IF(D556="","",IFERROR(VLOOKUP(D556,'Items'!$A$2:$L$201,2,FALSE),"Item not found"))</f>
        <v/>
      </c>
      <c r="F556" s="9" t="n"/>
      <c r="G556" s="4" t="n"/>
      <c r="H556" s="10">
        <f>IF(OR(F556="",G556=""),"",IFERROR(F556*VLOOKUP(G556,'Units'!$A$2:$D$13,4,FALSE),""))</f>
        <v/>
      </c>
      <c r="I556" s="5">
        <f>IF(D556="","",IFERROR(VLOOKUP(D556,'Items'!$A$2:$L$201,4,FALSE),""))</f>
        <v/>
      </c>
      <c r="J556" s="10">
        <f>IF(D556="","",IFERROR(VLOOKUP(D556,'Items'!$A$2:$L$201,10,FALSE),""))</f>
        <v/>
      </c>
      <c r="K556" s="10">
        <f>IF(OR(H556="",J556=""),"",H556*J556)</f>
        <v/>
      </c>
      <c r="L556" s="5">
        <f>IF(AND(B556="",D556=""),"",IF(B556="","Missing product",IF(D556="","Missing item",IF(C556="Product not found","Product not found",IF(E556="Item not found","Item not found",IF(OR(F556="",G556=""),"Missing quantity/unit",IF(IFERROR(VLOOKUP(G556,'Units'!$A$2:$D$13,3,FALSE),"")&lt;&gt;I556,"Unit mismatch",IF(J556="","Enter item cost","OK"))))))))</f>
        <v/>
      </c>
      <c r="M556" s="4" t="n"/>
    </row>
    <row r="557">
      <c r="A557" s="5">
        <f>IF(AND(B557="",D557=""),"",ROW()-1)</f>
        <v/>
      </c>
      <c r="B557" s="4" t="n"/>
      <c r="C557" s="5">
        <f>IF(B557="","",IFERROR(VLOOKUP(B557,'Products'!$A$2:$F$201,2,FALSE),"Product not found"))</f>
        <v/>
      </c>
      <c r="D557" s="4" t="n"/>
      <c r="E557" s="5">
        <f>IF(D557="","",IFERROR(VLOOKUP(D557,'Items'!$A$2:$L$201,2,FALSE),"Item not found"))</f>
        <v/>
      </c>
      <c r="F557" s="9" t="n"/>
      <c r="G557" s="4" t="n"/>
      <c r="H557" s="10">
        <f>IF(OR(F557="",G557=""),"",IFERROR(F557*VLOOKUP(G557,'Units'!$A$2:$D$13,4,FALSE),""))</f>
        <v/>
      </c>
      <c r="I557" s="5">
        <f>IF(D557="","",IFERROR(VLOOKUP(D557,'Items'!$A$2:$L$201,4,FALSE),""))</f>
        <v/>
      </c>
      <c r="J557" s="10">
        <f>IF(D557="","",IFERROR(VLOOKUP(D557,'Items'!$A$2:$L$201,10,FALSE),""))</f>
        <v/>
      </c>
      <c r="K557" s="10">
        <f>IF(OR(H557="",J557=""),"",H557*J557)</f>
        <v/>
      </c>
      <c r="L557" s="5">
        <f>IF(AND(B557="",D557=""),"",IF(B557="","Missing product",IF(D557="","Missing item",IF(C557="Product not found","Product not found",IF(E557="Item not found","Item not found",IF(OR(F557="",G557=""),"Missing quantity/unit",IF(IFERROR(VLOOKUP(G557,'Units'!$A$2:$D$13,3,FALSE),"")&lt;&gt;I557,"Unit mismatch",IF(J557="","Enter item cost","OK"))))))))</f>
        <v/>
      </c>
      <c r="M557" s="4" t="n"/>
    </row>
    <row r="558">
      <c r="A558" s="5">
        <f>IF(AND(B558="",D558=""),"",ROW()-1)</f>
        <v/>
      </c>
      <c r="B558" s="4" t="n"/>
      <c r="C558" s="5">
        <f>IF(B558="","",IFERROR(VLOOKUP(B558,'Products'!$A$2:$F$201,2,FALSE),"Product not found"))</f>
        <v/>
      </c>
      <c r="D558" s="4" t="n"/>
      <c r="E558" s="5">
        <f>IF(D558="","",IFERROR(VLOOKUP(D558,'Items'!$A$2:$L$201,2,FALSE),"Item not found"))</f>
        <v/>
      </c>
      <c r="F558" s="9" t="n"/>
      <c r="G558" s="4" t="n"/>
      <c r="H558" s="10">
        <f>IF(OR(F558="",G558=""),"",IFERROR(F558*VLOOKUP(G558,'Units'!$A$2:$D$13,4,FALSE),""))</f>
        <v/>
      </c>
      <c r="I558" s="5">
        <f>IF(D558="","",IFERROR(VLOOKUP(D558,'Items'!$A$2:$L$201,4,FALSE),""))</f>
        <v/>
      </c>
      <c r="J558" s="10">
        <f>IF(D558="","",IFERROR(VLOOKUP(D558,'Items'!$A$2:$L$201,10,FALSE),""))</f>
        <v/>
      </c>
      <c r="K558" s="10">
        <f>IF(OR(H558="",J558=""),"",H558*J558)</f>
        <v/>
      </c>
      <c r="L558" s="5">
        <f>IF(AND(B558="",D558=""),"",IF(B558="","Missing product",IF(D558="","Missing item",IF(C558="Product not found","Product not found",IF(E558="Item not found","Item not found",IF(OR(F558="",G558=""),"Missing quantity/unit",IF(IFERROR(VLOOKUP(G558,'Units'!$A$2:$D$13,3,FALSE),"")&lt;&gt;I558,"Unit mismatch",IF(J558="","Enter item cost","OK"))))))))</f>
        <v/>
      </c>
      <c r="M558" s="4" t="n"/>
    </row>
    <row r="559">
      <c r="A559" s="5">
        <f>IF(AND(B559="",D559=""),"",ROW()-1)</f>
        <v/>
      </c>
      <c r="B559" s="4" t="n"/>
      <c r="C559" s="5">
        <f>IF(B559="","",IFERROR(VLOOKUP(B559,'Products'!$A$2:$F$201,2,FALSE),"Product not found"))</f>
        <v/>
      </c>
      <c r="D559" s="4" t="n"/>
      <c r="E559" s="5">
        <f>IF(D559="","",IFERROR(VLOOKUP(D559,'Items'!$A$2:$L$201,2,FALSE),"Item not found"))</f>
        <v/>
      </c>
      <c r="F559" s="9" t="n"/>
      <c r="G559" s="4" t="n"/>
      <c r="H559" s="10">
        <f>IF(OR(F559="",G559=""),"",IFERROR(F559*VLOOKUP(G559,'Units'!$A$2:$D$13,4,FALSE),""))</f>
        <v/>
      </c>
      <c r="I559" s="5">
        <f>IF(D559="","",IFERROR(VLOOKUP(D559,'Items'!$A$2:$L$201,4,FALSE),""))</f>
        <v/>
      </c>
      <c r="J559" s="10">
        <f>IF(D559="","",IFERROR(VLOOKUP(D559,'Items'!$A$2:$L$201,10,FALSE),""))</f>
        <v/>
      </c>
      <c r="K559" s="10">
        <f>IF(OR(H559="",J559=""),"",H559*J559)</f>
        <v/>
      </c>
      <c r="L559" s="5">
        <f>IF(AND(B559="",D559=""),"",IF(B559="","Missing product",IF(D559="","Missing item",IF(C559="Product not found","Product not found",IF(E559="Item not found","Item not found",IF(OR(F559="",G559=""),"Missing quantity/unit",IF(IFERROR(VLOOKUP(G559,'Units'!$A$2:$D$13,3,FALSE),"")&lt;&gt;I559,"Unit mismatch",IF(J559="","Enter item cost","OK"))))))))</f>
        <v/>
      </c>
      <c r="M559" s="4" t="n"/>
    </row>
    <row r="560">
      <c r="A560" s="5">
        <f>IF(AND(B560="",D560=""),"",ROW()-1)</f>
        <v/>
      </c>
      <c r="B560" s="4" t="n"/>
      <c r="C560" s="5">
        <f>IF(B560="","",IFERROR(VLOOKUP(B560,'Products'!$A$2:$F$201,2,FALSE),"Product not found"))</f>
        <v/>
      </c>
      <c r="D560" s="4" t="n"/>
      <c r="E560" s="5">
        <f>IF(D560="","",IFERROR(VLOOKUP(D560,'Items'!$A$2:$L$201,2,FALSE),"Item not found"))</f>
        <v/>
      </c>
      <c r="F560" s="9" t="n"/>
      <c r="G560" s="4" t="n"/>
      <c r="H560" s="10">
        <f>IF(OR(F560="",G560=""),"",IFERROR(F560*VLOOKUP(G560,'Units'!$A$2:$D$13,4,FALSE),""))</f>
        <v/>
      </c>
      <c r="I560" s="5">
        <f>IF(D560="","",IFERROR(VLOOKUP(D560,'Items'!$A$2:$L$201,4,FALSE),""))</f>
        <v/>
      </c>
      <c r="J560" s="10">
        <f>IF(D560="","",IFERROR(VLOOKUP(D560,'Items'!$A$2:$L$201,10,FALSE),""))</f>
        <v/>
      </c>
      <c r="K560" s="10">
        <f>IF(OR(H560="",J560=""),"",H560*J560)</f>
        <v/>
      </c>
      <c r="L560" s="5">
        <f>IF(AND(B560="",D560=""),"",IF(B560="","Missing product",IF(D560="","Missing item",IF(C560="Product not found","Product not found",IF(E560="Item not found","Item not found",IF(OR(F560="",G560=""),"Missing quantity/unit",IF(IFERROR(VLOOKUP(G560,'Units'!$A$2:$D$13,3,FALSE),"")&lt;&gt;I560,"Unit mismatch",IF(J560="","Enter item cost","OK"))))))))</f>
        <v/>
      </c>
      <c r="M560" s="4" t="n"/>
    </row>
    <row r="561">
      <c r="A561" s="5">
        <f>IF(AND(B561="",D561=""),"",ROW()-1)</f>
        <v/>
      </c>
      <c r="B561" s="4" t="n"/>
      <c r="C561" s="5">
        <f>IF(B561="","",IFERROR(VLOOKUP(B561,'Products'!$A$2:$F$201,2,FALSE),"Product not found"))</f>
        <v/>
      </c>
      <c r="D561" s="4" t="n"/>
      <c r="E561" s="5">
        <f>IF(D561="","",IFERROR(VLOOKUP(D561,'Items'!$A$2:$L$201,2,FALSE),"Item not found"))</f>
        <v/>
      </c>
      <c r="F561" s="9" t="n"/>
      <c r="G561" s="4" t="n"/>
      <c r="H561" s="10">
        <f>IF(OR(F561="",G561=""),"",IFERROR(F561*VLOOKUP(G561,'Units'!$A$2:$D$13,4,FALSE),""))</f>
        <v/>
      </c>
      <c r="I561" s="5">
        <f>IF(D561="","",IFERROR(VLOOKUP(D561,'Items'!$A$2:$L$201,4,FALSE),""))</f>
        <v/>
      </c>
      <c r="J561" s="10">
        <f>IF(D561="","",IFERROR(VLOOKUP(D561,'Items'!$A$2:$L$201,10,FALSE),""))</f>
        <v/>
      </c>
      <c r="K561" s="10">
        <f>IF(OR(H561="",J561=""),"",H561*J561)</f>
        <v/>
      </c>
      <c r="L561" s="5">
        <f>IF(AND(B561="",D561=""),"",IF(B561="","Missing product",IF(D561="","Missing item",IF(C561="Product not found","Product not found",IF(E561="Item not found","Item not found",IF(OR(F561="",G561=""),"Missing quantity/unit",IF(IFERROR(VLOOKUP(G561,'Units'!$A$2:$D$13,3,FALSE),"")&lt;&gt;I561,"Unit mismatch",IF(J561="","Enter item cost","OK"))))))))</f>
        <v/>
      </c>
      <c r="M561" s="4" t="n"/>
    </row>
    <row r="562">
      <c r="A562" s="5">
        <f>IF(AND(B562="",D562=""),"",ROW()-1)</f>
        <v/>
      </c>
      <c r="B562" s="4" t="n"/>
      <c r="C562" s="5">
        <f>IF(B562="","",IFERROR(VLOOKUP(B562,'Products'!$A$2:$F$201,2,FALSE),"Product not found"))</f>
        <v/>
      </c>
      <c r="D562" s="4" t="n"/>
      <c r="E562" s="5">
        <f>IF(D562="","",IFERROR(VLOOKUP(D562,'Items'!$A$2:$L$201,2,FALSE),"Item not found"))</f>
        <v/>
      </c>
      <c r="F562" s="9" t="n"/>
      <c r="G562" s="4" t="n"/>
      <c r="H562" s="10">
        <f>IF(OR(F562="",G562=""),"",IFERROR(F562*VLOOKUP(G562,'Units'!$A$2:$D$13,4,FALSE),""))</f>
        <v/>
      </c>
      <c r="I562" s="5">
        <f>IF(D562="","",IFERROR(VLOOKUP(D562,'Items'!$A$2:$L$201,4,FALSE),""))</f>
        <v/>
      </c>
      <c r="J562" s="10">
        <f>IF(D562="","",IFERROR(VLOOKUP(D562,'Items'!$A$2:$L$201,10,FALSE),""))</f>
        <v/>
      </c>
      <c r="K562" s="10">
        <f>IF(OR(H562="",J562=""),"",H562*J562)</f>
        <v/>
      </c>
      <c r="L562" s="5">
        <f>IF(AND(B562="",D562=""),"",IF(B562="","Missing product",IF(D562="","Missing item",IF(C562="Product not found","Product not found",IF(E562="Item not found","Item not found",IF(OR(F562="",G562=""),"Missing quantity/unit",IF(IFERROR(VLOOKUP(G562,'Units'!$A$2:$D$13,3,FALSE),"")&lt;&gt;I562,"Unit mismatch",IF(J562="","Enter item cost","OK"))))))))</f>
        <v/>
      </c>
      <c r="M562" s="4" t="n"/>
    </row>
    <row r="563">
      <c r="A563" s="5">
        <f>IF(AND(B563="",D563=""),"",ROW()-1)</f>
        <v/>
      </c>
      <c r="B563" s="4" t="n"/>
      <c r="C563" s="5">
        <f>IF(B563="","",IFERROR(VLOOKUP(B563,'Products'!$A$2:$F$201,2,FALSE),"Product not found"))</f>
        <v/>
      </c>
      <c r="D563" s="4" t="n"/>
      <c r="E563" s="5">
        <f>IF(D563="","",IFERROR(VLOOKUP(D563,'Items'!$A$2:$L$201,2,FALSE),"Item not found"))</f>
        <v/>
      </c>
      <c r="F563" s="9" t="n"/>
      <c r="G563" s="4" t="n"/>
      <c r="H563" s="10">
        <f>IF(OR(F563="",G563=""),"",IFERROR(F563*VLOOKUP(G563,'Units'!$A$2:$D$13,4,FALSE),""))</f>
        <v/>
      </c>
      <c r="I563" s="5">
        <f>IF(D563="","",IFERROR(VLOOKUP(D563,'Items'!$A$2:$L$201,4,FALSE),""))</f>
        <v/>
      </c>
      <c r="J563" s="10">
        <f>IF(D563="","",IFERROR(VLOOKUP(D563,'Items'!$A$2:$L$201,10,FALSE),""))</f>
        <v/>
      </c>
      <c r="K563" s="10">
        <f>IF(OR(H563="",J563=""),"",H563*J563)</f>
        <v/>
      </c>
      <c r="L563" s="5">
        <f>IF(AND(B563="",D563=""),"",IF(B563="","Missing product",IF(D563="","Missing item",IF(C563="Product not found","Product not found",IF(E563="Item not found","Item not found",IF(OR(F563="",G563=""),"Missing quantity/unit",IF(IFERROR(VLOOKUP(G563,'Units'!$A$2:$D$13,3,FALSE),"")&lt;&gt;I563,"Unit mismatch",IF(J563="","Enter item cost","OK"))))))))</f>
        <v/>
      </c>
      <c r="M563" s="4" t="n"/>
    </row>
    <row r="564">
      <c r="A564" s="5">
        <f>IF(AND(B564="",D564=""),"",ROW()-1)</f>
        <v/>
      </c>
      <c r="B564" s="4" t="n"/>
      <c r="C564" s="5">
        <f>IF(B564="","",IFERROR(VLOOKUP(B564,'Products'!$A$2:$F$201,2,FALSE),"Product not found"))</f>
        <v/>
      </c>
      <c r="D564" s="4" t="n"/>
      <c r="E564" s="5">
        <f>IF(D564="","",IFERROR(VLOOKUP(D564,'Items'!$A$2:$L$201,2,FALSE),"Item not found"))</f>
        <v/>
      </c>
      <c r="F564" s="9" t="n"/>
      <c r="G564" s="4" t="n"/>
      <c r="H564" s="10">
        <f>IF(OR(F564="",G564=""),"",IFERROR(F564*VLOOKUP(G564,'Units'!$A$2:$D$13,4,FALSE),""))</f>
        <v/>
      </c>
      <c r="I564" s="5">
        <f>IF(D564="","",IFERROR(VLOOKUP(D564,'Items'!$A$2:$L$201,4,FALSE),""))</f>
        <v/>
      </c>
      <c r="J564" s="10">
        <f>IF(D564="","",IFERROR(VLOOKUP(D564,'Items'!$A$2:$L$201,10,FALSE),""))</f>
        <v/>
      </c>
      <c r="K564" s="10">
        <f>IF(OR(H564="",J564=""),"",H564*J564)</f>
        <v/>
      </c>
      <c r="L564" s="5">
        <f>IF(AND(B564="",D564=""),"",IF(B564="","Missing product",IF(D564="","Missing item",IF(C564="Product not found","Product not found",IF(E564="Item not found","Item not found",IF(OR(F564="",G564=""),"Missing quantity/unit",IF(IFERROR(VLOOKUP(G564,'Units'!$A$2:$D$13,3,FALSE),"")&lt;&gt;I564,"Unit mismatch",IF(J564="","Enter item cost","OK"))))))))</f>
        <v/>
      </c>
      <c r="M564" s="4" t="n"/>
    </row>
    <row r="565">
      <c r="A565" s="5">
        <f>IF(AND(B565="",D565=""),"",ROW()-1)</f>
        <v/>
      </c>
      <c r="B565" s="4" t="n"/>
      <c r="C565" s="5">
        <f>IF(B565="","",IFERROR(VLOOKUP(B565,'Products'!$A$2:$F$201,2,FALSE),"Product not found"))</f>
        <v/>
      </c>
      <c r="D565" s="4" t="n"/>
      <c r="E565" s="5">
        <f>IF(D565="","",IFERROR(VLOOKUP(D565,'Items'!$A$2:$L$201,2,FALSE),"Item not found"))</f>
        <v/>
      </c>
      <c r="F565" s="9" t="n"/>
      <c r="G565" s="4" t="n"/>
      <c r="H565" s="10">
        <f>IF(OR(F565="",G565=""),"",IFERROR(F565*VLOOKUP(G565,'Units'!$A$2:$D$13,4,FALSE),""))</f>
        <v/>
      </c>
      <c r="I565" s="5">
        <f>IF(D565="","",IFERROR(VLOOKUP(D565,'Items'!$A$2:$L$201,4,FALSE),""))</f>
        <v/>
      </c>
      <c r="J565" s="10">
        <f>IF(D565="","",IFERROR(VLOOKUP(D565,'Items'!$A$2:$L$201,10,FALSE),""))</f>
        <v/>
      </c>
      <c r="K565" s="10">
        <f>IF(OR(H565="",J565=""),"",H565*J565)</f>
        <v/>
      </c>
      <c r="L565" s="5">
        <f>IF(AND(B565="",D565=""),"",IF(B565="","Missing product",IF(D565="","Missing item",IF(C565="Product not found","Product not found",IF(E565="Item not found","Item not found",IF(OR(F565="",G565=""),"Missing quantity/unit",IF(IFERROR(VLOOKUP(G565,'Units'!$A$2:$D$13,3,FALSE),"")&lt;&gt;I565,"Unit mismatch",IF(J565="","Enter item cost","OK"))))))))</f>
        <v/>
      </c>
      <c r="M565" s="4" t="n"/>
    </row>
    <row r="566">
      <c r="A566" s="5">
        <f>IF(AND(B566="",D566=""),"",ROW()-1)</f>
        <v/>
      </c>
      <c r="B566" s="4" t="n"/>
      <c r="C566" s="5">
        <f>IF(B566="","",IFERROR(VLOOKUP(B566,'Products'!$A$2:$F$201,2,FALSE),"Product not found"))</f>
        <v/>
      </c>
      <c r="D566" s="4" t="n"/>
      <c r="E566" s="5">
        <f>IF(D566="","",IFERROR(VLOOKUP(D566,'Items'!$A$2:$L$201,2,FALSE),"Item not found"))</f>
        <v/>
      </c>
      <c r="F566" s="9" t="n"/>
      <c r="G566" s="4" t="n"/>
      <c r="H566" s="10">
        <f>IF(OR(F566="",G566=""),"",IFERROR(F566*VLOOKUP(G566,'Units'!$A$2:$D$13,4,FALSE),""))</f>
        <v/>
      </c>
      <c r="I566" s="5">
        <f>IF(D566="","",IFERROR(VLOOKUP(D566,'Items'!$A$2:$L$201,4,FALSE),""))</f>
        <v/>
      </c>
      <c r="J566" s="10">
        <f>IF(D566="","",IFERROR(VLOOKUP(D566,'Items'!$A$2:$L$201,10,FALSE),""))</f>
        <v/>
      </c>
      <c r="K566" s="10">
        <f>IF(OR(H566="",J566=""),"",H566*J566)</f>
        <v/>
      </c>
      <c r="L566" s="5">
        <f>IF(AND(B566="",D566=""),"",IF(B566="","Missing product",IF(D566="","Missing item",IF(C566="Product not found","Product not found",IF(E566="Item not found","Item not found",IF(OR(F566="",G566=""),"Missing quantity/unit",IF(IFERROR(VLOOKUP(G566,'Units'!$A$2:$D$13,3,FALSE),"")&lt;&gt;I566,"Unit mismatch",IF(J566="","Enter item cost","OK"))))))))</f>
        <v/>
      </c>
      <c r="M566" s="4" t="n"/>
    </row>
    <row r="567">
      <c r="A567" s="5">
        <f>IF(AND(B567="",D567=""),"",ROW()-1)</f>
        <v/>
      </c>
      <c r="B567" s="4" t="n"/>
      <c r="C567" s="5">
        <f>IF(B567="","",IFERROR(VLOOKUP(B567,'Products'!$A$2:$F$201,2,FALSE),"Product not found"))</f>
        <v/>
      </c>
      <c r="D567" s="4" t="n"/>
      <c r="E567" s="5">
        <f>IF(D567="","",IFERROR(VLOOKUP(D567,'Items'!$A$2:$L$201,2,FALSE),"Item not found"))</f>
        <v/>
      </c>
      <c r="F567" s="9" t="n"/>
      <c r="G567" s="4" t="n"/>
      <c r="H567" s="10">
        <f>IF(OR(F567="",G567=""),"",IFERROR(F567*VLOOKUP(G567,'Units'!$A$2:$D$13,4,FALSE),""))</f>
        <v/>
      </c>
      <c r="I567" s="5">
        <f>IF(D567="","",IFERROR(VLOOKUP(D567,'Items'!$A$2:$L$201,4,FALSE),""))</f>
        <v/>
      </c>
      <c r="J567" s="10">
        <f>IF(D567="","",IFERROR(VLOOKUP(D567,'Items'!$A$2:$L$201,10,FALSE),""))</f>
        <v/>
      </c>
      <c r="K567" s="10">
        <f>IF(OR(H567="",J567=""),"",H567*J567)</f>
        <v/>
      </c>
      <c r="L567" s="5">
        <f>IF(AND(B567="",D567=""),"",IF(B567="","Missing product",IF(D567="","Missing item",IF(C567="Product not found","Product not found",IF(E567="Item not found","Item not found",IF(OR(F567="",G567=""),"Missing quantity/unit",IF(IFERROR(VLOOKUP(G567,'Units'!$A$2:$D$13,3,FALSE),"")&lt;&gt;I567,"Unit mismatch",IF(J567="","Enter item cost","OK"))))))))</f>
        <v/>
      </c>
      <c r="M567" s="4" t="n"/>
    </row>
    <row r="568">
      <c r="A568" s="5">
        <f>IF(AND(B568="",D568=""),"",ROW()-1)</f>
        <v/>
      </c>
      <c r="B568" s="4" t="n"/>
      <c r="C568" s="5">
        <f>IF(B568="","",IFERROR(VLOOKUP(B568,'Products'!$A$2:$F$201,2,FALSE),"Product not found"))</f>
        <v/>
      </c>
      <c r="D568" s="4" t="n"/>
      <c r="E568" s="5">
        <f>IF(D568="","",IFERROR(VLOOKUP(D568,'Items'!$A$2:$L$201,2,FALSE),"Item not found"))</f>
        <v/>
      </c>
      <c r="F568" s="9" t="n"/>
      <c r="G568" s="4" t="n"/>
      <c r="H568" s="10">
        <f>IF(OR(F568="",G568=""),"",IFERROR(F568*VLOOKUP(G568,'Units'!$A$2:$D$13,4,FALSE),""))</f>
        <v/>
      </c>
      <c r="I568" s="5">
        <f>IF(D568="","",IFERROR(VLOOKUP(D568,'Items'!$A$2:$L$201,4,FALSE),""))</f>
        <v/>
      </c>
      <c r="J568" s="10">
        <f>IF(D568="","",IFERROR(VLOOKUP(D568,'Items'!$A$2:$L$201,10,FALSE),""))</f>
        <v/>
      </c>
      <c r="K568" s="10">
        <f>IF(OR(H568="",J568=""),"",H568*J568)</f>
        <v/>
      </c>
      <c r="L568" s="5">
        <f>IF(AND(B568="",D568=""),"",IF(B568="","Missing product",IF(D568="","Missing item",IF(C568="Product not found","Product not found",IF(E568="Item not found","Item not found",IF(OR(F568="",G568=""),"Missing quantity/unit",IF(IFERROR(VLOOKUP(G568,'Units'!$A$2:$D$13,3,FALSE),"")&lt;&gt;I568,"Unit mismatch",IF(J568="","Enter item cost","OK"))))))))</f>
        <v/>
      </c>
      <c r="M568" s="4" t="n"/>
    </row>
    <row r="569">
      <c r="A569" s="5">
        <f>IF(AND(B569="",D569=""),"",ROW()-1)</f>
        <v/>
      </c>
      <c r="B569" s="4" t="n"/>
      <c r="C569" s="5">
        <f>IF(B569="","",IFERROR(VLOOKUP(B569,'Products'!$A$2:$F$201,2,FALSE),"Product not found"))</f>
        <v/>
      </c>
      <c r="D569" s="4" t="n"/>
      <c r="E569" s="5">
        <f>IF(D569="","",IFERROR(VLOOKUP(D569,'Items'!$A$2:$L$201,2,FALSE),"Item not found"))</f>
        <v/>
      </c>
      <c r="F569" s="9" t="n"/>
      <c r="G569" s="4" t="n"/>
      <c r="H569" s="10">
        <f>IF(OR(F569="",G569=""),"",IFERROR(F569*VLOOKUP(G569,'Units'!$A$2:$D$13,4,FALSE),""))</f>
        <v/>
      </c>
      <c r="I569" s="5">
        <f>IF(D569="","",IFERROR(VLOOKUP(D569,'Items'!$A$2:$L$201,4,FALSE),""))</f>
        <v/>
      </c>
      <c r="J569" s="10">
        <f>IF(D569="","",IFERROR(VLOOKUP(D569,'Items'!$A$2:$L$201,10,FALSE),""))</f>
        <v/>
      </c>
      <c r="K569" s="10">
        <f>IF(OR(H569="",J569=""),"",H569*J569)</f>
        <v/>
      </c>
      <c r="L569" s="5">
        <f>IF(AND(B569="",D569=""),"",IF(B569="","Missing product",IF(D569="","Missing item",IF(C569="Product not found","Product not found",IF(E569="Item not found","Item not found",IF(OR(F569="",G569=""),"Missing quantity/unit",IF(IFERROR(VLOOKUP(G569,'Units'!$A$2:$D$13,3,FALSE),"")&lt;&gt;I569,"Unit mismatch",IF(J569="","Enter item cost","OK"))))))))</f>
        <v/>
      </c>
      <c r="M569" s="4" t="n"/>
    </row>
    <row r="570">
      <c r="A570" s="5">
        <f>IF(AND(B570="",D570=""),"",ROW()-1)</f>
        <v/>
      </c>
      <c r="B570" s="4" t="n"/>
      <c r="C570" s="5">
        <f>IF(B570="","",IFERROR(VLOOKUP(B570,'Products'!$A$2:$F$201,2,FALSE),"Product not found"))</f>
        <v/>
      </c>
      <c r="D570" s="4" t="n"/>
      <c r="E570" s="5">
        <f>IF(D570="","",IFERROR(VLOOKUP(D570,'Items'!$A$2:$L$201,2,FALSE),"Item not found"))</f>
        <v/>
      </c>
      <c r="F570" s="9" t="n"/>
      <c r="G570" s="4" t="n"/>
      <c r="H570" s="10">
        <f>IF(OR(F570="",G570=""),"",IFERROR(F570*VLOOKUP(G570,'Units'!$A$2:$D$13,4,FALSE),""))</f>
        <v/>
      </c>
      <c r="I570" s="5">
        <f>IF(D570="","",IFERROR(VLOOKUP(D570,'Items'!$A$2:$L$201,4,FALSE),""))</f>
        <v/>
      </c>
      <c r="J570" s="10">
        <f>IF(D570="","",IFERROR(VLOOKUP(D570,'Items'!$A$2:$L$201,10,FALSE),""))</f>
        <v/>
      </c>
      <c r="K570" s="10">
        <f>IF(OR(H570="",J570=""),"",H570*J570)</f>
        <v/>
      </c>
      <c r="L570" s="5">
        <f>IF(AND(B570="",D570=""),"",IF(B570="","Missing product",IF(D570="","Missing item",IF(C570="Product not found","Product not found",IF(E570="Item not found","Item not found",IF(OR(F570="",G570=""),"Missing quantity/unit",IF(IFERROR(VLOOKUP(G570,'Units'!$A$2:$D$13,3,FALSE),"")&lt;&gt;I570,"Unit mismatch",IF(J570="","Enter item cost","OK"))))))))</f>
        <v/>
      </c>
      <c r="M570" s="4" t="n"/>
    </row>
    <row r="571">
      <c r="A571" s="5">
        <f>IF(AND(B571="",D571=""),"",ROW()-1)</f>
        <v/>
      </c>
      <c r="B571" s="4" t="n"/>
      <c r="C571" s="5">
        <f>IF(B571="","",IFERROR(VLOOKUP(B571,'Products'!$A$2:$F$201,2,FALSE),"Product not found"))</f>
        <v/>
      </c>
      <c r="D571" s="4" t="n"/>
      <c r="E571" s="5">
        <f>IF(D571="","",IFERROR(VLOOKUP(D571,'Items'!$A$2:$L$201,2,FALSE),"Item not found"))</f>
        <v/>
      </c>
      <c r="F571" s="9" t="n"/>
      <c r="G571" s="4" t="n"/>
      <c r="H571" s="10">
        <f>IF(OR(F571="",G571=""),"",IFERROR(F571*VLOOKUP(G571,'Units'!$A$2:$D$13,4,FALSE),""))</f>
        <v/>
      </c>
      <c r="I571" s="5">
        <f>IF(D571="","",IFERROR(VLOOKUP(D571,'Items'!$A$2:$L$201,4,FALSE),""))</f>
        <v/>
      </c>
      <c r="J571" s="10">
        <f>IF(D571="","",IFERROR(VLOOKUP(D571,'Items'!$A$2:$L$201,10,FALSE),""))</f>
        <v/>
      </c>
      <c r="K571" s="10">
        <f>IF(OR(H571="",J571=""),"",H571*J571)</f>
        <v/>
      </c>
      <c r="L571" s="5">
        <f>IF(AND(B571="",D571=""),"",IF(B571="","Missing product",IF(D571="","Missing item",IF(C571="Product not found","Product not found",IF(E571="Item not found","Item not found",IF(OR(F571="",G571=""),"Missing quantity/unit",IF(IFERROR(VLOOKUP(G571,'Units'!$A$2:$D$13,3,FALSE),"")&lt;&gt;I571,"Unit mismatch",IF(J571="","Enter item cost","OK"))))))))</f>
        <v/>
      </c>
      <c r="M571" s="4" t="n"/>
    </row>
    <row r="572">
      <c r="A572" s="5">
        <f>IF(AND(B572="",D572=""),"",ROW()-1)</f>
        <v/>
      </c>
      <c r="B572" s="4" t="n"/>
      <c r="C572" s="5">
        <f>IF(B572="","",IFERROR(VLOOKUP(B572,'Products'!$A$2:$F$201,2,FALSE),"Product not found"))</f>
        <v/>
      </c>
      <c r="D572" s="4" t="n"/>
      <c r="E572" s="5">
        <f>IF(D572="","",IFERROR(VLOOKUP(D572,'Items'!$A$2:$L$201,2,FALSE),"Item not found"))</f>
        <v/>
      </c>
      <c r="F572" s="9" t="n"/>
      <c r="G572" s="4" t="n"/>
      <c r="H572" s="10">
        <f>IF(OR(F572="",G572=""),"",IFERROR(F572*VLOOKUP(G572,'Units'!$A$2:$D$13,4,FALSE),""))</f>
        <v/>
      </c>
      <c r="I572" s="5">
        <f>IF(D572="","",IFERROR(VLOOKUP(D572,'Items'!$A$2:$L$201,4,FALSE),""))</f>
        <v/>
      </c>
      <c r="J572" s="10">
        <f>IF(D572="","",IFERROR(VLOOKUP(D572,'Items'!$A$2:$L$201,10,FALSE),""))</f>
        <v/>
      </c>
      <c r="K572" s="10">
        <f>IF(OR(H572="",J572=""),"",H572*J572)</f>
        <v/>
      </c>
      <c r="L572" s="5">
        <f>IF(AND(B572="",D572=""),"",IF(B572="","Missing product",IF(D572="","Missing item",IF(C572="Product not found","Product not found",IF(E572="Item not found","Item not found",IF(OR(F572="",G572=""),"Missing quantity/unit",IF(IFERROR(VLOOKUP(G572,'Units'!$A$2:$D$13,3,FALSE),"")&lt;&gt;I572,"Unit mismatch",IF(J572="","Enter item cost","OK"))))))))</f>
        <v/>
      </c>
      <c r="M572" s="4" t="n"/>
    </row>
    <row r="573">
      <c r="A573" s="5">
        <f>IF(AND(B573="",D573=""),"",ROW()-1)</f>
        <v/>
      </c>
      <c r="B573" s="4" t="n"/>
      <c r="C573" s="5">
        <f>IF(B573="","",IFERROR(VLOOKUP(B573,'Products'!$A$2:$F$201,2,FALSE),"Product not found"))</f>
        <v/>
      </c>
      <c r="D573" s="4" t="n"/>
      <c r="E573" s="5">
        <f>IF(D573="","",IFERROR(VLOOKUP(D573,'Items'!$A$2:$L$201,2,FALSE),"Item not found"))</f>
        <v/>
      </c>
      <c r="F573" s="9" t="n"/>
      <c r="G573" s="4" t="n"/>
      <c r="H573" s="10">
        <f>IF(OR(F573="",G573=""),"",IFERROR(F573*VLOOKUP(G573,'Units'!$A$2:$D$13,4,FALSE),""))</f>
        <v/>
      </c>
      <c r="I573" s="5">
        <f>IF(D573="","",IFERROR(VLOOKUP(D573,'Items'!$A$2:$L$201,4,FALSE),""))</f>
        <v/>
      </c>
      <c r="J573" s="10">
        <f>IF(D573="","",IFERROR(VLOOKUP(D573,'Items'!$A$2:$L$201,10,FALSE),""))</f>
        <v/>
      </c>
      <c r="K573" s="10">
        <f>IF(OR(H573="",J573=""),"",H573*J573)</f>
        <v/>
      </c>
      <c r="L573" s="5">
        <f>IF(AND(B573="",D573=""),"",IF(B573="","Missing product",IF(D573="","Missing item",IF(C573="Product not found","Product not found",IF(E573="Item not found","Item not found",IF(OR(F573="",G573=""),"Missing quantity/unit",IF(IFERROR(VLOOKUP(G573,'Units'!$A$2:$D$13,3,FALSE),"")&lt;&gt;I573,"Unit mismatch",IF(J573="","Enter item cost","OK"))))))))</f>
        <v/>
      </c>
      <c r="M573" s="4" t="n"/>
    </row>
    <row r="574">
      <c r="A574" s="5">
        <f>IF(AND(B574="",D574=""),"",ROW()-1)</f>
        <v/>
      </c>
      <c r="B574" s="4" t="n"/>
      <c r="C574" s="5">
        <f>IF(B574="","",IFERROR(VLOOKUP(B574,'Products'!$A$2:$F$201,2,FALSE),"Product not found"))</f>
        <v/>
      </c>
      <c r="D574" s="4" t="n"/>
      <c r="E574" s="5">
        <f>IF(D574="","",IFERROR(VLOOKUP(D574,'Items'!$A$2:$L$201,2,FALSE),"Item not found"))</f>
        <v/>
      </c>
      <c r="F574" s="9" t="n"/>
      <c r="G574" s="4" t="n"/>
      <c r="H574" s="10">
        <f>IF(OR(F574="",G574=""),"",IFERROR(F574*VLOOKUP(G574,'Units'!$A$2:$D$13,4,FALSE),""))</f>
        <v/>
      </c>
      <c r="I574" s="5">
        <f>IF(D574="","",IFERROR(VLOOKUP(D574,'Items'!$A$2:$L$201,4,FALSE),""))</f>
        <v/>
      </c>
      <c r="J574" s="10">
        <f>IF(D574="","",IFERROR(VLOOKUP(D574,'Items'!$A$2:$L$201,10,FALSE),""))</f>
        <v/>
      </c>
      <c r="K574" s="10">
        <f>IF(OR(H574="",J574=""),"",H574*J574)</f>
        <v/>
      </c>
      <c r="L574" s="5">
        <f>IF(AND(B574="",D574=""),"",IF(B574="","Missing product",IF(D574="","Missing item",IF(C574="Product not found","Product not found",IF(E574="Item not found","Item not found",IF(OR(F574="",G574=""),"Missing quantity/unit",IF(IFERROR(VLOOKUP(G574,'Units'!$A$2:$D$13,3,FALSE),"")&lt;&gt;I574,"Unit mismatch",IF(J574="","Enter item cost","OK"))))))))</f>
        <v/>
      </c>
      <c r="M574" s="4" t="n"/>
    </row>
    <row r="575">
      <c r="A575" s="5">
        <f>IF(AND(B575="",D575=""),"",ROW()-1)</f>
        <v/>
      </c>
      <c r="B575" s="4" t="n"/>
      <c r="C575" s="5">
        <f>IF(B575="","",IFERROR(VLOOKUP(B575,'Products'!$A$2:$F$201,2,FALSE),"Product not found"))</f>
        <v/>
      </c>
      <c r="D575" s="4" t="n"/>
      <c r="E575" s="5">
        <f>IF(D575="","",IFERROR(VLOOKUP(D575,'Items'!$A$2:$L$201,2,FALSE),"Item not found"))</f>
        <v/>
      </c>
      <c r="F575" s="9" t="n"/>
      <c r="G575" s="4" t="n"/>
      <c r="H575" s="10">
        <f>IF(OR(F575="",G575=""),"",IFERROR(F575*VLOOKUP(G575,'Units'!$A$2:$D$13,4,FALSE),""))</f>
        <v/>
      </c>
      <c r="I575" s="5">
        <f>IF(D575="","",IFERROR(VLOOKUP(D575,'Items'!$A$2:$L$201,4,FALSE),""))</f>
        <v/>
      </c>
      <c r="J575" s="10">
        <f>IF(D575="","",IFERROR(VLOOKUP(D575,'Items'!$A$2:$L$201,10,FALSE),""))</f>
        <v/>
      </c>
      <c r="K575" s="10">
        <f>IF(OR(H575="",J575=""),"",H575*J575)</f>
        <v/>
      </c>
      <c r="L575" s="5">
        <f>IF(AND(B575="",D575=""),"",IF(B575="","Missing product",IF(D575="","Missing item",IF(C575="Product not found","Product not found",IF(E575="Item not found","Item not found",IF(OR(F575="",G575=""),"Missing quantity/unit",IF(IFERROR(VLOOKUP(G575,'Units'!$A$2:$D$13,3,FALSE),"")&lt;&gt;I575,"Unit mismatch",IF(J575="","Enter item cost","OK"))))))))</f>
        <v/>
      </c>
      <c r="M575" s="4" t="n"/>
    </row>
    <row r="576">
      <c r="A576" s="5">
        <f>IF(AND(B576="",D576=""),"",ROW()-1)</f>
        <v/>
      </c>
      <c r="B576" s="4" t="n"/>
      <c r="C576" s="5">
        <f>IF(B576="","",IFERROR(VLOOKUP(B576,'Products'!$A$2:$F$201,2,FALSE),"Product not found"))</f>
        <v/>
      </c>
      <c r="D576" s="4" t="n"/>
      <c r="E576" s="5">
        <f>IF(D576="","",IFERROR(VLOOKUP(D576,'Items'!$A$2:$L$201,2,FALSE),"Item not found"))</f>
        <v/>
      </c>
      <c r="F576" s="9" t="n"/>
      <c r="G576" s="4" t="n"/>
      <c r="H576" s="10">
        <f>IF(OR(F576="",G576=""),"",IFERROR(F576*VLOOKUP(G576,'Units'!$A$2:$D$13,4,FALSE),""))</f>
        <v/>
      </c>
      <c r="I576" s="5">
        <f>IF(D576="","",IFERROR(VLOOKUP(D576,'Items'!$A$2:$L$201,4,FALSE),""))</f>
        <v/>
      </c>
      <c r="J576" s="10">
        <f>IF(D576="","",IFERROR(VLOOKUP(D576,'Items'!$A$2:$L$201,10,FALSE),""))</f>
        <v/>
      </c>
      <c r="K576" s="10">
        <f>IF(OR(H576="",J576=""),"",H576*J576)</f>
        <v/>
      </c>
      <c r="L576" s="5">
        <f>IF(AND(B576="",D576=""),"",IF(B576="","Missing product",IF(D576="","Missing item",IF(C576="Product not found","Product not found",IF(E576="Item not found","Item not found",IF(OR(F576="",G576=""),"Missing quantity/unit",IF(IFERROR(VLOOKUP(G576,'Units'!$A$2:$D$13,3,FALSE),"")&lt;&gt;I576,"Unit mismatch",IF(J576="","Enter item cost","OK"))))))))</f>
        <v/>
      </c>
      <c r="M576" s="4" t="n"/>
    </row>
    <row r="577">
      <c r="A577" s="5">
        <f>IF(AND(B577="",D577=""),"",ROW()-1)</f>
        <v/>
      </c>
      <c r="B577" s="4" t="n"/>
      <c r="C577" s="5">
        <f>IF(B577="","",IFERROR(VLOOKUP(B577,'Products'!$A$2:$F$201,2,FALSE),"Product not found"))</f>
        <v/>
      </c>
      <c r="D577" s="4" t="n"/>
      <c r="E577" s="5">
        <f>IF(D577="","",IFERROR(VLOOKUP(D577,'Items'!$A$2:$L$201,2,FALSE),"Item not found"))</f>
        <v/>
      </c>
      <c r="F577" s="9" t="n"/>
      <c r="G577" s="4" t="n"/>
      <c r="H577" s="10">
        <f>IF(OR(F577="",G577=""),"",IFERROR(F577*VLOOKUP(G577,'Units'!$A$2:$D$13,4,FALSE),""))</f>
        <v/>
      </c>
      <c r="I577" s="5">
        <f>IF(D577="","",IFERROR(VLOOKUP(D577,'Items'!$A$2:$L$201,4,FALSE),""))</f>
        <v/>
      </c>
      <c r="J577" s="10">
        <f>IF(D577="","",IFERROR(VLOOKUP(D577,'Items'!$A$2:$L$201,10,FALSE),""))</f>
        <v/>
      </c>
      <c r="K577" s="10">
        <f>IF(OR(H577="",J577=""),"",H577*J577)</f>
        <v/>
      </c>
      <c r="L577" s="5">
        <f>IF(AND(B577="",D577=""),"",IF(B577="","Missing product",IF(D577="","Missing item",IF(C577="Product not found","Product not found",IF(E577="Item not found","Item not found",IF(OR(F577="",G577=""),"Missing quantity/unit",IF(IFERROR(VLOOKUP(G577,'Units'!$A$2:$D$13,3,FALSE),"")&lt;&gt;I577,"Unit mismatch",IF(J577="","Enter item cost","OK"))))))))</f>
        <v/>
      </c>
      <c r="M577" s="4" t="n"/>
    </row>
    <row r="578">
      <c r="A578" s="5">
        <f>IF(AND(B578="",D578=""),"",ROW()-1)</f>
        <v/>
      </c>
      <c r="B578" s="4" t="n"/>
      <c r="C578" s="5">
        <f>IF(B578="","",IFERROR(VLOOKUP(B578,'Products'!$A$2:$F$201,2,FALSE),"Product not found"))</f>
        <v/>
      </c>
      <c r="D578" s="4" t="n"/>
      <c r="E578" s="5">
        <f>IF(D578="","",IFERROR(VLOOKUP(D578,'Items'!$A$2:$L$201,2,FALSE),"Item not found"))</f>
        <v/>
      </c>
      <c r="F578" s="9" t="n"/>
      <c r="G578" s="4" t="n"/>
      <c r="H578" s="10">
        <f>IF(OR(F578="",G578=""),"",IFERROR(F578*VLOOKUP(G578,'Units'!$A$2:$D$13,4,FALSE),""))</f>
        <v/>
      </c>
      <c r="I578" s="5">
        <f>IF(D578="","",IFERROR(VLOOKUP(D578,'Items'!$A$2:$L$201,4,FALSE),""))</f>
        <v/>
      </c>
      <c r="J578" s="10">
        <f>IF(D578="","",IFERROR(VLOOKUP(D578,'Items'!$A$2:$L$201,10,FALSE),""))</f>
        <v/>
      </c>
      <c r="K578" s="10">
        <f>IF(OR(H578="",J578=""),"",H578*J578)</f>
        <v/>
      </c>
      <c r="L578" s="5">
        <f>IF(AND(B578="",D578=""),"",IF(B578="","Missing product",IF(D578="","Missing item",IF(C578="Product not found","Product not found",IF(E578="Item not found","Item not found",IF(OR(F578="",G578=""),"Missing quantity/unit",IF(IFERROR(VLOOKUP(G578,'Units'!$A$2:$D$13,3,FALSE),"")&lt;&gt;I578,"Unit mismatch",IF(J578="","Enter item cost","OK"))))))))</f>
        <v/>
      </c>
      <c r="M578" s="4" t="n"/>
    </row>
    <row r="579">
      <c r="A579" s="5">
        <f>IF(AND(B579="",D579=""),"",ROW()-1)</f>
        <v/>
      </c>
      <c r="B579" s="4" t="n"/>
      <c r="C579" s="5">
        <f>IF(B579="","",IFERROR(VLOOKUP(B579,'Products'!$A$2:$F$201,2,FALSE),"Product not found"))</f>
        <v/>
      </c>
      <c r="D579" s="4" t="n"/>
      <c r="E579" s="5">
        <f>IF(D579="","",IFERROR(VLOOKUP(D579,'Items'!$A$2:$L$201,2,FALSE),"Item not found"))</f>
        <v/>
      </c>
      <c r="F579" s="9" t="n"/>
      <c r="G579" s="4" t="n"/>
      <c r="H579" s="10">
        <f>IF(OR(F579="",G579=""),"",IFERROR(F579*VLOOKUP(G579,'Units'!$A$2:$D$13,4,FALSE),""))</f>
        <v/>
      </c>
      <c r="I579" s="5">
        <f>IF(D579="","",IFERROR(VLOOKUP(D579,'Items'!$A$2:$L$201,4,FALSE),""))</f>
        <v/>
      </c>
      <c r="J579" s="10">
        <f>IF(D579="","",IFERROR(VLOOKUP(D579,'Items'!$A$2:$L$201,10,FALSE),""))</f>
        <v/>
      </c>
      <c r="K579" s="10">
        <f>IF(OR(H579="",J579=""),"",H579*J579)</f>
        <v/>
      </c>
      <c r="L579" s="5">
        <f>IF(AND(B579="",D579=""),"",IF(B579="","Missing product",IF(D579="","Missing item",IF(C579="Product not found","Product not found",IF(E579="Item not found","Item not found",IF(OR(F579="",G579=""),"Missing quantity/unit",IF(IFERROR(VLOOKUP(G579,'Units'!$A$2:$D$13,3,FALSE),"")&lt;&gt;I579,"Unit mismatch",IF(J579="","Enter item cost","OK"))))))))</f>
        <v/>
      </c>
      <c r="M579" s="4" t="n"/>
    </row>
    <row r="580">
      <c r="A580" s="5">
        <f>IF(AND(B580="",D580=""),"",ROW()-1)</f>
        <v/>
      </c>
      <c r="B580" s="4" t="n"/>
      <c r="C580" s="5">
        <f>IF(B580="","",IFERROR(VLOOKUP(B580,'Products'!$A$2:$F$201,2,FALSE),"Product not found"))</f>
        <v/>
      </c>
      <c r="D580" s="4" t="n"/>
      <c r="E580" s="5">
        <f>IF(D580="","",IFERROR(VLOOKUP(D580,'Items'!$A$2:$L$201,2,FALSE),"Item not found"))</f>
        <v/>
      </c>
      <c r="F580" s="9" t="n"/>
      <c r="G580" s="4" t="n"/>
      <c r="H580" s="10">
        <f>IF(OR(F580="",G580=""),"",IFERROR(F580*VLOOKUP(G580,'Units'!$A$2:$D$13,4,FALSE),""))</f>
        <v/>
      </c>
      <c r="I580" s="5">
        <f>IF(D580="","",IFERROR(VLOOKUP(D580,'Items'!$A$2:$L$201,4,FALSE),""))</f>
        <v/>
      </c>
      <c r="J580" s="10">
        <f>IF(D580="","",IFERROR(VLOOKUP(D580,'Items'!$A$2:$L$201,10,FALSE),""))</f>
        <v/>
      </c>
      <c r="K580" s="10">
        <f>IF(OR(H580="",J580=""),"",H580*J580)</f>
        <v/>
      </c>
      <c r="L580" s="5">
        <f>IF(AND(B580="",D580=""),"",IF(B580="","Missing product",IF(D580="","Missing item",IF(C580="Product not found","Product not found",IF(E580="Item not found","Item not found",IF(OR(F580="",G580=""),"Missing quantity/unit",IF(IFERROR(VLOOKUP(G580,'Units'!$A$2:$D$13,3,FALSE),"")&lt;&gt;I580,"Unit mismatch",IF(J580="","Enter item cost","OK"))))))))</f>
        <v/>
      </c>
      <c r="M580" s="4" t="n"/>
    </row>
    <row r="581">
      <c r="A581" s="5">
        <f>IF(AND(B581="",D581=""),"",ROW()-1)</f>
        <v/>
      </c>
      <c r="B581" s="4" t="n"/>
      <c r="C581" s="5">
        <f>IF(B581="","",IFERROR(VLOOKUP(B581,'Products'!$A$2:$F$201,2,FALSE),"Product not found"))</f>
        <v/>
      </c>
      <c r="D581" s="4" t="n"/>
      <c r="E581" s="5">
        <f>IF(D581="","",IFERROR(VLOOKUP(D581,'Items'!$A$2:$L$201,2,FALSE),"Item not found"))</f>
        <v/>
      </c>
      <c r="F581" s="9" t="n"/>
      <c r="G581" s="4" t="n"/>
      <c r="H581" s="10">
        <f>IF(OR(F581="",G581=""),"",IFERROR(F581*VLOOKUP(G581,'Units'!$A$2:$D$13,4,FALSE),""))</f>
        <v/>
      </c>
      <c r="I581" s="5">
        <f>IF(D581="","",IFERROR(VLOOKUP(D581,'Items'!$A$2:$L$201,4,FALSE),""))</f>
        <v/>
      </c>
      <c r="J581" s="10">
        <f>IF(D581="","",IFERROR(VLOOKUP(D581,'Items'!$A$2:$L$201,10,FALSE),""))</f>
        <v/>
      </c>
      <c r="K581" s="10">
        <f>IF(OR(H581="",J581=""),"",H581*J581)</f>
        <v/>
      </c>
      <c r="L581" s="5">
        <f>IF(AND(B581="",D581=""),"",IF(B581="","Missing product",IF(D581="","Missing item",IF(C581="Product not found","Product not found",IF(E581="Item not found","Item not found",IF(OR(F581="",G581=""),"Missing quantity/unit",IF(IFERROR(VLOOKUP(G581,'Units'!$A$2:$D$13,3,FALSE),"")&lt;&gt;I581,"Unit mismatch",IF(J581="","Enter item cost","OK"))))))))</f>
        <v/>
      </c>
      <c r="M581" s="4" t="n"/>
    </row>
    <row r="582">
      <c r="A582" s="5">
        <f>IF(AND(B582="",D582=""),"",ROW()-1)</f>
        <v/>
      </c>
      <c r="B582" s="4" t="n"/>
      <c r="C582" s="5">
        <f>IF(B582="","",IFERROR(VLOOKUP(B582,'Products'!$A$2:$F$201,2,FALSE),"Product not found"))</f>
        <v/>
      </c>
      <c r="D582" s="4" t="n"/>
      <c r="E582" s="5">
        <f>IF(D582="","",IFERROR(VLOOKUP(D582,'Items'!$A$2:$L$201,2,FALSE),"Item not found"))</f>
        <v/>
      </c>
      <c r="F582" s="9" t="n"/>
      <c r="G582" s="4" t="n"/>
      <c r="H582" s="10">
        <f>IF(OR(F582="",G582=""),"",IFERROR(F582*VLOOKUP(G582,'Units'!$A$2:$D$13,4,FALSE),""))</f>
        <v/>
      </c>
      <c r="I582" s="5">
        <f>IF(D582="","",IFERROR(VLOOKUP(D582,'Items'!$A$2:$L$201,4,FALSE),""))</f>
        <v/>
      </c>
      <c r="J582" s="10">
        <f>IF(D582="","",IFERROR(VLOOKUP(D582,'Items'!$A$2:$L$201,10,FALSE),""))</f>
        <v/>
      </c>
      <c r="K582" s="10">
        <f>IF(OR(H582="",J582=""),"",H582*J582)</f>
        <v/>
      </c>
      <c r="L582" s="5">
        <f>IF(AND(B582="",D582=""),"",IF(B582="","Missing product",IF(D582="","Missing item",IF(C582="Product not found","Product not found",IF(E582="Item not found","Item not found",IF(OR(F582="",G582=""),"Missing quantity/unit",IF(IFERROR(VLOOKUP(G582,'Units'!$A$2:$D$13,3,FALSE),"")&lt;&gt;I582,"Unit mismatch",IF(J582="","Enter item cost","OK"))))))))</f>
        <v/>
      </c>
      <c r="M582" s="4" t="n"/>
    </row>
    <row r="583">
      <c r="A583" s="5">
        <f>IF(AND(B583="",D583=""),"",ROW()-1)</f>
        <v/>
      </c>
      <c r="B583" s="4" t="n"/>
      <c r="C583" s="5">
        <f>IF(B583="","",IFERROR(VLOOKUP(B583,'Products'!$A$2:$F$201,2,FALSE),"Product not found"))</f>
        <v/>
      </c>
      <c r="D583" s="4" t="n"/>
      <c r="E583" s="5">
        <f>IF(D583="","",IFERROR(VLOOKUP(D583,'Items'!$A$2:$L$201,2,FALSE),"Item not found"))</f>
        <v/>
      </c>
      <c r="F583" s="9" t="n"/>
      <c r="G583" s="4" t="n"/>
      <c r="H583" s="10">
        <f>IF(OR(F583="",G583=""),"",IFERROR(F583*VLOOKUP(G583,'Units'!$A$2:$D$13,4,FALSE),""))</f>
        <v/>
      </c>
      <c r="I583" s="5">
        <f>IF(D583="","",IFERROR(VLOOKUP(D583,'Items'!$A$2:$L$201,4,FALSE),""))</f>
        <v/>
      </c>
      <c r="J583" s="10">
        <f>IF(D583="","",IFERROR(VLOOKUP(D583,'Items'!$A$2:$L$201,10,FALSE),""))</f>
        <v/>
      </c>
      <c r="K583" s="10">
        <f>IF(OR(H583="",J583=""),"",H583*J583)</f>
        <v/>
      </c>
      <c r="L583" s="5">
        <f>IF(AND(B583="",D583=""),"",IF(B583="","Missing product",IF(D583="","Missing item",IF(C583="Product not found","Product not found",IF(E583="Item not found","Item not found",IF(OR(F583="",G583=""),"Missing quantity/unit",IF(IFERROR(VLOOKUP(G583,'Units'!$A$2:$D$13,3,FALSE),"")&lt;&gt;I583,"Unit mismatch",IF(J583="","Enter item cost","OK"))))))))</f>
        <v/>
      </c>
      <c r="M583" s="4" t="n"/>
    </row>
    <row r="584">
      <c r="A584" s="5">
        <f>IF(AND(B584="",D584=""),"",ROW()-1)</f>
        <v/>
      </c>
      <c r="B584" s="4" t="n"/>
      <c r="C584" s="5">
        <f>IF(B584="","",IFERROR(VLOOKUP(B584,'Products'!$A$2:$F$201,2,FALSE),"Product not found"))</f>
        <v/>
      </c>
      <c r="D584" s="4" t="n"/>
      <c r="E584" s="5">
        <f>IF(D584="","",IFERROR(VLOOKUP(D584,'Items'!$A$2:$L$201,2,FALSE),"Item not found"))</f>
        <v/>
      </c>
      <c r="F584" s="9" t="n"/>
      <c r="G584" s="4" t="n"/>
      <c r="H584" s="10">
        <f>IF(OR(F584="",G584=""),"",IFERROR(F584*VLOOKUP(G584,'Units'!$A$2:$D$13,4,FALSE),""))</f>
        <v/>
      </c>
      <c r="I584" s="5">
        <f>IF(D584="","",IFERROR(VLOOKUP(D584,'Items'!$A$2:$L$201,4,FALSE),""))</f>
        <v/>
      </c>
      <c r="J584" s="10">
        <f>IF(D584="","",IFERROR(VLOOKUP(D584,'Items'!$A$2:$L$201,10,FALSE),""))</f>
        <v/>
      </c>
      <c r="K584" s="10">
        <f>IF(OR(H584="",J584=""),"",H584*J584)</f>
        <v/>
      </c>
      <c r="L584" s="5">
        <f>IF(AND(B584="",D584=""),"",IF(B584="","Missing product",IF(D584="","Missing item",IF(C584="Product not found","Product not found",IF(E584="Item not found","Item not found",IF(OR(F584="",G584=""),"Missing quantity/unit",IF(IFERROR(VLOOKUP(G584,'Units'!$A$2:$D$13,3,FALSE),"")&lt;&gt;I584,"Unit mismatch",IF(J584="","Enter item cost","OK"))))))))</f>
        <v/>
      </c>
      <c r="M584" s="4" t="n"/>
    </row>
    <row r="585">
      <c r="A585" s="5">
        <f>IF(AND(B585="",D585=""),"",ROW()-1)</f>
        <v/>
      </c>
      <c r="B585" s="4" t="n"/>
      <c r="C585" s="5">
        <f>IF(B585="","",IFERROR(VLOOKUP(B585,'Products'!$A$2:$F$201,2,FALSE),"Product not found"))</f>
        <v/>
      </c>
      <c r="D585" s="4" t="n"/>
      <c r="E585" s="5">
        <f>IF(D585="","",IFERROR(VLOOKUP(D585,'Items'!$A$2:$L$201,2,FALSE),"Item not found"))</f>
        <v/>
      </c>
      <c r="F585" s="9" t="n"/>
      <c r="G585" s="4" t="n"/>
      <c r="H585" s="10">
        <f>IF(OR(F585="",G585=""),"",IFERROR(F585*VLOOKUP(G585,'Units'!$A$2:$D$13,4,FALSE),""))</f>
        <v/>
      </c>
      <c r="I585" s="5">
        <f>IF(D585="","",IFERROR(VLOOKUP(D585,'Items'!$A$2:$L$201,4,FALSE),""))</f>
        <v/>
      </c>
      <c r="J585" s="10">
        <f>IF(D585="","",IFERROR(VLOOKUP(D585,'Items'!$A$2:$L$201,10,FALSE),""))</f>
        <v/>
      </c>
      <c r="K585" s="10">
        <f>IF(OR(H585="",J585=""),"",H585*J585)</f>
        <v/>
      </c>
      <c r="L585" s="5">
        <f>IF(AND(B585="",D585=""),"",IF(B585="","Missing product",IF(D585="","Missing item",IF(C585="Product not found","Product not found",IF(E585="Item not found","Item not found",IF(OR(F585="",G585=""),"Missing quantity/unit",IF(IFERROR(VLOOKUP(G585,'Units'!$A$2:$D$13,3,FALSE),"")&lt;&gt;I585,"Unit mismatch",IF(J585="","Enter item cost","OK"))))))))</f>
        <v/>
      </c>
      <c r="M585" s="4" t="n"/>
    </row>
    <row r="586">
      <c r="A586" s="5">
        <f>IF(AND(B586="",D586=""),"",ROW()-1)</f>
        <v/>
      </c>
      <c r="B586" s="4" t="n"/>
      <c r="C586" s="5">
        <f>IF(B586="","",IFERROR(VLOOKUP(B586,'Products'!$A$2:$F$201,2,FALSE),"Product not found"))</f>
        <v/>
      </c>
      <c r="D586" s="4" t="n"/>
      <c r="E586" s="5">
        <f>IF(D586="","",IFERROR(VLOOKUP(D586,'Items'!$A$2:$L$201,2,FALSE),"Item not found"))</f>
        <v/>
      </c>
      <c r="F586" s="9" t="n"/>
      <c r="G586" s="4" t="n"/>
      <c r="H586" s="10">
        <f>IF(OR(F586="",G586=""),"",IFERROR(F586*VLOOKUP(G586,'Units'!$A$2:$D$13,4,FALSE),""))</f>
        <v/>
      </c>
      <c r="I586" s="5">
        <f>IF(D586="","",IFERROR(VLOOKUP(D586,'Items'!$A$2:$L$201,4,FALSE),""))</f>
        <v/>
      </c>
      <c r="J586" s="10">
        <f>IF(D586="","",IFERROR(VLOOKUP(D586,'Items'!$A$2:$L$201,10,FALSE),""))</f>
        <v/>
      </c>
      <c r="K586" s="10">
        <f>IF(OR(H586="",J586=""),"",H586*J586)</f>
        <v/>
      </c>
      <c r="L586" s="5">
        <f>IF(AND(B586="",D586=""),"",IF(B586="","Missing product",IF(D586="","Missing item",IF(C586="Product not found","Product not found",IF(E586="Item not found","Item not found",IF(OR(F586="",G586=""),"Missing quantity/unit",IF(IFERROR(VLOOKUP(G586,'Units'!$A$2:$D$13,3,FALSE),"")&lt;&gt;I586,"Unit mismatch",IF(J586="","Enter item cost","OK"))))))))</f>
        <v/>
      </c>
      <c r="M586" s="4" t="n"/>
    </row>
    <row r="587">
      <c r="A587" s="5">
        <f>IF(AND(B587="",D587=""),"",ROW()-1)</f>
        <v/>
      </c>
      <c r="B587" s="4" t="n"/>
      <c r="C587" s="5">
        <f>IF(B587="","",IFERROR(VLOOKUP(B587,'Products'!$A$2:$F$201,2,FALSE),"Product not found"))</f>
        <v/>
      </c>
      <c r="D587" s="4" t="n"/>
      <c r="E587" s="5">
        <f>IF(D587="","",IFERROR(VLOOKUP(D587,'Items'!$A$2:$L$201,2,FALSE),"Item not found"))</f>
        <v/>
      </c>
      <c r="F587" s="9" t="n"/>
      <c r="G587" s="4" t="n"/>
      <c r="H587" s="10">
        <f>IF(OR(F587="",G587=""),"",IFERROR(F587*VLOOKUP(G587,'Units'!$A$2:$D$13,4,FALSE),""))</f>
        <v/>
      </c>
      <c r="I587" s="5">
        <f>IF(D587="","",IFERROR(VLOOKUP(D587,'Items'!$A$2:$L$201,4,FALSE),""))</f>
        <v/>
      </c>
      <c r="J587" s="10">
        <f>IF(D587="","",IFERROR(VLOOKUP(D587,'Items'!$A$2:$L$201,10,FALSE),""))</f>
        <v/>
      </c>
      <c r="K587" s="10">
        <f>IF(OR(H587="",J587=""),"",H587*J587)</f>
        <v/>
      </c>
      <c r="L587" s="5">
        <f>IF(AND(B587="",D587=""),"",IF(B587="","Missing product",IF(D587="","Missing item",IF(C587="Product not found","Product not found",IF(E587="Item not found","Item not found",IF(OR(F587="",G587=""),"Missing quantity/unit",IF(IFERROR(VLOOKUP(G587,'Units'!$A$2:$D$13,3,FALSE),"")&lt;&gt;I587,"Unit mismatch",IF(J587="","Enter item cost","OK"))))))))</f>
        <v/>
      </c>
      <c r="M587" s="4" t="n"/>
    </row>
    <row r="588">
      <c r="A588" s="5">
        <f>IF(AND(B588="",D588=""),"",ROW()-1)</f>
        <v/>
      </c>
      <c r="B588" s="4" t="n"/>
      <c r="C588" s="5">
        <f>IF(B588="","",IFERROR(VLOOKUP(B588,'Products'!$A$2:$F$201,2,FALSE),"Product not found"))</f>
        <v/>
      </c>
      <c r="D588" s="4" t="n"/>
      <c r="E588" s="5">
        <f>IF(D588="","",IFERROR(VLOOKUP(D588,'Items'!$A$2:$L$201,2,FALSE),"Item not found"))</f>
        <v/>
      </c>
      <c r="F588" s="9" t="n"/>
      <c r="G588" s="4" t="n"/>
      <c r="H588" s="10">
        <f>IF(OR(F588="",G588=""),"",IFERROR(F588*VLOOKUP(G588,'Units'!$A$2:$D$13,4,FALSE),""))</f>
        <v/>
      </c>
      <c r="I588" s="5">
        <f>IF(D588="","",IFERROR(VLOOKUP(D588,'Items'!$A$2:$L$201,4,FALSE),""))</f>
        <v/>
      </c>
      <c r="J588" s="10">
        <f>IF(D588="","",IFERROR(VLOOKUP(D588,'Items'!$A$2:$L$201,10,FALSE),""))</f>
        <v/>
      </c>
      <c r="K588" s="10">
        <f>IF(OR(H588="",J588=""),"",H588*J588)</f>
        <v/>
      </c>
      <c r="L588" s="5">
        <f>IF(AND(B588="",D588=""),"",IF(B588="","Missing product",IF(D588="","Missing item",IF(C588="Product not found","Product not found",IF(E588="Item not found","Item not found",IF(OR(F588="",G588=""),"Missing quantity/unit",IF(IFERROR(VLOOKUP(G588,'Units'!$A$2:$D$13,3,FALSE),"")&lt;&gt;I588,"Unit mismatch",IF(J588="","Enter item cost","OK"))))))))</f>
        <v/>
      </c>
      <c r="M588" s="4" t="n"/>
    </row>
    <row r="589">
      <c r="A589" s="5">
        <f>IF(AND(B589="",D589=""),"",ROW()-1)</f>
        <v/>
      </c>
      <c r="B589" s="4" t="n"/>
      <c r="C589" s="5">
        <f>IF(B589="","",IFERROR(VLOOKUP(B589,'Products'!$A$2:$F$201,2,FALSE),"Product not found"))</f>
        <v/>
      </c>
      <c r="D589" s="4" t="n"/>
      <c r="E589" s="5">
        <f>IF(D589="","",IFERROR(VLOOKUP(D589,'Items'!$A$2:$L$201,2,FALSE),"Item not found"))</f>
        <v/>
      </c>
      <c r="F589" s="9" t="n"/>
      <c r="G589" s="4" t="n"/>
      <c r="H589" s="10">
        <f>IF(OR(F589="",G589=""),"",IFERROR(F589*VLOOKUP(G589,'Units'!$A$2:$D$13,4,FALSE),""))</f>
        <v/>
      </c>
      <c r="I589" s="5">
        <f>IF(D589="","",IFERROR(VLOOKUP(D589,'Items'!$A$2:$L$201,4,FALSE),""))</f>
        <v/>
      </c>
      <c r="J589" s="10">
        <f>IF(D589="","",IFERROR(VLOOKUP(D589,'Items'!$A$2:$L$201,10,FALSE),""))</f>
        <v/>
      </c>
      <c r="K589" s="10">
        <f>IF(OR(H589="",J589=""),"",H589*J589)</f>
        <v/>
      </c>
      <c r="L589" s="5">
        <f>IF(AND(B589="",D589=""),"",IF(B589="","Missing product",IF(D589="","Missing item",IF(C589="Product not found","Product not found",IF(E589="Item not found","Item not found",IF(OR(F589="",G589=""),"Missing quantity/unit",IF(IFERROR(VLOOKUP(G589,'Units'!$A$2:$D$13,3,FALSE),"")&lt;&gt;I589,"Unit mismatch",IF(J589="","Enter item cost","OK"))))))))</f>
        <v/>
      </c>
      <c r="M589" s="4" t="n"/>
    </row>
    <row r="590">
      <c r="A590" s="5">
        <f>IF(AND(B590="",D590=""),"",ROW()-1)</f>
        <v/>
      </c>
      <c r="B590" s="4" t="n"/>
      <c r="C590" s="5">
        <f>IF(B590="","",IFERROR(VLOOKUP(B590,'Products'!$A$2:$F$201,2,FALSE),"Product not found"))</f>
        <v/>
      </c>
      <c r="D590" s="4" t="n"/>
      <c r="E590" s="5">
        <f>IF(D590="","",IFERROR(VLOOKUP(D590,'Items'!$A$2:$L$201,2,FALSE),"Item not found"))</f>
        <v/>
      </c>
      <c r="F590" s="9" t="n"/>
      <c r="G590" s="4" t="n"/>
      <c r="H590" s="10">
        <f>IF(OR(F590="",G590=""),"",IFERROR(F590*VLOOKUP(G590,'Units'!$A$2:$D$13,4,FALSE),""))</f>
        <v/>
      </c>
      <c r="I590" s="5">
        <f>IF(D590="","",IFERROR(VLOOKUP(D590,'Items'!$A$2:$L$201,4,FALSE),""))</f>
        <v/>
      </c>
      <c r="J590" s="10">
        <f>IF(D590="","",IFERROR(VLOOKUP(D590,'Items'!$A$2:$L$201,10,FALSE),""))</f>
        <v/>
      </c>
      <c r="K590" s="10">
        <f>IF(OR(H590="",J590=""),"",H590*J590)</f>
        <v/>
      </c>
      <c r="L590" s="5">
        <f>IF(AND(B590="",D590=""),"",IF(B590="","Missing product",IF(D590="","Missing item",IF(C590="Product not found","Product not found",IF(E590="Item not found","Item not found",IF(OR(F590="",G590=""),"Missing quantity/unit",IF(IFERROR(VLOOKUP(G590,'Units'!$A$2:$D$13,3,FALSE),"")&lt;&gt;I590,"Unit mismatch",IF(J590="","Enter item cost","OK"))))))))</f>
        <v/>
      </c>
      <c r="M590" s="4" t="n"/>
    </row>
    <row r="591">
      <c r="A591" s="5">
        <f>IF(AND(B591="",D591=""),"",ROW()-1)</f>
        <v/>
      </c>
      <c r="B591" s="4" t="n"/>
      <c r="C591" s="5">
        <f>IF(B591="","",IFERROR(VLOOKUP(B591,'Products'!$A$2:$F$201,2,FALSE),"Product not found"))</f>
        <v/>
      </c>
      <c r="D591" s="4" t="n"/>
      <c r="E591" s="5">
        <f>IF(D591="","",IFERROR(VLOOKUP(D591,'Items'!$A$2:$L$201,2,FALSE),"Item not found"))</f>
        <v/>
      </c>
      <c r="F591" s="9" t="n"/>
      <c r="G591" s="4" t="n"/>
      <c r="H591" s="10">
        <f>IF(OR(F591="",G591=""),"",IFERROR(F591*VLOOKUP(G591,'Units'!$A$2:$D$13,4,FALSE),""))</f>
        <v/>
      </c>
      <c r="I591" s="5">
        <f>IF(D591="","",IFERROR(VLOOKUP(D591,'Items'!$A$2:$L$201,4,FALSE),""))</f>
        <v/>
      </c>
      <c r="J591" s="10">
        <f>IF(D591="","",IFERROR(VLOOKUP(D591,'Items'!$A$2:$L$201,10,FALSE),""))</f>
        <v/>
      </c>
      <c r="K591" s="10">
        <f>IF(OR(H591="",J591=""),"",H591*J591)</f>
        <v/>
      </c>
      <c r="L591" s="5">
        <f>IF(AND(B591="",D591=""),"",IF(B591="","Missing product",IF(D591="","Missing item",IF(C591="Product not found","Product not found",IF(E591="Item not found","Item not found",IF(OR(F591="",G591=""),"Missing quantity/unit",IF(IFERROR(VLOOKUP(G591,'Units'!$A$2:$D$13,3,FALSE),"")&lt;&gt;I591,"Unit mismatch",IF(J591="","Enter item cost","OK"))))))))</f>
        <v/>
      </c>
      <c r="M591" s="4" t="n"/>
    </row>
    <row r="592">
      <c r="A592" s="5">
        <f>IF(AND(B592="",D592=""),"",ROW()-1)</f>
        <v/>
      </c>
      <c r="B592" s="4" t="n"/>
      <c r="C592" s="5">
        <f>IF(B592="","",IFERROR(VLOOKUP(B592,'Products'!$A$2:$F$201,2,FALSE),"Product not found"))</f>
        <v/>
      </c>
      <c r="D592" s="4" t="n"/>
      <c r="E592" s="5">
        <f>IF(D592="","",IFERROR(VLOOKUP(D592,'Items'!$A$2:$L$201,2,FALSE),"Item not found"))</f>
        <v/>
      </c>
      <c r="F592" s="9" t="n"/>
      <c r="G592" s="4" t="n"/>
      <c r="H592" s="10">
        <f>IF(OR(F592="",G592=""),"",IFERROR(F592*VLOOKUP(G592,'Units'!$A$2:$D$13,4,FALSE),""))</f>
        <v/>
      </c>
      <c r="I592" s="5">
        <f>IF(D592="","",IFERROR(VLOOKUP(D592,'Items'!$A$2:$L$201,4,FALSE),""))</f>
        <v/>
      </c>
      <c r="J592" s="10">
        <f>IF(D592="","",IFERROR(VLOOKUP(D592,'Items'!$A$2:$L$201,10,FALSE),""))</f>
        <v/>
      </c>
      <c r="K592" s="10">
        <f>IF(OR(H592="",J592=""),"",H592*J592)</f>
        <v/>
      </c>
      <c r="L592" s="5">
        <f>IF(AND(B592="",D592=""),"",IF(B592="","Missing product",IF(D592="","Missing item",IF(C592="Product not found","Product not found",IF(E592="Item not found","Item not found",IF(OR(F592="",G592=""),"Missing quantity/unit",IF(IFERROR(VLOOKUP(G592,'Units'!$A$2:$D$13,3,FALSE),"")&lt;&gt;I592,"Unit mismatch",IF(J592="","Enter item cost","OK"))))))))</f>
        <v/>
      </c>
      <c r="M592" s="4" t="n"/>
    </row>
    <row r="593">
      <c r="A593" s="5">
        <f>IF(AND(B593="",D593=""),"",ROW()-1)</f>
        <v/>
      </c>
      <c r="B593" s="4" t="n"/>
      <c r="C593" s="5">
        <f>IF(B593="","",IFERROR(VLOOKUP(B593,'Products'!$A$2:$F$201,2,FALSE),"Product not found"))</f>
        <v/>
      </c>
      <c r="D593" s="4" t="n"/>
      <c r="E593" s="5">
        <f>IF(D593="","",IFERROR(VLOOKUP(D593,'Items'!$A$2:$L$201,2,FALSE),"Item not found"))</f>
        <v/>
      </c>
      <c r="F593" s="9" t="n"/>
      <c r="G593" s="4" t="n"/>
      <c r="H593" s="10">
        <f>IF(OR(F593="",G593=""),"",IFERROR(F593*VLOOKUP(G593,'Units'!$A$2:$D$13,4,FALSE),""))</f>
        <v/>
      </c>
      <c r="I593" s="5">
        <f>IF(D593="","",IFERROR(VLOOKUP(D593,'Items'!$A$2:$L$201,4,FALSE),""))</f>
        <v/>
      </c>
      <c r="J593" s="10">
        <f>IF(D593="","",IFERROR(VLOOKUP(D593,'Items'!$A$2:$L$201,10,FALSE),""))</f>
        <v/>
      </c>
      <c r="K593" s="10">
        <f>IF(OR(H593="",J593=""),"",H593*J593)</f>
        <v/>
      </c>
      <c r="L593" s="5">
        <f>IF(AND(B593="",D593=""),"",IF(B593="","Missing product",IF(D593="","Missing item",IF(C593="Product not found","Product not found",IF(E593="Item not found","Item not found",IF(OR(F593="",G593=""),"Missing quantity/unit",IF(IFERROR(VLOOKUP(G593,'Units'!$A$2:$D$13,3,FALSE),"")&lt;&gt;I593,"Unit mismatch",IF(J593="","Enter item cost","OK"))))))))</f>
        <v/>
      </c>
      <c r="M593" s="4" t="n"/>
    </row>
    <row r="594">
      <c r="A594" s="5">
        <f>IF(AND(B594="",D594=""),"",ROW()-1)</f>
        <v/>
      </c>
      <c r="B594" s="4" t="n"/>
      <c r="C594" s="5">
        <f>IF(B594="","",IFERROR(VLOOKUP(B594,'Products'!$A$2:$F$201,2,FALSE),"Product not found"))</f>
        <v/>
      </c>
      <c r="D594" s="4" t="n"/>
      <c r="E594" s="5">
        <f>IF(D594="","",IFERROR(VLOOKUP(D594,'Items'!$A$2:$L$201,2,FALSE),"Item not found"))</f>
        <v/>
      </c>
      <c r="F594" s="9" t="n"/>
      <c r="G594" s="4" t="n"/>
      <c r="H594" s="10">
        <f>IF(OR(F594="",G594=""),"",IFERROR(F594*VLOOKUP(G594,'Units'!$A$2:$D$13,4,FALSE),""))</f>
        <v/>
      </c>
      <c r="I594" s="5">
        <f>IF(D594="","",IFERROR(VLOOKUP(D594,'Items'!$A$2:$L$201,4,FALSE),""))</f>
        <v/>
      </c>
      <c r="J594" s="10">
        <f>IF(D594="","",IFERROR(VLOOKUP(D594,'Items'!$A$2:$L$201,10,FALSE),""))</f>
        <v/>
      </c>
      <c r="K594" s="10">
        <f>IF(OR(H594="",J594=""),"",H594*J594)</f>
        <v/>
      </c>
      <c r="L594" s="5">
        <f>IF(AND(B594="",D594=""),"",IF(B594="","Missing product",IF(D594="","Missing item",IF(C594="Product not found","Product not found",IF(E594="Item not found","Item not found",IF(OR(F594="",G594=""),"Missing quantity/unit",IF(IFERROR(VLOOKUP(G594,'Units'!$A$2:$D$13,3,FALSE),"")&lt;&gt;I594,"Unit mismatch",IF(J594="","Enter item cost","OK"))))))))</f>
        <v/>
      </c>
      <c r="M594" s="4" t="n"/>
    </row>
    <row r="595">
      <c r="A595" s="5">
        <f>IF(AND(B595="",D595=""),"",ROW()-1)</f>
        <v/>
      </c>
      <c r="B595" s="4" t="n"/>
      <c r="C595" s="5">
        <f>IF(B595="","",IFERROR(VLOOKUP(B595,'Products'!$A$2:$F$201,2,FALSE),"Product not found"))</f>
        <v/>
      </c>
      <c r="D595" s="4" t="n"/>
      <c r="E595" s="5">
        <f>IF(D595="","",IFERROR(VLOOKUP(D595,'Items'!$A$2:$L$201,2,FALSE),"Item not found"))</f>
        <v/>
      </c>
      <c r="F595" s="9" t="n"/>
      <c r="G595" s="4" t="n"/>
      <c r="H595" s="10">
        <f>IF(OR(F595="",G595=""),"",IFERROR(F595*VLOOKUP(G595,'Units'!$A$2:$D$13,4,FALSE),""))</f>
        <v/>
      </c>
      <c r="I595" s="5">
        <f>IF(D595="","",IFERROR(VLOOKUP(D595,'Items'!$A$2:$L$201,4,FALSE),""))</f>
        <v/>
      </c>
      <c r="J595" s="10">
        <f>IF(D595="","",IFERROR(VLOOKUP(D595,'Items'!$A$2:$L$201,10,FALSE),""))</f>
        <v/>
      </c>
      <c r="K595" s="10">
        <f>IF(OR(H595="",J595=""),"",H595*J595)</f>
        <v/>
      </c>
      <c r="L595" s="5">
        <f>IF(AND(B595="",D595=""),"",IF(B595="","Missing product",IF(D595="","Missing item",IF(C595="Product not found","Product not found",IF(E595="Item not found","Item not found",IF(OR(F595="",G595=""),"Missing quantity/unit",IF(IFERROR(VLOOKUP(G595,'Units'!$A$2:$D$13,3,FALSE),"")&lt;&gt;I595,"Unit mismatch",IF(J595="","Enter item cost","OK"))))))))</f>
        <v/>
      </c>
      <c r="M595" s="4" t="n"/>
    </row>
    <row r="596">
      <c r="A596" s="5">
        <f>IF(AND(B596="",D596=""),"",ROW()-1)</f>
        <v/>
      </c>
      <c r="B596" s="4" t="n"/>
      <c r="C596" s="5">
        <f>IF(B596="","",IFERROR(VLOOKUP(B596,'Products'!$A$2:$F$201,2,FALSE),"Product not found"))</f>
        <v/>
      </c>
      <c r="D596" s="4" t="n"/>
      <c r="E596" s="5">
        <f>IF(D596="","",IFERROR(VLOOKUP(D596,'Items'!$A$2:$L$201,2,FALSE),"Item not found"))</f>
        <v/>
      </c>
      <c r="F596" s="9" t="n"/>
      <c r="G596" s="4" t="n"/>
      <c r="H596" s="10">
        <f>IF(OR(F596="",G596=""),"",IFERROR(F596*VLOOKUP(G596,'Units'!$A$2:$D$13,4,FALSE),""))</f>
        <v/>
      </c>
      <c r="I596" s="5">
        <f>IF(D596="","",IFERROR(VLOOKUP(D596,'Items'!$A$2:$L$201,4,FALSE),""))</f>
        <v/>
      </c>
      <c r="J596" s="10">
        <f>IF(D596="","",IFERROR(VLOOKUP(D596,'Items'!$A$2:$L$201,10,FALSE),""))</f>
        <v/>
      </c>
      <c r="K596" s="10">
        <f>IF(OR(H596="",J596=""),"",H596*J596)</f>
        <v/>
      </c>
      <c r="L596" s="5">
        <f>IF(AND(B596="",D596=""),"",IF(B596="","Missing product",IF(D596="","Missing item",IF(C596="Product not found","Product not found",IF(E596="Item not found","Item not found",IF(OR(F596="",G596=""),"Missing quantity/unit",IF(IFERROR(VLOOKUP(G596,'Units'!$A$2:$D$13,3,FALSE),"")&lt;&gt;I596,"Unit mismatch",IF(J596="","Enter item cost","OK"))))))))</f>
        <v/>
      </c>
      <c r="M596" s="4" t="n"/>
    </row>
    <row r="597">
      <c r="A597" s="5">
        <f>IF(AND(B597="",D597=""),"",ROW()-1)</f>
        <v/>
      </c>
      <c r="B597" s="4" t="n"/>
      <c r="C597" s="5">
        <f>IF(B597="","",IFERROR(VLOOKUP(B597,'Products'!$A$2:$F$201,2,FALSE),"Product not found"))</f>
        <v/>
      </c>
      <c r="D597" s="4" t="n"/>
      <c r="E597" s="5">
        <f>IF(D597="","",IFERROR(VLOOKUP(D597,'Items'!$A$2:$L$201,2,FALSE),"Item not found"))</f>
        <v/>
      </c>
      <c r="F597" s="9" t="n"/>
      <c r="G597" s="4" t="n"/>
      <c r="H597" s="10">
        <f>IF(OR(F597="",G597=""),"",IFERROR(F597*VLOOKUP(G597,'Units'!$A$2:$D$13,4,FALSE),""))</f>
        <v/>
      </c>
      <c r="I597" s="5">
        <f>IF(D597="","",IFERROR(VLOOKUP(D597,'Items'!$A$2:$L$201,4,FALSE),""))</f>
        <v/>
      </c>
      <c r="J597" s="10">
        <f>IF(D597="","",IFERROR(VLOOKUP(D597,'Items'!$A$2:$L$201,10,FALSE),""))</f>
        <v/>
      </c>
      <c r="K597" s="10">
        <f>IF(OR(H597="",J597=""),"",H597*J597)</f>
        <v/>
      </c>
      <c r="L597" s="5">
        <f>IF(AND(B597="",D597=""),"",IF(B597="","Missing product",IF(D597="","Missing item",IF(C597="Product not found","Product not found",IF(E597="Item not found","Item not found",IF(OR(F597="",G597=""),"Missing quantity/unit",IF(IFERROR(VLOOKUP(G597,'Units'!$A$2:$D$13,3,FALSE),"")&lt;&gt;I597,"Unit mismatch",IF(J597="","Enter item cost","OK"))))))))</f>
        <v/>
      </c>
      <c r="M597" s="4" t="n"/>
    </row>
    <row r="598">
      <c r="A598" s="5">
        <f>IF(AND(B598="",D598=""),"",ROW()-1)</f>
        <v/>
      </c>
      <c r="B598" s="4" t="n"/>
      <c r="C598" s="5">
        <f>IF(B598="","",IFERROR(VLOOKUP(B598,'Products'!$A$2:$F$201,2,FALSE),"Product not found"))</f>
        <v/>
      </c>
      <c r="D598" s="4" t="n"/>
      <c r="E598" s="5">
        <f>IF(D598="","",IFERROR(VLOOKUP(D598,'Items'!$A$2:$L$201,2,FALSE),"Item not found"))</f>
        <v/>
      </c>
      <c r="F598" s="9" t="n"/>
      <c r="G598" s="4" t="n"/>
      <c r="H598" s="10">
        <f>IF(OR(F598="",G598=""),"",IFERROR(F598*VLOOKUP(G598,'Units'!$A$2:$D$13,4,FALSE),""))</f>
        <v/>
      </c>
      <c r="I598" s="5">
        <f>IF(D598="","",IFERROR(VLOOKUP(D598,'Items'!$A$2:$L$201,4,FALSE),""))</f>
        <v/>
      </c>
      <c r="J598" s="10">
        <f>IF(D598="","",IFERROR(VLOOKUP(D598,'Items'!$A$2:$L$201,10,FALSE),""))</f>
        <v/>
      </c>
      <c r="K598" s="10">
        <f>IF(OR(H598="",J598=""),"",H598*J598)</f>
        <v/>
      </c>
      <c r="L598" s="5">
        <f>IF(AND(B598="",D598=""),"",IF(B598="","Missing product",IF(D598="","Missing item",IF(C598="Product not found","Product not found",IF(E598="Item not found","Item not found",IF(OR(F598="",G598=""),"Missing quantity/unit",IF(IFERROR(VLOOKUP(G598,'Units'!$A$2:$D$13,3,FALSE),"")&lt;&gt;I598,"Unit mismatch",IF(J598="","Enter item cost","OK"))))))))</f>
        <v/>
      </c>
      <c r="M598" s="4" t="n"/>
    </row>
    <row r="599">
      <c r="A599" s="5">
        <f>IF(AND(B599="",D599=""),"",ROW()-1)</f>
        <v/>
      </c>
      <c r="B599" s="4" t="n"/>
      <c r="C599" s="5">
        <f>IF(B599="","",IFERROR(VLOOKUP(B599,'Products'!$A$2:$F$201,2,FALSE),"Product not found"))</f>
        <v/>
      </c>
      <c r="D599" s="4" t="n"/>
      <c r="E599" s="5">
        <f>IF(D599="","",IFERROR(VLOOKUP(D599,'Items'!$A$2:$L$201,2,FALSE),"Item not found"))</f>
        <v/>
      </c>
      <c r="F599" s="9" t="n"/>
      <c r="G599" s="4" t="n"/>
      <c r="H599" s="10">
        <f>IF(OR(F599="",G599=""),"",IFERROR(F599*VLOOKUP(G599,'Units'!$A$2:$D$13,4,FALSE),""))</f>
        <v/>
      </c>
      <c r="I599" s="5">
        <f>IF(D599="","",IFERROR(VLOOKUP(D599,'Items'!$A$2:$L$201,4,FALSE),""))</f>
        <v/>
      </c>
      <c r="J599" s="10">
        <f>IF(D599="","",IFERROR(VLOOKUP(D599,'Items'!$A$2:$L$201,10,FALSE),""))</f>
        <v/>
      </c>
      <c r="K599" s="10">
        <f>IF(OR(H599="",J599=""),"",H599*J599)</f>
        <v/>
      </c>
      <c r="L599" s="5">
        <f>IF(AND(B599="",D599=""),"",IF(B599="","Missing product",IF(D599="","Missing item",IF(C599="Product not found","Product not found",IF(E599="Item not found","Item not found",IF(OR(F599="",G599=""),"Missing quantity/unit",IF(IFERROR(VLOOKUP(G599,'Units'!$A$2:$D$13,3,FALSE),"")&lt;&gt;I599,"Unit mismatch",IF(J599="","Enter item cost","OK"))))))))</f>
        <v/>
      </c>
      <c r="M599" s="4" t="n"/>
    </row>
    <row r="600">
      <c r="A600" s="5">
        <f>IF(AND(B600="",D600=""),"",ROW()-1)</f>
        <v/>
      </c>
      <c r="B600" s="4" t="n"/>
      <c r="C600" s="5">
        <f>IF(B600="","",IFERROR(VLOOKUP(B600,'Products'!$A$2:$F$201,2,FALSE),"Product not found"))</f>
        <v/>
      </c>
      <c r="D600" s="4" t="n"/>
      <c r="E600" s="5">
        <f>IF(D600="","",IFERROR(VLOOKUP(D600,'Items'!$A$2:$L$201,2,FALSE),"Item not found"))</f>
        <v/>
      </c>
      <c r="F600" s="9" t="n"/>
      <c r="G600" s="4" t="n"/>
      <c r="H600" s="10">
        <f>IF(OR(F600="",G600=""),"",IFERROR(F600*VLOOKUP(G600,'Units'!$A$2:$D$13,4,FALSE),""))</f>
        <v/>
      </c>
      <c r="I600" s="5">
        <f>IF(D600="","",IFERROR(VLOOKUP(D600,'Items'!$A$2:$L$201,4,FALSE),""))</f>
        <v/>
      </c>
      <c r="J600" s="10">
        <f>IF(D600="","",IFERROR(VLOOKUP(D600,'Items'!$A$2:$L$201,10,FALSE),""))</f>
        <v/>
      </c>
      <c r="K600" s="10">
        <f>IF(OR(H600="",J600=""),"",H600*J600)</f>
        <v/>
      </c>
      <c r="L600" s="5">
        <f>IF(AND(B600="",D600=""),"",IF(B600="","Missing product",IF(D600="","Missing item",IF(C600="Product not found","Product not found",IF(E600="Item not found","Item not found",IF(OR(F600="",G600=""),"Missing quantity/unit",IF(IFERROR(VLOOKUP(G600,'Units'!$A$2:$D$13,3,FALSE),"")&lt;&gt;I600,"Unit mismatch",IF(J600="","Enter item cost","OK"))))))))</f>
        <v/>
      </c>
      <c r="M600" s="4" t="n"/>
    </row>
    <row r="601">
      <c r="A601" s="5">
        <f>IF(AND(B601="",D601=""),"",ROW()-1)</f>
        <v/>
      </c>
      <c r="B601" s="4" t="n"/>
      <c r="C601" s="5">
        <f>IF(B601="","",IFERROR(VLOOKUP(B601,'Products'!$A$2:$F$201,2,FALSE),"Product not found"))</f>
        <v/>
      </c>
      <c r="D601" s="4" t="n"/>
      <c r="E601" s="5">
        <f>IF(D601="","",IFERROR(VLOOKUP(D601,'Items'!$A$2:$L$201,2,FALSE),"Item not found"))</f>
        <v/>
      </c>
      <c r="F601" s="9" t="n"/>
      <c r="G601" s="4" t="n"/>
      <c r="H601" s="10">
        <f>IF(OR(F601="",G601=""),"",IFERROR(F601*VLOOKUP(G601,'Units'!$A$2:$D$13,4,FALSE),""))</f>
        <v/>
      </c>
      <c r="I601" s="5">
        <f>IF(D601="","",IFERROR(VLOOKUP(D601,'Items'!$A$2:$L$201,4,FALSE),""))</f>
        <v/>
      </c>
      <c r="J601" s="10">
        <f>IF(D601="","",IFERROR(VLOOKUP(D601,'Items'!$A$2:$L$201,10,FALSE),""))</f>
        <v/>
      </c>
      <c r="K601" s="10">
        <f>IF(OR(H601="",J601=""),"",H601*J601)</f>
        <v/>
      </c>
      <c r="L601" s="5">
        <f>IF(AND(B601="",D601=""),"",IF(B601="","Missing product",IF(D601="","Missing item",IF(C601="Product not found","Product not found",IF(E601="Item not found","Item not found",IF(OR(F601="",G601=""),"Missing quantity/unit",IF(IFERROR(VLOOKUP(G601,'Units'!$A$2:$D$13,3,FALSE),"")&lt;&gt;I601,"Unit mismatch",IF(J601="","Enter item cost","OK"))))))))</f>
        <v/>
      </c>
      <c r="M601" s="4" t="n"/>
    </row>
    <row r="602">
      <c r="A602" s="5">
        <f>IF(AND(B602="",D602=""),"",ROW()-1)</f>
        <v/>
      </c>
      <c r="B602" s="4" t="n"/>
      <c r="C602" s="5">
        <f>IF(B602="","",IFERROR(VLOOKUP(B602,'Products'!$A$2:$F$201,2,FALSE),"Product not found"))</f>
        <v/>
      </c>
      <c r="D602" s="4" t="n"/>
      <c r="E602" s="5">
        <f>IF(D602="","",IFERROR(VLOOKUP(D602,'Items'!$A$2:$L$201,2,FALSE),"Item not found"))</f>
        <v/>
      </c>
      <c r="F602" s="9" t="n"/>
      <c r="G602" s="4" t="n"/>
      <c r="H602" s="10">
        <f>IF(OR(F602="",G602=""),"",IFERROR(F602*VLOOKUP(G602,'Units'!$A$2:$D$13,4,FALSE),""))</f>
        <v/>
      </c>
      <c r="I602" s="5">
        <f>IF(D602="","",IFERROR(VLOOKUP(D602,'Items'!$A$2:$L$201,4,FALSE),""))</f>
        <v/>
      </c>
      <c r="J602" s="10">
        <f>IF(D602="","",IFERROR(VLOOKUP(D602,'Items'!$A$2:$L$201,10,FALSE),""))</f>
        <v/>
      </c>
      <c r="K602" s="10">
        <f>IF(OR(H602="",J602=""),"",H602*J602)</f>
        <v/>
      </c>
      <c r="L602" s="5">
        <f>IF(AND(B602="",D602=""),"",IF(B602="","Missing product",IF(D602="","Missing item",IF(C602="Product not found","Product not found",IF(E602="Item not found","Item not found",IF(OR(F602="",G602=""),"Missing quantity/unit",IF(IFERROR(VLOOKUP(G602,'Units'!$A$2:$D$13,3,FALSE),"")&lt;&gt;I602,"Unit mismatch",IF(J602="","Enter item cost","OK"))))))))</f>
        <v/>
      </c>
      <c r="M602" s="4" t="n"/>
    </row>
    <row r="603">
      <c r="A603" s="5">
        <f>IF(AND(B603="",D603=""),"",ROW()-1)</f>
        <v/>
      </c>
      <c r="B603" s="4" t="n"/>
      <c r="C603" s="5">
        <f>IF(B603="","",IFERROR(VLOOKUP(B603,'Products'!$A$2:$F$201,2,FALSE),"Product not found"))</f>
        <v/>
      </c>
      <c r="D603" s="4" t="n"/>
      <c r="E603" s="5">
        <f>IF(D603="","",IFERROR(VLOOKUP(D603,'Items'!$A$2:$L$201,2,FALSE),"Item not found"))</f>
        <v/>
      </c>
      <c r="F603" s="9" t="n"/>
      <c r="G603" s="4" t="n"/>
      <c r="H603" s="10">
        <f>IF(OR(F603="",G603=""),"",IFERROR(F603*VLOOKUP(G603,'Units'!$A$2:$D$13,4,FALSE),""))</f>
        <v/>
      </c>
      <c r="I603" s="5">
        <f>IF(D603="","",IFERROR(VLOOKUP(D603,'Items'!$A$2:$L$201,4,FALSE),""))</f>
        <v/>
      </c>
      <c r="J603" s="10">
        <f>IF(D603="","",IFERROR(VLOOKUP(D603,'Items'!$A$2:$L$201,10,FALSE),""))</f>
        <v/>
      </c>
      <c r="K603" s="10">
        <f>IF(OR(H603="",J603=""),"",H603*J603)</f>
        <v/>
      </c>
      <c r="L603" s="5">
        <f>IF(AND(B603="",D603=""),"",IF(B603="","Missing product",IF(D603="","Missing item",IF(C603="Product not found","Product not found",IF(E603="Item not found","Item not found",IF(OR(F603="",G603=""),"Missing quantity/unit",IF(IFERROR(VLOOKUP(G603,'Units'!$A$2:$D$13,3,FALSE),"")&lt;&gt;I603,"Unit mismatch",IF(J603="","Enter item cost","OK"))))))))</f>
        <v/>
      </c>
      <c r="M603" s="4" t="n"/>
    </row>
    <row r="604">
      <c r="A604" s="5">
        <f>IF(AND(B604="",D604=""),"",ROW()-1)</f>
        <v/>
      </c>
      <c r="B604" s="4" t="n"/>
      <c r="C604" s="5">
        <f>IF(B604="","",IFERROR(VLOOKUP(B604,'Products'!$A$2:$F$201,2,FALSE),"Product not found"))</f>
        <v/>
      </c>
      <c r="D604" s="4" t="n"/>
      <c r="E604" s="5">
        <f>IF(D604="","",IFERROR(VLOOKUP(D604,'Items'!$A$2:$L$201,2,FALSE),"Item not found"))</f>
        <v/>
      </c>
      <c r="F604" s="9" t="n"/>
      <c r="G604" s="4" t="n"/>
      <c r="H604" s="10">
        <f>IF(OR(F604="",G604=""),"",IFERROR(F604*VLOOKUP(G604,'Units'!$A$2:$D$13,4,FALSE),""))</f>
        <v/>
      </c>
      <c r="I604" s="5">
        <f>IF(D604="","",IFERROR(VLOOKUP(D604,'Items'!$A$2:$L$201,4,FALSE),""))</f>
        <v/>
      </c>
      <c r="J604" s="10">
        <f>IF(D604="","",IFERROR(VLOOKUP(D604,'Items'!$A$2:$L$201,10,FALSE),""))</f>
        <v/>
      </c>
      <c r="K604" s="10">
        <f>IF(OR(H604="",J604=""),"",H604*J604)</f>
        <v/>
      </c>
      <c r="L604" s="5">
        <f>IF(AND(B604="",D604=""),"",IF(B604="","Missing product",IF(D604="","Missing item",IF(C604="Product not found","Product not found",IF(E604="Item not found","Item not found",IF(OR(F604="",G604=""),"Missing quantity/unit",IF(IFERROR(VLOOKUP(G604,'Units'!$A$2:$D$13,3,FALSE),"")&lt;&gt;I604,"Unit mismatch",IF(J604="","Enter item cost","OK"))))))))</f>
        <v/>
      </c>
      <c r="M604" s="4" t="n"/>
    </row>
    <row r="605">
      <c r="A605" s="5">
        <f>IF(AND(B605="",D605=""),"",ROW()-1)</f>
        <v/>
      </c>
      <c r="B605" s="4" t="n"/>
      <c r="C605" s="5">
        <f>IF(B605="","",IFERROR(VLOOKUP(B605,'Products'!$A$2:$F$201,2,FALSE),"Product not found"))</f>
        <v/>
      </c>
      <c r="D605" s="4" t="n"/>
      <c r="E605" s="5">
        <f>IF(D605="","",IFERROR(VLOOKUP(D605,'Items'!$A$2:$L$201,2,FALSE),"Item not found"))</f>
        <v/>
      </c>
      <c r="F605" s="9" t="n"/>
      <c r="G605" s="4" t="n"/>
      <c r="H605" s="10">
        <f>IF(OR(F605="",G605=""),"",IFERROR(F605*VLOOKUP(G605,'Units'!$A$2:$D$13,4,FALSE),""))</f>
        <v/>
      </c>
      <c r="I605" s="5">
        <f>IF(D605="","",IFERROR(VLOOKUP(D605,'Items'!$A$2:$L$201,4,FALSE),""))</f>
        <v/>
      </c>
      <c r="J605" s="10">
        <f>IF(D605="","",IFERROR(VLOOKUP(D605,'Items'!$A$2:$L$201,10,FALSE),""))</f>
        <v/>
      </c>
      <c r="K605" s="10">
        <f>IF(OR(H605="",J605=""),"",H605*J605)</f>
        <v/>
      </c>
      <c r="L605" s="5">
        <f>IF(AND(B605="",D605=""),"",IF(B605="","Missing product",IF(D605="","Missing item",IF(C605="Product not found","Product not found",IF(E605="Item not found","Item not found",IF(OR(F605="",G605=""),"Missing quantity/unit",IF(IFERROR(VLOOKUP(G605,'Units'!$A$2:$D$13,3,FALSE),"")&lt;&gt;I605,"Unit mismatch",IF(J605="","Enter item cost","OK"))))))))</f>
        <v/>
      </c>
      <c r="M605" s="4" t="n"/>
    </row>
    <row r="606">
      <c r="A606" s="5">
        <f>IF(AND(B606="",D606=""),"",ROW()-1)</f>
        <v/>
      </c>
      <c r="B606" s="4" t="n"/>
      <c r="C606" s="5">
        <f>IF(B606="","",IFERROR(VLOOKUP(B606,'Products'!$A$2:$F$201,2,FALSE),"Product not found"))</f>
        <v/>
      </c>
      <c r="D606" s="4" t="n"/>
      <c r="E606" s="5">
        <f>IF(D606="","",IFERROR(VLOOKUP(D606,'Items'!$A$2:$L$201,2,FALSE),"Item not found"))</f>
        <v/>
      </c>
      <c r="F606" s="9" t="n"/>
      <c r="G606" s="4" t="n"/>
      <c r="H606" s="10">
        <f>IF(OR(F606="",G606=""),"",IFERROR(F606*VLOOKUP(G606,'Units'!$A$2:$D$13,4,FALSE),""))</f>
        <v/>
      </c>
      <c r="I606" s="5">
        <f>IF(D606="","",IFERROR(VLOOKUP(D606,'Items'!$A$2:$L$201,4,FALSE),""))</f>
        <v/>
      </c>
      <c r="J606" s="10">
        <f>IF(D606="","",IFERROR(VLOOKUP(D606,'Items'!$A$2:$L$201,10,FALSE),""))</f>
        <v/>
      </c>
      <c r="K606" s="10">
        <f>IF(OR(H606="",J606=""),"",H606*J606)</f>
        <v/>
      </c>
      <c r="L606" s="5">
        <f>IF(AND(B606="",D606=""),"",IF(B606="","Missing product",IF(D606="","Missing item",IF(C606="Product not found","Product not found",IF(E606="Item not found","Item not found",IF(OR(F606="",G606=""),"Missing quantity/unit",IF(IFERROR(VLOOKUP(G606,'Units'!$A$2:$D$13,3,FALSE),"")&lt;&gt;I606,"Unit mismatch",IF(J606="","Enter item cost","OK"))))))))</f>
        <v/>
      </c>
      <c r="M606" s="4" t="n"/>
    </row>
    <row r="607">
      <c r="A607" s="5">
        <f>IF(AND(B607="",D607=""),"",ROW()-1)</f>
        <v/>
      </c>
      <c r="B607" s="4" t="n"/>
      <c r="C607" s="5">
        <f>IF(B607="","",IFERROR(VLOOKUP(B607,'Products'!$A$2:$F$201,2,FALSE),"Product not found"))</f>
        <v/>
      </c>
      <c r="D607" s="4" t="n"/>
      <c r="E607" s="5">
        <f>IF(D607="","",IFERROR(VLOOKUP(D607,'Items'!$A$2:$L$201,2,FALSE),"Item not found"))</f>
        <v/>
      </c>
      <c r="F607" s="9" t="n"/>
      <c r="G607" s="4" t="n"/>
      <c r="H607" s="10">
        <f>IF(OR(F607="",G607=""),"",IFERROR(F607*VLOOKUP(G607,'Units'!$A$2:$D$13,4,FALSE),""))</f>
        <v/>
      </c>
      <c r="I607" s="5">
        <f>IF(D607="","",IFERROR(VLOOKUP(D607,'Items'!$A$2:$L$201,4,FALSE),""))</f>
        <v/>
      </c>
      <c r="J607" s="10">
        <f>IF(D607="","",IFERROR(VLOOKUP(D607,'Items'!$A$2:$L$201,10,FALSE),""))</f>
        <v/>
      </c>
      <c r="K607" s="10">
        <f>IF(OR(H607="",J607=""),"",H607*J607)</f>
        <v/>
      </c>
      <c r="L607" s="5">
        <f>IF(AND(B607="",D607=""),"",IF(B607="","Missing product",IF(D607="","Missing item",IF(C607="Product not found","Product not found",IF(E607="Item not found","Item not found",IF(OR(F607="",G607=""),"Missing quantity/unit",IF(IFERROR(VLOOKUP(G607,'Units'!$A$2:$D$13,3,FALSE),"")&lt;&gt;I607,"Unit mismatch",IF(J607="","Enter item cost","OK"))))))))</f>
        <v/>
      </c>
      <c r="M607" s="4" t="n"/>
    </row>
    <row r="608">
      <c r="A608" s="5">
        <f>IF(AND(B608="",D608=""),"",ROW()-1)</f>
        <v/>
      </c>
      <c r="B608" s="4" t="n"/>
      <c r="C608" s="5">
        <f>IF(B608="","",IFERROR(VLOOKUP(B608,'Products'!$A$2:$F$201,2,FALSE),"Product not found"))</f>
        <v/>
      </c>
      <c r="D608" s="4" t="n"/>
      <c r="E608" s="5">
        <f>IF(D608="","",IFERROR(VLOOKUP(D608,'Items'!$A$2:$L$201,2,FALSE),"Item not found"))</f>
        <v/>
      </c>
      <c r="F608" s="9" t="n"/>
      <c r="G608" s="4" t="n"/>
      <c r="H608" s="10">
        <f>IF(OR(F608="",G608=""),"",IFERROR(F608*VLOOKUP(G608,'Units'!$A$2:$D$13,4,FALSE),""))</f>
        <v/>
      </c>
      <c r="I608" s="5">
        <f>IF(D608="","",IFERROR(VLOOKUP(D608,'Items'!$A$2:$L$201,4,FALSE),""))</f>
        <v/>
      </c>
      <c r="J608" s="10">
        <f>IF(D608="","",IFERROR(VLOOKUP(D608,'Items'!$A$2:$L$201,10,FALSE),""))</f>
        <v/>
      </c>
      <c r="K608" s="10">
        <f>IF(OR(H608="",J608=""),"",H608*J608)</f>
        <v/>
      </c>
      <c r="L608" s="5">
        <f>IF(AND(B608="",D608=""),"",IF(B608="","Missing product",IF(D608="","Missing item",IF(C608="Product not found","Product not found",IF(E608="Item not found","Item not found",IF(OR(F608="",G608=""),"Missing quantity/unit",IF(IFERROR(VLOOKUP(G608,'Units'!$A$2:$D$13,3,FALSE),"")&lt;&gt;I608,"Unit mismatch",IF(J608="","Enter item cost","OK"))))))))</f>
        <v/>
      </c>
      <c r="M608" s="4" t="n"/>
    </row>
    <row r="609">
      <c r="A609" s="5">
        <f>IF(AND(B609="",D609=""),"",ROW()-1)</f>
        <v/>
      </c>
      <c r="B609" s="4" t="n"/>
      <c r="C609" s="5">
        <f>IF(B609="","",IFERROR(VLOOKUP(B609,'Products'!$A$2:$F$201,2,FALSE),"Product not found"))</f>
        <v/>
      </c>
      <c r="D609" s="4" t="n"/>
      <c r="E609" s="5">
        <f>IF(D609="","",IFERROR(VLOOKUP(D609,'Items'!$A$2:$L$201,2,FALSE),"Item not found"))</f>
        <v/>
      </c>
      <c r="F609" s="9" t="n"/>
      <c r="G609" s="4" t="n"/>
      <c r="H609" s="10">
        <f>IF(OR(F609="",G609=""),"",IFERROR(F609*VLOOKUP(G609,'Units'!$A$2:$D$13,4,FALSE),""))</f>
        <v/>
      </c>
      <c r="I609" s="5">
        <f>IF(D609="","",IFERROR(VLOOKUP(D609,'Items'!$A$2:$L$201,4,FALSE),""))</f>
        <v/>
      </c>
      <c r="J609" s="10">
        <f>IF(D609="","",IFERROR(VLOOKUP(D609,'Items'!$A$2:$L$201,10,FALSE),""))</f>
        <v/>
      </c>
      <c r="K609" s="10">
        <f>IF(OR(H609="",J609=""),"",H609*J609)</f>
        <v/>
      </c>
      <c r="L609" s="5">
        <f>IF(AND(B609="",D609=""),"",IF(B609="","Missing product",IF(D609="","Missing item",IF(C609="Product not found","Product not found",IF(E609="Item not found","Item not found",IF(OR(F609="",G609=""),"Missing quantity/unit",IF(IFERROR(VLOOKUP(G609,'Units'!$A$2:$D$13,3,FALSE),"")&lt;&gt;I609,"Unit mismatch",IF(J609="","Enter item cost","OK"))))))))</f>
        <v/>
      </c>
      <c r="M609" s="4" t="n"/>
    </row>
    <row r="610">
      <c r="A610" s="5">
        <f>IF(AND(B610="",D610=""),"",ROW()-1)</f>
        <v/>
      </c>
      <c r="B610" s="4" t="n"/>
      <c r="C610" s="5">
        <f>IF(B610="","",IFERROR(VLOOKUP(B610,'Products'!$A$2:$F$201,2,FALSE),"Product not found"))</f>
        <v/>
      </c>
      <c r="D610" s="4" t="n"/>
      <c r="E610" s="5">
        <f>IF(D610="","",IFERROR(VLOOKUP(D610,'Items'!$A$2:$L$201,2,FALSE),"Item not found"))</f>
        <v/>
      </c>
      <c r="F610" s="9" t="n"/>
      <c r="G610" s="4" t="n"/>
      <c r="H610" s="10">
        <f>IF(OR(F610="",G610=""),"",IFERROR(F610*VLOOKUP(G610,'Units'!$A$2:$D$13,4,FALSE),""))</f>
        <v/>
      </c>
      <c r="I610" s="5">
        <f>IF(D610="","",IFERROR(VLOOKUP(D610,'Items'!$A$2:$L$201,4,FALSE),""))</f>
        <v/>
      </c>
      <c r="J610" s="10">
        <f>IF(D610="","",IFERROR(VLOOKUP(D610,'Items'!$A$2:$L$201,10,FALSE),""))</f>
        <v/>
      </c>
      <c r="K610" s="10">
        <f>IF(OR(H610="",J610=""),"",H610*J610)</f>
        <v/>
      </c>
      <c r="L610" s="5">
        <f>IF(AND(B610="",D610=""),"",IF(B610="","Missing product",IF(D610="","Missing item",IF(C610="Product not found","Product not found",IF(E610="Item not found","Item not found",IF(OR(F610="",G610=""),"Missing quantity/unit",IF(IFERROR(VLOOKUP(G610,'Units'!$A$2:$D$13,3,FALSE),"")&lt;&gt;I610,"Unit mismatch",IF(J610="","Enter item cost","OK"))))))))</f>
        <v/>
      </c>
      <c r="M610" s="4" t="n"/>
    </row>
    <row r="611">
      <c r="A611" s="5">
        <f>IF(AND(B611="",D611=""),"",ROW()-1)</f>
        <v/>
      </c>
      <c r="B611" s="4" t="n"/>
      <c r="C611" s="5">
        <f>IF(B611="","",IFERROR(VLOOKUP(B611,'Products'!$A$2:$F$201,2,FALSE),"Product not found"))</f>
        <v/>
      </c>
      <c r="D611" s="4" t="n"/>
      <c r="E611" s="5">
        <f>IF(D611="","",IFERROR(VLOOKUP(D611,'Items'!$A$2:$L$201,2,FALSE),"Item not found"))</f>
        <v/>
      </c>
      <c r="F611" s="9" t="n"/>
      <c r="G611" s="4" t="n"/>
      <c r="H611" s="10">
        <f>IF(OR(F611="",G611=""),"",IFERROR(F611*VLOOKUP(G611,'Units'!$A$2:$D$13,4,FALSE),""))</f>
        <v/>
      </c>
      <c r="I611" s="5">
        <f>IF(D611="","",IFERROR(VLOOKUP(D611,'Items'!$A$2:$L$201,4,FALSE),""))</f>
        <v/>
      </c>
      <c r="J611" s="10">
        <f>IF(D611="","",IFERROR(VLOOKUP(D611,'Items'!$A$2:$L$201,10,FALSE),""))</f>
        <v/>
      </c>
      <c r="K611" s="10">
        <f>IF(OR(H611="",J611=""),"",H611*J611)</f>
        <v/>
      </c>
      <c r="L611" s="5">
        <f>IF(AND(B611="",D611=""),"",IF(B611="","Missing product",IF(D611="","Missing item",IF(C611="Product not found","Product not found",IF(E611="Item not found","Item not found",IF(OR(F611="",G611=""),"Missing quantity/unit",IF(IFERROR(VLOOKUP(G611,'Units'!$A$2:$D$13,3,FALSE),"")&lt;&gt;I611,"Unit mismatch",IF(J611="","Enter item cost","OK"))))))))</f>
        <v/>
      </c>
      <c r="M611" s="4" t="n"/>
    </row>
    <row r="612">
      <c r="A612" s="5">
        <f>IF(AND(B612="",D612=""),"",ROW()-1)</f>
        <v/>
      </c>
      <c r="B612" s="4" t="n"/>
      <c r="C612" s="5">
        <f>IF(B612="","",IFERROR(VLOOKUP(B612,'Products'!$A$2:$F$201,2,FALSE),"Product not found"))</f>
        <v/>
      </c>
      <c r="D612" s="4" t="n"/>
      <c r="E612" s="5">
        <f>IF(D612="","",IFERROR(VLOOKUP(D612,'Items'!$A$2:$L$201,2,FALSE),"Item not found"))</f>
        <v/>
      </c>
      <c r="F612" s="9" t="n"/>
      <c r="G612" s="4" t="n"/>
      <c r="H612" s="10">
        <f>IF(OR(F612="",G612=""),"",IFERROR(F612*VLOOKUP(G612,'Units'!$A$2:$D$13,4,FALSE),""))</f>
        <v/>
      </c>
      <c r="I612" s="5">
        <f>IF(D612="","",IFERROR(VLOOKUP(D612,'Items'!$A$2:$L$201,4,FALSE),""))</f>
        <v/>
      </c>
      <c r="J612" s="10">
        <f>IF(D612="","",IFERROR(VLOOKUP(D612,'Items'!$A$2:$L$201,10,FALSE),""))</f>
        <v/>
      </c>
      <c r="K612" s="10">
        <f>IF(OR(H612="",J612=""),"",H612*J612)</f>
        <v/>
      </c>
      <c r="L612" s="5">
        <f>IF(AND(B612="",D612=""),"",IF(B612="","Missing product",IF(D612="","Missing item",IF(C612="Product not found","Product not found",IF(E612="Item not found","Item not found",IF(OR(F612="",G612=""),"Missing quantity/unit",IF(IFERROR(VLOOKUP(G612,'Units'!$A$2:$D$13,3,FALSE),"")&lt;&gt;I612,"Unit mismatch",IF(J612="","Enter item cost","OK"))))))))</f>
        <v/>
      </c>
      <c r="M612" s="4" t="n"/>
    </row>
    <row r="613">
      <c r="A613" s="5">
        <f>IF(AND(B613="",D613=""),"",ROW()-1)</f>
        <v/>
      </c>
      <c r="B613" s="4" t="n"/>
      <c r="C613" s="5">
        <f>IF(B613="","",IFERROR(VLOOKUP(B613,'Products'!$A$2:$F$201,2,FALSE),"Product not found"))</f>
        <v/>
      </c>
      <c r="D613" s="4" t="n"/>
      <c r="E613" s="5">
        <f>IF(D613="","",IFERROR(VLOOKUP(D613,'Items'!$A$2:$L$201,2,FALSE),"Item not found"))</f>
        <v/>
      </c>
      <c r="F613" s="9" t="n"/>
      <c r="G613" s="4" t="n"/>
      <c r="H613" s="10">
        <f>IF(OR(F613="",G613=""),"",IFERROR(F613*VLOOKUP(G613,'Units'!$A$2:$D$13,4,FALSE),""))</f>
        <v/>
      </c>
      <c r="I613" s="5">
        <f>IF(D613="","",IFERROR(VLOOKUP(D613,'Items'!$A$2:$L$201,4,FALSE),""))</f>
        <v/>
      </c>
      <c r="J613" s="10">
        <f>IF(D613="","",IFERROR(VLOOKUP(D613,'Items'!$A$2:$L$201,10,FALSE),""))</f>
        <v/>
      </c>
      <c r="K613" s="10">
        <f>IF(OR(H613="",J613=""),"",H613*J613)</f>
        <v/>
      </c>
      <c r="L613" s="5">
        <f>IF(AND(B613="",D613=""),"",IF(B613="","Missing product",IF(D613="","Missing item",IF(C613="Product not found","Product not found",IF(E613="Item not found","Item not found",IF(OR(F613="",G613=""),"Missing quantity/unit",IF(IFERROR(VLOOKUP(G613,'Units'!$A$2:$D$13,3,FALSE),"")&lt;&gt;I613,"Unit mismatch",IF(J613="","Enter item cost","OK"))))))))</f>
        <v/>
      </c>
      <c r="M613" s="4" t="n"/>
    </row>
    <row r="614">
      <c r="A614" s="5">
        <f>IF(AND(B614="",D614=""),"",ROW()-1)</f>
        <v/>
      </c>
      <c r="B614" s="4" t="n"/>
      <c r="C614" s="5">
        <f>IF(B614="","",IFERROR(VLOOKUP(B614,'Products'!$A$2:$F$201,2,FALSE),"Product not found"))</f>
        <v/>
      </c>
      <c r="D614" s="4" t="n"/>
      <c r="E614" s="5">
        <f>IF(D614="","",IFERROR(VLOOKUP(D614,'Items'!$A$2:$L$201,2,FALSE),"Item not found"))</f>
        <v/>
      </c>
      <c r="F614" s="9" t="n"/>
      <c r="G614" s="4" t="n"/>
      <c r="H614" s="10">
        <f>IF(OR(F614="",G614=""),"",IFERROR(F614*VLOOKUP(G614,'Units'!$A$2:$D$13,4,FALSE),""))</f>
        <v/>
      </c>
      <c r="I614" s="5">
        <f>IF(D614="","",IFERROR(VLOOKUP(D614,'Items'!$A$2:$L$201,4,FALSE),""))</f>
        <v/>
      </c>
      <c r="J614" s="10">
        <f>IF(D614="","",IFERROR(VLOOKUP(D614,'Items'!$A$2:$L$201,10,FALSE),""))</f>
        <v/>
      </c>
      <c r="K614" s="10">
        <f>IF(OR(H614="",J614=""),"",H614*J614)</f>
        <v/>
      </c>
      <c r="L614" s="5">
        <f>IF(AND(B614="",D614=""),"",IF(B614="","Missing product",IF(D614="","Missing item",IF(C614="Product not found","Product not found",IF(E614="Item not found","Item not found",IF(OR(F614="",G614=""),"Missing quantity/unit",IF(IFERROR(VLOOKUP(G614,'Units'!$A$2:$D$13,3,FALSE),"")&lt;&gt;I614,"Unit mismatch",IF(J614="","Enter item cost","OK"))))))))</f>
        <v/>
      </c>
      <c r="M614" s="4" t="n"/>
    </row>
    <row r="615">
      <c r="A615" s="5">
        <f>IF(AND(B615="",D615=""),"",ROW()-1)</f>
        <v/>
      </c>
      <c r="B615" s="4" t="n"/>
      <c r="C615" s="5">
        <f>IF(B615="","",IFERROR(VLOOKUP(B615,'Products'!$A$2:$F$201,2,FALSE),"Product not found"))</f>
        <v/>
      </c>
      <c r="D615" s="4" t="n"/>
      <c r="E615" s="5">
        <f>IF(D615="","",IFERROR(VLOOKUP(D615,'Items'!$A$2:$L$201,2,FALSE),"Item not found"))</f>
        <v/>
      </c>
      <c r="F615" s="9" t="n"/>
      <c r="G615" s="4" t="n"/>
      <c r="H615" s="10">
        <f>IF(OR(F615="",G615=""),"",IFERROR(F615*VLOOKUP(G615,'Units'!$A$2:$D$13,4,FALSE),""))</f>
        <v/>
      </c>
      <c r="I615" s="5">
        <f>IF(D615="","",IFERROR(VLOOKUP(D615,'Items'!$A$2:$L$201,4,FALSE),""))</f>
        <v/>
      </c>
      <c r="J615" s="10">
        <f>IF(D615="","",IFERROR(VLOOKUP(D615,'Items'!$A$2:$L$201,10,FALSE),""))</f>
        <v/>
      </c>
      <c r="K615" s="10">
        <f>IF(OR(H615="",J615=""),"",H615*J615)</f>
        <v/>
      </c>
      <c r="L615" s="5">
        <f>IF(AND(B615="",D615=""),"",IF(B615="","Missing product",IF(D615="","Missing item",IF(C615="Product not found","Product not found",IF(E615="Item not found","Item not found",IF(OR(F615="",G615=""),"Missing quantity/unit",IF(IFERROR(VLOOKUP(G615,'Units'!$A$2:$D$13,3,FALSE),"")&lt;&gt;I615,"Unit mismatch",IF(J615="","Enter item cost","OK"))))))))</f>
        <v/>
      </c>
      <c r="M615" s="4" t="n"/>
    </row>
    <row r="616">
      <c r="A616" s="5">
        <f>IF(AND(B616="",D616=""),"",ROW()-1)</f>
        <v/>
      </c>
      <c r="B616" s="4" t="n"/>
      <c r="C616" s="5">
        <f>IF(B616="","",IFERROR(VLOOKUP(B616,'Products'!$A$2:$F$201,2,FALSE),"Product not found"))</f>
        <v/>
      </c>
      <c r="D616" s="4" t="n"/>
      <c r="E616" s="5">
        <f>IF(D616="","",IFERROR(VLOOKUP(D616,'Items'!$A$2:$L$201,2,FALSE),"Item not found"))</f>
        <v/>
      </c>
      <c r="F616" s="9" t="n"/>
      <c r="G616" s="4" t="n"/>
      <c r="H616" s="10">
        <f>IF(OR(F616="",G616=""),"",IFERROR(F616*VLOOKUP(G616,'Units'!$A$2:$D$13,4,FALSE),""))</f>
        <v/>
      </c>
      <c r="I616" s="5">
        <f>IF(D616="","",IFERROR(VLOOKUP(D616,'Items'!$A$2:$L$201,4,FALSE),""))</f>
        <v/>
      </c>
      <c r="J616" s="10">
        <f>IF(D616="","",IFERROR(VLOOKUP(D616,'Items'!$A$2:$L$201,10,FALSE),""))</f>
        <v/>
      </c>
      <c r="K616" s="10">
        <f>IF(OR(H616="",J616=""),"",H616*J616)</f>
        <v/>
      </c>
      <c r="L616" s="5">
        <f>IF(AND(B616="",D616=""),"",IF(B616="","Missing product",IF(D616="","Missing item",IF(C616="Product not found","Product not found",IF(E616="Item not found","Item not found",IF(OR(F616="",G616=""),"Missing quantity/unit",IF(IFERROR(VLOOKUP(G616,'Units'!$A$2:$D$13,3,FALSE),"")&lt;&gt;I616,"Unit mismatch",IF(J616="","Enter item cost","OK"))))))))</f>
        <v/>
      </c>
      <c r="M616" s="4" t="n"/>
    </row>
    <row r="617">
      <c r="A617" s="5">
        <f>IF(AND(B617="",D617=""),"",ROW()-1)</f>
        <v/>
      </c>
      <c r="B617" s="4" t="n"/>
      <c r="C617" s="5">
        <f>IF(B617="","",IFERROR(VLOOKUP(B617,'Products'!$A$2:$F$201,2,FALSE),"Product not found"))</f>
        <v/>
      </c>
      <c r="D617" s="4" t="n"/>
      <c r="E617" s="5">
        <f>IF(D617="","",IFERROR(VLOOKUP(D617,'Items'!$A$2:$L$201,2,FALSE),"Item not found"))</f>
        <v/>
      </c>
      <c r="F617" s="9" t="n"/>
      <c r="G617" s="4" t="n"/>
      <c r="H617" s="10">
        <f>IF(OR(F617="",G617=""),"",IFERROR(F617*VLOOKUP(G617,'Units'!$A$2:$D$13,4,FALSE),""))</f>
        <v/>
      </c>
      <c r="I617" s="5">
        <f>IF(D617="","",IFERROR(VLOOKUP(D617,'Items'!$A$2:$L$201,4,FALSE),""))</f>
        <v/>
      </c>
      <c r="J617" s="10">
        <f>IF(D617="","",IFERROR(VLOOKUP(D617,'Items'!$A$2:$L$201,10,FALSE),""))</f>
        <v/>
      </c>
      <c r="K617" s="10">
        <f>IF(OR(H617="",J617=""),"",H617*J617)</f>
        <v/>
      </c>
      <c r="L617" s="5">
        <f>IF(AND(B617="",D617=""),"",IF(B617="","Missing product",IF(D617="","Missing item",IF(C617="Product not found","Product not found",IF(E617="Item not found","Item not found",IF(OR(F617="",G617=""),"Missing quantity/unit",IF(IFERROR(VLOOKUP(G617,'Units'!$A$2:$D$13,3,FALSE),"")&lt;&gt;I617,"Unit mismatch",IF(J617="","Enter item cost","OK"))))))))</f>
        <v/>
      </c>
      <c r="M617" s="4" t="n"/>
    </row>
    <row r="618">
      <c r="A618" s="5">
        <f>IF(AND(B618="",D618=""),"",ROW()-1)</f>
        <v/>
      </c>
      <c r="B618" s="4" t="n"/>
      <c r="C618" s="5">
        <f>IF(B618="","",IFERROR(VLOOKUP(B618,'Products'!$A$2:$F$201,2,FALSE),"Product not found"))</f>
        <v/>
      </c>
      <c r="D618" s="4" t="n"/>
      <c r="E618" s="5">
        <f>IF(D618="","",IFERROR(VLOOKUP(D618,'Items'!$A$2:$L$201,2,FALSE),"Item not found"))</f>
        <v/>
      </c>
      <c r="F618" s="9" t="n"/>
      <c r="G618" s="4" t="n"/>
      <c r="H618" s="10">
        <f>IF(OR(F618="",G618=""),"",IFERROR(F618*VLOOKUP(G618,'Units'!$A$2:$D$13,4,FALSE),""))</f>
        <v/>
      </c>
      <c r="I618" s="5">
        <f>IF(D618="","",IFERROR(VLOOKUP(D618,'Items'!$A$2:$L$201,4,FALSE),""))</f>
        <v/>
      </c>
      <c r="J618" s="10">
        <f>IF(D618="","",IFERROR(VLOOKUP(D618,'Items'!$A$2:$L$201,10,FALSE),""))</f>
        <v/>
      </c>
      <c r="K618" s="10">
        <f>IF(OR(H618="",J618=""),"",H618*J618)</f>
        <v/>
      </c>
      <c r="L618" s="5">
        <f>IF(AND(B618="",D618=""),"",IF(B618="","Missing product",IF(D618="","Missing item",IF(C618="Product not found","Product not found",IF(E618="Item not found","Item not found",IF(OR(F618="",G618=""),"Missing quantity/unit",IF(IFERROR(VLOOKUP(G618,'Units'!$A$2:$D$13,3,FALSE),"")&lt;&gt;I618,"Unit mismatch",IF(J618="","Enter item cost","OK"))))))))</f>
        <v/>
      </c>
      <c r="M618" s="4" t="n"/>
    </row>
    <row r="619">
      <c r="A619" s="5">
        <f>IF(AND(B619="",D619=""),"",ROW()-1)</f>
        <v/>
      </c>
      <c r="B619" s="4" t="n"/>
      <c r="C619" s="5">
        <f>IF(B619="","",IFERROR(VLOOKUP(B619,'Products'!$A$2:$F$201,2,FALSE),"Product not found"))</f>
        <v/>
      </c>
      <c r="D619" s="4" t="n"/>
      <c r="E619" s="5">
        <f>IF(D619="","",IFERROR(VLOOKUP(D619,'Items'!$A$2:$L$201,2,FALSE),"Item not found"))</f>
        <v/>
      </c>
      <c r="F619" s="9" t="n"/>
      <c r="G619" s="4" t="n"/>
      <c r="H619" s="10">
        <f>IF(OR(F619="",G619=""),"",IFERROR(F619*VLOOKUP(G619,'Units'!$A$2:$D$13,4,FALSE),""))</f>
        <v/>
      </c>
      <c r="I619" s="5">
        <f>IF(D619="","",IFERROR(VLOOKUP(D619,'Items'!$A$2:$L$201,4,FALSE),""))</f>
        <v/>
      </c>
      <c r="J619" s="10">
        <f>IF(D619="","",IFERROR(VLOOKUP(D619,'Items'!$A$2:$L$201,10,FALSE),""))</f>
        <v/>
      </c>
      <c r="K619" s="10">
        <f>IF(OR(H619="",J619=""),"",H619*J619)</f>
        <v/>
      </c>
      <c r="L619" s="5">
        <f>IF(AND(B619="",D619=""),"",IF(B619="","Missing product",IF(D619="","Missing item",IF(C619="Product not found","Product not found",IF(E619="Item not found","Item not found",IF(OR(F619="",G619=""),"Missing quantity/unit",IF(IFERROR(VLOOKUP(G619,'Units'!$A$2:$D$13,3,FALSE),"")&lt;&gt;I619,"Unit mismatch",IF(J619="","Enter item cost","OK"))))))))</f>
        <v/>
      </c>
      <c r="M619" s="4" t="n"/>
    </row>
    <row r="620">
      <c r="A620" s="5">
        <f>IF(AND(B620="",D620=""),"",ROW()-1)</f>
        <v/>
      </c>
      <c r="B620" s="4" t="n"/>
      <c r="C620" s="5">
        <f>IF(B620="","",IFERROR(VLOOKUP(B620,'Products'!$A$2:$F$201,2,FALSE),"Product not found"))</f>
        <v/>
      </c>
      <c r="D620" s="4" t="n"/>
      <c r="E620" s="5">
        <f>IF(D620="","",IFERROR(VLOOKUP(D620,'Items'!$A$2:$L$201,2,FALSE),"Item not found"))</f>
        <v/>
      </c>
      <c r="F620" s="9" t="n"/>
      <c r="G620" s="4" t="n"/>
      <c r="H620" s="10">
        <f>IF(OR(F620="",G620=""),"",IFERROR(F620*VLOOKUP(G620,'Units'!$A$2:$D$13,4,FALSE),""))</f>
        <v/>
      </c>
      <c r="I620" s="5">
        <f>IF(D620="","",IFERROR(VLOOKUP(D620,'Items'!$A$2:$L$201,4,FALSE),""))</f>
        <v/>
      </c>
      <c r="J620" s="10">
        <f>IF(D620="","",IFERROR(VLOOKUP(D620,'Items'!$A$2:$L$201,10,FALSE),""))</f>
        <v/>
      </c>
      <c r="K620" s="10">
        <f>IF(OR(H620="",J620=""),"",H620*J620)</f>
        <v/>
      </c>
      <c r="L620" s="5">
        <f>IF(AND(B620="",D620=""),"",IF(B620="","Missing product",IF(D620="","Missing item",IF(C620="Product not found","Product not found",IF(E620="Item not found","Item not found",IF(OR(F620="",G620=""),"Missing quantity/unit",IF(IFERROR(VLOOKUP(G620,'Units'!$A$2:$D$13,3,FALSE),"")&lt;&gt;I620,"Unit mismatch",IF(J620="","Enter item cost","OK"))))))))</f>
        <v/>
      </c>
      <c r="M620" s="4" t="n"/>
    </row>
    <row r="621">
      <c r="A621" s="5">
        <f>IF(AND(B621="",D621=""),"",ROW()-1)</f>
        <v/>
      </c>
      <c r="B621" s="4" t="n"/>
      <c r="C621" s="5">
        <f>IF(B621="","",IFERROR(VLOOKUP(B621,'Products'!$A$2:$F$201,2,FALSE),"Product not found"))</f>
        <v/>
      </c>
      <c r="D621" s="4" t="n"/>
      <c r="E621" s="5">
        <f>IF(D621="","",IFERROR(VLOOKUP(D621,'Items'!$A$2:$L$201,2,FALSE),"Item not found"))</f>
        <v/>
      </c>
      <c r="F621" s="9" t="n"/>
      <c r="G621" s="4" t="n"/>
      <c r="H621" s="10">
        <f>IF(OR(F621="",G621=""),"",IFERROR(F621*VLOOKUP(G621,'Units'!$A$2:$D$13,4,FALSE),""))</f>
        <v/>
      </c>
      <c r="I621" s="5">
        <f>IF(D621="","",IFERROR(VLOOKUP(D621,'Items'!$A$2:$L$201,4,FALSE),""))</f>
        <v/>
      </c>
      <c r="J621" s="10">
        <f>IF(D621="","",IFERROR(VLOOKUP(D621,'Items'!$A$2:$L$201,10,FALSE),""))</f>
        <v/>
      </c>
      <c r="K621" s="10">
        <f>IF(OR(H621="",J621=""),"",H621*J621)</f>
        <v/>
      </c>
      <c r="L621" s="5">
        <f>IF(AND(B621="",D621=""),"",IF(B621="","Missing product",IF(D621="","Missing item",IF(C621="Product not found","Product not found",IF(E621="Item not found","Item not found",IF(OR(F621="",G621=""),"Missing quantity/unit",IF(IFERROR(VLOOKUP(G621,'Units'!$A$2:$D$13,3,FALSE),"")&lt;&gt;I621,"Unit mismatch",IF(J621="","Enter item cost","OK"))))))))</f>
        <v/>
      </c>
      <c r="M621" s="4" t="n"/>
    </row>
    <row r="622">
      <c r="A622" s="5">
        <f>IF(AND(B622="",D622=""),"",ROW()-1)</f>
        <v/>
      </c>
      <c r="B622" s="4" t="n"/>
      <c r="C622" s="5">
        <f>IF(B622="","",IFERROR(VLOOKUP(B622,'Products'!$A$2:$F$201,2,FALSE),"Product not found"))</f>
        <v/>
      </c>
      <c r="D622" s="4" t="n"/>
      <c r="E622" s="5">
        <f>IF(D622="","",IFERROR(VLOOKUP(D622,'Items'!$A$2:$L$201,2,FALSE),"Item not found"))</f>
        <v/>
      </c>
      <c r="F622" s="9" t="n"/>
      <c r="G622" s="4" t="n"/>
      <c r="H622" s="10">
        <f>IF(OR(F622="",G622=""),"",IFERROR(F622*VLOOKUP(G622,'Units'!$A$2:$D$13,4,FALSE),""))</f>
        <v/>
      </c>
      <c r="I622" s="5">
        <f>IF(D622="","",IFERROR(VLOOKUP(D622,'Items'!$A$2:$L$201,4,FALSE),""))</f>
        <v/>
      </c>
      <c r="J622" s="10">
        <f>IF(D622="","",IFERROR(VLOOKUP(D622,'Items'!$A$2:$L$201,10,FALSE),""))</f>
        <v/>
      </c>
      <c r="K622" s="10">
        <f>IF(OR(H622="",J622=""),"",H622*J622)</f>
        <v/>
      </c>
      <c r="L622" s="5">
        <f>IF(AND(B622="",D622=""),"",IF(B622="","Missing product",IF(D622="","Missing item",IF(C622="Product not found","Product not found",IF(E622="Item not found","Item not found",IF(OR(F622="",G622=""),"Missing quantity/unit",IF(IFERROR(VLOOKUP(G622,'Units'!$A$2:$D$13,3,FALSE),"")&lt;&gt;I622,"Unit mismatch",IF(J622="","Enter item cost","OK"))))))))</f>
        <v/>
      </c>
      <c r="M622" s="4" t="n"/>
    </row>
    <row r="623">
      <c r="A623" s="5">
        <f>IF(AND(B623="",D623=""),"",ROW()-1)</f>
        <v/>
      </c>
      <c r="B623" s="4" t="n"/>
      <c r="C623" s="5">
        <f>IF(B623="","",IFERROR(VLOOKUP(B623,'Products'!$A$2:$F$201,2,FALSE),"Product not found"))</f>
        <v/>
      </c>
      <c r="D623" s="4" t="n"/>
      <c r="E623" s="5">
        <f>IF(D623="","",IFERROR(VLOOKUP(D623,'Items'!$A$2:$L$201,2,FALSE),"Item not found"))</f>
        <v/>
      </c>
      <c r="F623" s="9" t="n"/>
      <c r="G623" s="4" t="n"/>
      <c r="H623" s="10">
        <f>IF(OR(F623="",G623=""),"",IFERROR(F623*VLOOKUP(G623,'Units'!$A$2:$D$13,4,FALSE),""))</f>
        <v/>
      </c>
      <c r="I623" s="5">
        <f>IF(D623="","",IFERROR(VLOOKUP(D623,'Items'!$A$2:$L$201,4,FALSE),""))</f>
        <v/>
      </c>
      <c r="J623" s="10">
        <f>IF(D623="","",IFERROR(VLOOKUP(D623,'Items'!$A$2:$L$201,10,FALSE),""))</f>
        <v/>
      </c>
      <c r="K623" s="10">
        <f>IF(OR(H623="",J623=""),"",H623*J623)</f>
        <v/>
      </c>
      <c r="L623" s="5">
        <f>IF(AND(B623="",D623=""),"",IF(B623="","Missing product",IF(D623="","Missing item",IF(C623="Product not found","Product not found",IF(E623="Item not found","Item not found",IF(OR(F623="",G623=""),"Missing quantity/unit",IF(IFERROR(VLOOKUP(G623,'Units'!$A$2:$D$13,3,FALSE),"")&lt;&gt;I623,"Unit mismatch",IF(J623="","Enter item cost","OK"))))))))</f>
        <v/>
      </c>
      <c r="M623" s="4" t="n"/>
    </row>
    <row r="624">
      <c r="A624" s="5">
        <f>IF(AND(B624="",D624=""),"",ROW()-1)</f>
        <v/>
      </c>
      <c r="B624" s="4" t="n"/>
      <c r="C624" s="5">
        <f>IF(B624="","",IFERROR(VLOOKUP(B624,'Products'!$A$2:$F$201,2,FALSE),"Product not found"))</f>
        <v/>
      </c>
      <c r="D624" s="4" t="n"/>
      <c r="E624" s="5">
        <f>IF(D624="","",IFERROR(VLOOKUP(D624,'Items'!$A$2:$L$201,2,FALSE),"Item not found"))</f>
        <v/>
      </c>
      <c r="F624" s="9" t="n"/>
      <c r="G624" s="4" t="n"/>
      <c r="H624" s="10">
        <f>IF(OR(F624="",G624=""),"",IFERROR(F624*VLOOKUP(G624,'Units'!$A$2:$D$13,4,FALSE),""))</f>
        <v/>
      </c>
      <c r="I624" s="5">
        <f>IF(D624="","",IFERROR(VLOOKUP(D624,'Items'!$A$2:$L$201,4,FALSE),""))</f>
        <v/>
      </c>
      <c r="J624" s="10">
        <f>IF(D624="","",IFERROR(VLOOKUP(D624,'Items'!$A$2:$L$201,10,FALSE),""))</f>
        <v/>
      </c>
      <c r="K624" s="10">
        <f>IF(OR(H624="",J624=""),"",H624*J624)</f>
        <v/>
      </c>
      <c r="L624" s="5">
        <f>IF(AND(B624="",D624=""),"",IF(B624="","Missing product",IF(D624="","Missing item",IF(C624="Product not found","Product not found",IF(E624="Item not found","Item not found",IF(OR(F624="",G624=""),"Missing quantity/unit",IF(IFERROR(VLOOKUP(G624,'Units'!$A$2:$D$13,3,FALSE),"")&lt;&gt;I624,"Unit mismatch",IF(J624="","Enter item cost","OK"))))))))</f>
        <v/>
      </c>
      <c r="M624" s="4" t="n"/>
    </row>
    <row r="625">
      <c r="A625" s="5">
        <f>IF(AND(B625="",D625=""),"",ROW()-1)</f>
        <v/>
      </c>
      <c r="B625" s="4" t="n"/>
      <c r="C625" s="5">
        <f>IF(B625="","",IFERROR(VLOOKUP(B625,'Products'!$A$2:$F$201,2,FALSE),"Product not found"))</f>
        <v/>
      </c>
      <c r="D625" s="4" t="n"/>
      <c r="E625" s="5">
        <f>IF(D625="","",IFERROR(VLOOKUP(D625,'Items'!$A$2:$L$201,2,FALSE),"Item not found"))</f>
        <v/>
      </c>
      <c r="F625" s="9" t="n"/>
      <c r="G625" s="4" t="n"/>
      <c r="H625" s="10">
        <f>IF(OR(F625="",G625=""),"",IFERROR(F625*VLOOKUP(G625,'Units'!$A$2:$D$13,4,FALSE),""))</f>
        <v/>
      </c>
      <c r="I625" s="5">
        <f>IF(D625="","",IFERROR(VLOOKUP(D625,'Items'!$A$2:$L$201,4,FALSE),""))</f>
        <v/>
      </c>
      <c r="J625" s="10">
        <f>IF(D625="","",IFERROR(VLOOKUP(D625,'Items'!$A$2:$L$201,10,FALSE),""))</f>
        <v/>
      </c>
      <c r="K625" s="10">
        <f>IF(OR(H625="",J625=""),"",H625*J625)</f>
        <v/>
      </c>
      <c r="L625" s="5">
        <f>IF(AND(B625="",D625=""),"",IF(B625="","Missing product",IF(D625="","Missing item",IF(C625="Product not found","Product not found",IF(E625="Item not found","Item not found",IF(OR(F625="",G625=""),"Missing quantity/unit",IF(IFERROR(VLOOKUP(G625,'Units'!$A$2:$D$13,3,FALSE),"")&lt;&gt;I625,"Unit mismatch",IF(J625="","Enter item cost","OK"))))))))</f>
        <v/>
      </c>
      <c r="M625" s="4" t="n"/>
    </row>
    <row r="626">
      <c r="A626" s="5">
        <f>IF(AND(B626="",D626=""),"",ROW()-1)</f>
        <v/>
      </c>
      <c r="B626" s="4" t="n"/>
      <c r="C626" s="5">
        <f>IF(B626="","",IFERROR(VLOOKUP(B626,'Products'!$A$2:$F$201,2,FALSE),"Product not found"))</f>
        <v/>
      </c>
      <c r="D626" s="4" t="n"/>
      <c r="E626" s="5">
        <f>IF(D626="","",IFERROR(VLOOKUP(D626,'Items'!$A$2:$L$201,2,FALSE),"Item not found"))</f>
        <v/>
      </c>
      <c r="F626" s="9" t="n"/>
      <c r="G626" s="4" t="n"/>
      <c r="H626" s="10">
        <f>IF(OR(F626="",G626=""),"",IFERROR(F626*VLOOKUP(G626,'Units'!$A$2:$D$13,4,FALSE),""))</f>
        <v/>
      </c>
      <c r="I626" s="5">
        <f>IF(D626="","",IFERROR(VLOOKUP(D626,'Items'!$A$2:$L$201,4,FALSE),""))</f>
        <v/>
      </c>
      <c r="J626" s="10">
        <f>IF(D626="","",IFERROR(VLOOKUP(D626,'Items'!$A$2:$L$201,10,FALSE),""))</f>
        <v/>
      </c>
      <c r="K626" s="10">
        <f>IF(OR(H626="",J626=""),"",H626*J626)</f>
        <v/>
      </c>
      <c r="L626" s="5">
        <f>IF(AND(B626="",D626=""),"",IF(B626="","Missing product",IF(D626="","Missing item",IF(C626="Product not found","Product not found",IF(E626="Item not found","Item not found",IF(OR(F626="",G626=""),"Missing quantity/unit",IF(IFERROR(VLOOKUP(G626,'Units'!$A$2:$D$13,3,FALSE),"")&lt;&gt;I626,"Unit mismatch",IF(J626="","Enter item cost","OK"))))))))</f>
        <v/>
      </c>
      <c r="M626" s="4" t="n"/>
    </row>
    <row r="627">
      <c r="A627" s="5">
        <f>IF(AND(B627="",D627=""),"",ROW()-1)</f>
        <v/>
      </c>
      <c r="B627" s="4" t="n"/>
      <c r="C627" s="5">
        <f>IF(B627="","",IFERROR(VLOOKUP(B627,'Products'!$A$2:$F$201,2,FALSE),"Product not found"))</f>
        <v/>
      </c>
      <c r="D627" s="4" t="n"/>
      <c r="E627" s="5">
        <f>IF(D627="","",IFERROR(VLOOKUP(D627,'Items'!$A$2:$L$201,2,FALSE),"Item not found"))</f>
        <v/>
      </c>
      <c r="F627" s="9" t="n"/>
      <c r="G627" s="4" t="n"/>
      <c r="H627" s="10">
        <f>IF(OR(F627="",G627=""),"",IFERROR(F627*VLOOKUP(G627,'Units'!$A$2:$D$13,4,FALSE),""))</f>
        <v/>
      </c>
      <c r="I627" s="5">
        <f>IF(D627="","",IFERROR(VLOOKUP(D627,'Items'!$A$2:$L$201,4,FALSE),""))</f>
        <v/>
      </c>
      <c r="J627" s="10">
        <f>IF(D627="","",IFERROR(VLOOKUP(D627,'Items'!$A$2:$L$201,10,FALSE),""))</f>
        <v/>
      </c>
      <c r="K627" s="10">
        <f>IF(OR(H627="",J627=""),"",H627*J627)</f>
        <v/>
      </c>
      <c r="L627" s="5">
        <f>IF(AND(B627="",D627=""),"",IF(B627="","Missing product",IF(D627="","Missing item",IF(C627="Product not found","Product not found",IF(E627="Item not found","Item not found",IF(OR(F627="",G627=""),"Missing quantity/unit",IF(IFERROR(VLOOKUP(G627,'Units'!$A$2:$D$13,3,FALSE),"")&lt;&gt;I627,"Unit mismatch",IF(J627="","Enter item cost","OK"))))))))</f>
        <v/>
      </c>
      <c r="M627" s="4" t="n"/>
    </row>
    <row r="628">
      <c r="A628" s="5">
        <f>IF(AND(B628="",D628=""),"",ROW()-1)</f>
        <v/>
      </c>
      <c r="B628" s="4" t="n"/>
      <c r="C628" s="5">
        <f>IF(B628="","",IFERROR(VLOOKUP(B628,'Products'!$A$2:$F$201,2,FALSE),"Product not found"))</f>
        <v/>
      </c>
      <c r="D628" s="4" t="n"/>
      <c r="E628" s="5">
        <f>IF(D628="","",IFERROR(VLOOKUP(D628,'Items'!$A$2:$L$201,2,FALSE),"Item not found"))</f>
        <v/>
      </c>
      <c r="F628" s="9" t="n"/>
      <c r="G628" s="4" t="n"/>
      <c r="H628" s="10">
        <f>IF(OR(F628="",G628=""),"",IFERROR(F628*VLOOKUP(G628,'Units'!$A$2:$D$13,4,FALSE),""))</f>
        <v/>
      </c>
      <c r="I628" s="5">
        <f>IF(D628="","",IFERROR(VLOOKUP(D628,'Items'!$A$2:$L$201,4,FALSE),""))</f>
        <v/>
      </c>
      <c r="J628" s="10">
        <f>IF(D628="","",IFERROR(VLOOKUP(D628,'Items'!$A$2:$L$201,10,FALSE),""))</f>
        <v/>
      </c>
      <c r="K628" s="10">
        <f>IF(OR(H628="",J628=""),"",H628*J628)</f>
        <v/>
      </c>
      <c r="L628" s="5">
        <f>IF(AND(B628="",D628=""),"",IF(B628="","Missing product",IF(D628="","Missing item",IF(C628="Product not found","Product not found",IF(E628="Item not found","Item not found",IF(OR(F628="",G628=""),"Missing quantity/unit",IF(IFERROR(VLOOKUP(G628,'Units'!$A$2:$D$13,3,FALSE),"")&lt;&gt;I628,"Unit mismatch",IF(J628="","Enter item cost","OK"))))))))</f>
        <v/>
      </c>
      <c r="M628" s="4" t="n"/>
    </row>
    <row r="629">
      <c r="A629" s="5">
        <f>IF(AND(B629="",D629=""),"",ROW()-1)</f>
        <v/>
      </c>
      <c r="B629" s="4" t="n"/>
      <c r="C629" s="5">
        <f>IF(B629="","",IFERROR(VLOOKUP(B629,'Products'!$A$2:$F$201,2,FALSE),"Product not found"))</f>
        <v/>
      </c>
      <c r="D629" s="4" t="n"/>
      <c r="E629" s="5">
        <f>IF(D629="","",IFERROR(VLOOKUP(D629,'Items'!$A$2:$L$201,2,FALSE),"Item not found"))</f>
        <v/>
      </c>
      <c r="F629" s="9" t="n"/>
      <c r="G629" s="4" t="n"/>
      <c r="H629" s="10">
        <f>IF(OR(F629="",G629=""),"",IFERROR(F629*VLOOKUP(G629,'Units'!$A$2:$D$13,4,FALSE),""))</f>
        <v/>
      </c>
      <c r="I629" s="5">
        <f>IF(D629="","",IFERROR(VLOOKUP(D629,'Items'!$A$2:$L$201,4,FALSE),""))</f>
        <v/>
      </c>
      <c r="J629" s="10">
        <f>IF(D629="","",IFERROR(VLOOKUP(D629,'Items'!$A$2:$L$201,10,FALSE),""))</f>
        <v/>
      </c>
      <c r="K629" s="10">
        <f>IF(OR(H629="",J629=""),"",H629*J629)</f>
        <v/>
      </c>
      <c r="L629" s="5">
        <f>IF(AND(B629="",D629=""),"",IF(B629="","Missing product",IF(D629="","Missing item",IF(C629="Product not found","Product not found",IF(E629="Item not found","Item not found",IF(OR(F629="",G629=""),"Missing quantity/unit",IF(IFERROR(VLOOKUP(G629,'Units'!$A$2:$D$13,3,FALSE),"")&lt;&gt;I629,"Unit mismatch",IF(J629="","Enter item cost","OK"))))))))</f>
        <v/>
      </c>
      <c r="M629" s="4" t="n"/>
    </row>
    <row r="630">
      <c r="A630" s="5">
        <f>IF(AND(B630="",D630=""),"",ROW()-1)</f>
        <v/>
      </c>
      <c r="B630" s="4" t="n"/>
      <c r="C630" s="5">
        <f>IF(B630="","",IFERROR(VLOOKUP(B630,'Products'!$A$2:$F$201,2,FALSE),"Product not found"))</f>
        <v/>
      </c>
      <c r="D630" s="4" t="n"/>
      <c r="E630" s="5">
        <f>IF(D630="","",IFERROR(VLOOKUP(D630,'Items'!$A$2:$L$201,2,FALSE),"Item not found"))</f>
        <v/>
      </c>
      <c r="F630" s="9" t="n"/>
      <c r="G630" s="4" t="n"/>
      <c r="H630" s="10">
        <f>IF(OR(F630="",G630=""),"",IFERROR(F630*VLOOKUP(G630,'Units'!$A$2:$D$13,4,FALSE),""))</f>
        <v/>
      </c>
      <c r="I630" s="5">
        <f>IF(D630="","",IFERROR(VLOOKUP(D630,'Items'!$A$2:$L$201,4,FALSE),""))</f>
        <v/>
      </c>
      <c r="J630" s="10">
        <f>IF(D630="","",IFERROR(VLOOKUP(D630,'Items'!$A$2:$L$201,10,FALSE),""))</f>
        <v/>
      </c>
      <c r="K630" s="10">
        <f>IF(OR(H630="",J630=""),"",H630*J630)</f>
        <v/>
      </c>
      <c r="L630" s="5">
        <f>IF(AND(B630="",D630=""),"",IF(B630="","Missing product",IF(D630="","Missing item",IF(C630="Product not found","Product not found",IF(E630="Item not found","Item not found",IF(OR(F630="",G630=""),"Missing quantity/unit",IF(IFERROR(VLOOKUP(G630,'Units'!$A$2:$D$13,3,FALSE),"")&lt;&gt;I630,"Unit mismatch",IF(J630="","Enter item cost","OK"))))))))</f>
        <v/>
      </c>
      <c r="M630" s="4" t="n"/>
    </row>
    <row r="631">
      <c r="A631" s="5">
        <f>IF(AND(B631="",D631=""),"",ROW()-1)</f>
        <v/>
      </c>
      <c r="B631" s="4" t="n"/>
      <c r="C631" s="5">
        <f>IF(B631="","",IFERROR(VLOOKUP(B631,'Products'!$A$2:$F$201,2,FALSE),"Product not found"))</f>
        <v/>
      </c>
      <c r="D631" s="4" t="n"/>
      <c r="E631" s="5">
        <f>IF(D631="","",IFERROR(VLOOKUP(D631,'Items'!$A$2:$L$201,2,FALSE),"Item not found"))</f>
        <v/>
      </c>
      <c r="F631" s="9" t="n"/>
      <c r="G631" s="4" t="n"/>
      <c r="H631" s="10">
        <f>IF(OR(F631="",G631=""),"",IFERROR(F631*VLOOKUP(G631,'Units'!$A$2:$D$13,4,FALSE),""))</f>
        <v/>
      </c>
      <c r="I631" s="5">
        <f>IF(D631="","",IFERROR(VLOOKUP(D631,'Items'!$A$2:$L$201,4,FALSE),""))</f>
        <v/>
      </c>
      <c r="J631" s="10">
        <f>IF(D631="","",IFERROR(VLOOKUP(D631,'Items'!$A$2:$L$201,10,FALSE),""))</f>
        <v/>
      </c>
      <c r="K631" s="10">
        <f>IF(OR(H631="",J631=""),"",H631*J631)</f>
        <v/>
      </c>
      <c r="L631" s="5">
        <f>IF(AND(B631="",D631=""),"",IF(B631="","Missing product",IF(D631="","Missing item",IF(C631="Product not found","Product not found",IF(E631="Item not found","Item not found",IF(OR(F631="",G631=""),"Missing quantity/unit",IF(IFERROR(VLOOKUP(G631,'Units'!$A$2:$D$13,3,FALSE),"")&lt;&gt;I631,"Unit mismatch",IF(J631="","Enter item cost","OK"))))))))</f>
        <v/>
      </c>
      <c r="M631" s="4" t="n"/>
    </row>
    <row r="632">
      <c r="A632" s="5">
        <f>IF(AND(B632="",D632=""),"",ROW()-1)</f>
        <v/>
      </c>
      <c r="B632" s="4" t="n"/>
      <c r="C632" s="5">
        <f>IF(B632="","",IFERROR(VLOOKUP(B632,'Products'!$A$2:$F$201,2,FALSE),"Product not found"))</f>
        <v/>
      </c>
      <c r="D632" s="4" t="n"/>
      <c r="E632" s="5">
        <f>IF(D632="","",IFERROR(VLOOKUP(D632,'Items'!$A$2:$L$201,2,FALSE),"Item not found"))</f>
        <v/>
      </c>
      <c r="F632" s="9" t="n"/>
      <c r="G632" s="4" t="n"/>
      <c r="H632" s="10">
        <f>IF(OR(F632="",G632=""),"",IFERROR(F632*VLOOKUP(G632,'Units'!$A$2:$D$13,4,FALSE),""))</f>
        <v/>
      </c>
      <c r="I632" s="5">
        <f>IF(D632="","",IFERROR(VLOOKUP(D632,'Items'!$A$2:$L$201,4,FALSE),""))</f>
        <v/>
      </c>
      <c r="J632" s="10">
        <f>IF(D632="","",IFERROR(VLOOKUP(D632,'Items'!$A$2:$L$201,10,FALSE),""))</f>
        <v/>
      </c>
      <c r="K632" s="10">
        <f>IF(OR(H632="",J632=""),"",H632*J632)</f>
        <v/>
      </c>
      <c r="L632" s="5">
        <f>IF(AND(B632="",D632=""),"",IF(B632="","Missing product",IF(D632="","Missing item",IF(C632="Product not found","Product not found",IF(E632="Item not found","Item not found",IF(OR(F632="",G632=""),"Missing quantity/unit",IF(IFERROR(VLOOKUP(G632,'Units'!$A$2:$D$13,3,FALSE),"")&lt;&gt;I632,"Unit mismatch",IF(J632="","Enter item cost","OK"))))))))</f>
        <v/>
      </c>
      <c r="M632" s="4" t="n"/>
    </row>
    <row r="633">
      <c r="A633" s="5">
        <f>IF(AND(B633="",D633=""),"",ROW()-1)</f>
        <v/>
      </c>
      <c r="B633" s="4" t="n"/>
      <c r="C633" s="5">
        <f>IF(B633="","",IFERROR(VLOOKUP(B633,'Products'!$A$2:$F$201,2,FALSE),"Product not found"))</f>
        <v/>
      </c>
      <c r="D633" s="4" t="n"/>
      <c r="E633" s="5">
        <f>IF(D633="","",IFERROR(VLOOKUP(D633,'Items'!$A$2:$L$201,2,FALSE),"Item not found"))</f>
        <v/>
      </c>
      <c r="F633" s="9" t="n"/>
      <c r="G633" s="4" t="n"/>
      <c r="H633" s="10">
        <f>IF(OR(F633="",G633=""),"",IFERROR(F633*VLOOKUP(G633,'Units'!$A$2:$D$13,4,FALSE),""))</f>
        <v/>
      </c>
      <c r="I633" s="5">
        <f>IF(D633="","",IFERROR(VLOOKUP(D633,'Items'!$A$2:$L$201,4,FALSE),""))</f>
        <v/>
      </c>
      <c r="J633" s="10">
        <f>IF(D633="","",IFERROR(VLOOKUP(D633,'Items'!$A$2:$L$201,10,FALSE),""))</f>
        <v/>
      </c>
      <c r="K633" s="10">
        <f>IF(OR(H633="",J633=""),"",H633*J633)</f>
        <v/>
      </c>
      <c r="L633" s="5">
        <f>IF(AND(B633="",D633=""),"",IF(B633="","Missing product",IF(D633="","Missing item",IF(C633="Product not found","Product not found",IF(E633="Item not found","Item not found",IF(OR(F633="",G633=""),"Missing quantity/unit",IF(IFERROR(VLOOKUP(G633,'Units'!$A$2:$D$13,3,FALSE),"")&lt;&gt;I633,"Unit mismatch",IF(J633="","Enter item cost","OK"))))))))</f>
        <v/>
      </c>
      <c r="M633" s="4" t="n"/>
    </row>
    <row r="634">
      <c r="A634" s="5">
        <f>IF(AND(B634="",D634=""),"",ROW()-1)</f>
        <v/>
      </c>
      <c r="B634" s="4" t="n"/>
      <c r="C634" s="5">
        <f>IF(B634="","",IFERROR(VLOOKUP(B634,'Products'!$A$2:$F$201,2,FALSE),"Product not found"))</f>
        <v/>
      </c>
      <c r="D634" s="4" t="n"/>
      <c r="E634" s="5">
        <f>IF(D634="","",IFERROR(VLOOKUP(D634,'Items'!$A$2:$L$201,2,FALSE),"Item not found"))</f>
        <v/>
      </c>
      <c r="F634" s="9" t="n"/>
      <c r="G634" s="4" t="n"/>
      <c r="H634" s="10">
        <f>IF(OR(F634="",G634=""),"",IFERROR(F634*VLOOKUP(G634,'Units'!$A$2:$D$13,4,FALSE),""))</f>
        <v/>
      </c>
      <c r="I634" s="5">
        <f>IF(D634="","",IFERROR(VLOOKUP(D634,'Items'!$A$2:$L$201,4,FALSE),""))</f>
        <v/>
      </c>
      <c r="J634" s="10">
        <f>IF(D634="","",IFERROR(VLOOKUP(D634,'Items'!$A$2:$L$201,10,FALSE),""))</f>
        <v/>
      </c>
      <c r="K634" s="10">
        <f>IF(OR(H634="",J634=""),"",H634*J634)</f>
        <v/>
      </c>
      <c r="L634" s="5">
        <f>IF(AND(B634="",D634=""),"",IF(B634="","Missing product",IF(D634="","Missing item",IF(C634="Product not found","Product not found",IF(E634="Item not found","Item not found",IF(OR(F634="",G634=""),"Missing quantity/unit",IF(IFERROR(VLOOKUP(G634,'Units'!$A$2:$D$13,3,FALSE),"")&lt;&gt;I634,"Unit mismatch",IF(J634="","Enter item cost","OK"))))))))</f>
        <v/>
      </c>
      <c r="M634" s="4" t="n"/>
    </row>
    <row r="635">
      <c r="A635" s="5">
        <f>IF(AND(B635="",D635=""),"",ROW()-1)</f>
        <v/>
      </c>
      <c r="B635" s="4" t="n"/>
      <c r="C635" s="5">
        <f>IF(B635="","",IFERROR(VLOOKUP(B635,'Products'!$A$2:$F$201,2,FALSE),"Product not found"))</f>
        <v/>
      </c>
      <c r="D635" s="4" t="n"/>
      <c r="E635" s="5">
        <f>IF(D635="","",IFERROR(VLOOKUP(D635,'Items'!$A$2:$L$201,2,FALSE),"Item not found"))</f>
        <v/>
      </c>
      <c r="F635" s="9" t="n"/>
      <c r="G635" s="4" t="n"/>
      <c r="H635" s="10">
        <f>IF(OR(F635="",G635=""),"",IFERROR(F635*VLOOKUP(G635,'Units'!$A$2:$D$13,4,FALSE),""))</f>
        <v/>
      </c>
      <c r="I635" s="5">
        <f>IF(D635="","",IFERROR(VLOOKUP(D635,'Items'!$A$2:$L$201,4,FALSE),""))</f>
        <v/>
      </c>
      <c r="J635" s="10">
        <f>IF(D635="","",IFERROR(VLOOKUP(D635,'Items'!$A$2:$L$201,10,FALSE),""))</f>
        <v/>
      </c>
      <c r="K635" s="10">
        <f>IF(OR(H635="",J635=""),"",H635*J635)</f>
        <v/>
      </c>
      <c r="L635" s="5">
        <f>IF(AND(B635="",D635=""),"",IF(B635="","Missing product",IF(D635="","Missing item",IF(C635="Product not found","Product not found",IF(E635="Item not found","Item not found",IF(OR(F635="",G635=""),"Missing quantity/unit",IF(IFERROR(VLOOKUP(G635,'Units'!$A$2:$D$13,3,FALSE),"")&lt;&gt;I635,"Unit mismatch",IF(J635="","Enter item cost","OK"))))))))</f>
        <v/>
      </c>
      <c r="M635" s="4" t="n"/>
    </row>
    <row r="636">
      <c r="A636" s="5">
        <f>IF(AND(B636="",D636=""),"",ROW()-1)</f>
        <v/>
      </c>
      <c r="B636" s="4" t="n"/>
      <c r="C636" s="5">
        <f>IF(B636="","",IFERROR(VLOOKUP(B636,'Products'!$A$2:$F$201,2,FALSE),"Product not found"))</f>
        <v/>
      </c>
      <c r="D636" s="4" t="n"/>
      <c r="E636" s="5">
        <f>IF(D636="","",IFERROR(VLOOKUP(D636,'Items'!$A$2:$L$201,2,FALSE),"Item not found"))</f>
        <v/>
      </c>
      <c r="F636" s="9" t="n"/>
      <c r="G636" s="4" t="n"/>
      <c r="H636" s="10">
        <f>IF(OR(F636="",G636=""),"",IFERROR(F636*VLOOKUP(G636,'Units'!$A$2:$D$13,4,FALSE),""))</f>
        <v/>
      </c>
      <c r="I636" s="5">
        <f>IF(D636="","",IFERROR(VLOOKUP(D636,'Items'!$A$2:$L$201,4,FALSE),""))</f>
        <v/>
      </c>
      <c r="J636" s="10">
        <f>IF(D636="","",IFERROR(VLOOKUP(D636,'Items'!$A$2:$L$201,10,FALSE),""))</f>
        <v/>
      </c>
      <c r="K636" s="10">
        <f>IF(OR(H636="",J636=""),"",H636*J636)</f>
        <v/>
      </c>
      <c r="L636" s="5">
        <f>IF(AND(B636="",D636=""),"",IF(B636="","Missing product",IF(D636="","Missing item",IF(C636="Product not found","Product not found",IF(E636="Item not found","Item not found",IF(OR(F636="",G636=""),"Missing quantity/unit",IF(IFERROR(VLOOKUP(G636,'Units'!$A$2:$D$13,3,FALSE),"")&lt;&gt;I636,"Unit mismatch",IF(J636="","Enter item cost","OK"))))))))</f>
        <v/>
      </c>
      <c r="M636" s="4" t="n"/>
    </row>
    <row r="637">
      <c r="A637" s="5">
        <f>IF(AND(B637="",D637=""),"",ROW()-1)</f>
        <v/>
      </c>
      <c r="B637" s="4" t="n"/>
      <c r="C637" s="5">
        <f>IF(B637="","",IFERROR(VLOOKUP(B637,'Products'!$A$2:$F$201,2,FALSE),"Product not found"))</f>
        <v/>
      </c>
      <c r="D637" s="4" t="n"/>
      <c r="E637" s="5">
        <f>IF(D637="","",IFERROR(VLOOKUP(D637,'Items'!$A$2:$L$201,2,FALSE),"Item not found"))</f>
        <v/>
      </c>
      <c r="F637" s="9" t="n"/>
      <c r="G637" s="4" t="n"/>
      <c r="H637" s="10">
        <f>IF(OR(F637="",G637=""),"",IFERROR(F637*VLOOKUP(G637,'Units'!$A$2:$D$13,4,FALSE),""))</f>
        <v/>
      </c>
      <c r="I637" s="5">
        <f>IF(D637="","",IFERROR(VLOOKUP(D637,'Items'!$A$2:$L$201,4,FALSE),""))</f>
        <v/>
      </c>
      <c r="J637" s="10">
        <f>IF(D637="","",IFERROR(VLOOKUP(D637,'Items'!$A$2:$L$201,10,FALSE),""))</f>
        <v/>
      </c>
      <c r="K637" s="10">
        <f>IF(OR(H637="",J637=""),"",H637*J637)</f>
        <v/>
      </c>
      <c r="L637" s="5">
        <f>IF(AND(B637="",D637=""),"",IF(B637="","Missing product",IF(D637="","Missing item",IF(C637="Product not found","Product not found",IF(E637="Item not found","Item not found",IF(OR(F637="",G637=""),"Missing quantity/unit",IF(IFERROR(VLOOKUP(G637,'Units'!$A$2:$D$13,3,FALSE),"")&lt;&gt;I637,"Unit mismatch",IF(J637="","Enter item cost","OK"))))))))</f>
        <v/>
      </c>
      <c r="M637" s="4" t="n"/>
    </row>
    <row r="638">
      <c r="A638" s="5">
        <f>IF(AND(B638="",D638=""),"",ROW()-1)</f>
        <v/>
      </c>
      <c r="B638" s="4" t="n"/>
      <c r="C638" s="5">
        <f>IF(B638="","",IFERROR(VLOOKUP(B638,'Products'!$A$2:$F$201,2,FALSE),"Product not found"))</f>
        <v/>
      </c>
      <c r="D638" s="4" t="n"/>
      <c r="E638" s="5">
        <f>IF(D638="","",IFERROR(VLOOKUP(D638,'Items'!$A$2:$L$201,2,FALSE),"Item not found"))</f>
        <v/>
      </c>
      <c r="F638" s="9" t="n"/>
      <c r="G638" s="4" t="n"/>
      <c r="H638" s="10">
        <f>IF(OR(F638="",G638=""),"",IFERROR(F638*VLOOKUP(G638,'Units'!$A$2:$D$13,4,FALSE),""))</f>
        <v/>
      </c>
      <c r="I638" s="5">
        <f>IF(D638="","",IFERROR(VLOOKUP(D638,'Items'!$A$2:$L$201,4,FALSE),""))</f>
        <v/>
      </c>
      <c r="J638" s="10">
        <f>IF(D638="","",IFERROR(VLOOKUP(D638,'Items'!$A$2:$L$201,10,FALSE),""))</f>
        <v/>
      </c>
      <c r="K638" s="10">
        <f>IF(OR(H638="",J638=""),"",H638*J638)</f>
        <v/>
      </c>
      <c r="L638" s="5">
        <f>IF(AND(B638="",D638=""),"",IF(B638="","Missing product",IF(D638="","Missing item",IF(C638="Product not found","Product not found",IF(E638="Item not found","Item not found",IF(OR(F638="",G638=""),"Missing quantity/unit",IF(IFERROR(VLOOKUP(G638,'Units'!$A$2:$D$13,3,FALSE),"")&lt;&gt;I638,"Unit mismatch",IF(J638="","Enter item cost","OK"))))))))</f>
        <v/>
      </c>
      <c r="M638" s="4" t="n"/>
    </row>
    <row r="639">
      <c r="A639" s="5">
        <f>IF(AND(B639="",D639=""),"",ROW()-1)</f>
        <v/>
      </c>
      <c r="B639" s="4" t="n"/>
      <c r="C639" s="5">
        <f>IF(B639="","",IFERROR(VLOOKUP(B639,'Products'!$A$2:$F$201,2,FALSE),"Product not found"))</f>
        <v/>
      </c>
      <c r="D639" s="4" t="n"/>
      <c r="E639" s="5">
        <f>IF(D639="","",IFERROR(VLOOKUP(D639,'Items'!$A$2:$L$201,2,FALSE),"Item not found"))</f>
        <v/>
      </c>
      <c r="F639" s="9" t="n"/>
      <c r="G639" s="4" t="n"/>
      <c r="H639" s="10">
        <f>IF(OR(F639="",G639=""),"",IFERROR(F639*VLOOKUP(G639,'Units'!$A$2:$D$13,4,FALSE),""))</f>
        <v/>
      </c>
      <c r="I639" s="5">
        <f>IF(D639="","",IFERROR(VLOOKUP(D639,'Items'!$A$2:$L$201,4,FALSE),""))</f>
        <v/>
      </c>
      <c r="J639" s="10">
        <f>IF(D639="","",IFERROR(VLOOKUP(D639,'Items'!$A$2:$L$201,10,FALSE),""))</f>
        <v/>
      </c>
      <c r="K639" s="10">
        <f>IF(OR(H639="",J639=""),"",H639*J639)</f>
        <v/>
      </c>
      <c r="L639" s="5">
        <f>IF(AND(B639="",D639=""),"",IF(B639="","Missing product",IF(D639="","Missing item",IF(C639="Product not found","Product not found",IF(E639="Item not found","Item not found",IF(OR(F639="",G639=""),"Missing quantity/unit",IF(IFERROR(VLOOKUP(G639,'Units'!$A$2:$D$13,3,FALSE),"")&lt;&gt;I639,"Unit mismatch",IF(J639="","Enter item cost","OK"))))))))</f>
        <v/>
      </c>
      <c r="M639" s="4" t="n"/>
    </row>
    <row r="640">
      <c r="A640" s="5">
        <f>IF(AND(B640="",D640=""),"",ROW()-1)</f>
        <v/>
      </c>
      <c r="B640" s="4" t="n"/>
      <c r="C640" s="5">
        <f>IF(B640="","",IFERROR(VLOOKUP(B640,'Products'!$A$2:$F$201,2,FALSE),"Product not found"))</f>
        <v/>
      </c>
      <c r="D640" s="4" t="n"/>
      <c r="E640" s="5">
        <f>IF(D640="","",IFERROR(VLOOKUP(D640,'Items'!$A$2:$L$201,2,FALSE),"Item not found"))</f>
        <v/>
      </c>
      <c r="F640" s="9" t="n"/>
      <c r="G640" s="4" t="n"/>
      <c r="H640" s="10">
        <f>IF(OR(F640="",G640=""),"",IFERROR(F640*VLOOKUP(G640,'Units'!$A$2:$D$13,4,FALSE),""))</f>
        <v/>
      </c>
      <c r="I640" s="5">
        <f>IF(D640="","",IFERROR(VLOOKUP(D640,'Items'!$A$2:$L$201,4,FALSE),""))</f>
        <v/>
      </c>
      <c r="J640" s="10">
        <f>IF(D640="","",IFERROR(VLOOKUP(D640,'Items'!$A$2:$L$201,10,FALSE),""))</f>
        <v/>
      </c>
      <c r="K640" s="10">
        <f>IF(OR(H640="",J640=""),"",H640*J640)</f>
        <v/>
      </c>
      <c r="L640" s="5">
        <f>IF(AND(B640="",D640=""),"",IF(B640="","Missing product",IF(D640="","Missing item",IF(C640="Product not found","Product not found",IF(E640="Item not found","Item not found",IF(OR(F640="",G640=""),"Missing quantity/unit",IF(IFERROR(VLOOKUP(G640,'Units'!$A$2:$D$13,3,FALSE),"")&lt;&gt;I640,"Unit mismatch",IF(J640="","Enter item cost","OK"))))))))</f>
        <v/>
      </c>
      <c r="M640" s="4" t="n"/>
    </row>
    <row r="641">
      <c r="A641" s="5">
        <f>IF(AND(B641="",D641=""),"",ROW()-1)</f>
        <v/>
      </c>
      <c r="B641" s="4" t="n"/>
      <c r="C641" s="5">
        <f>IF(B641="","",IFERROR(VLOOKUP(B641,'Products'!$A$2:$F$201,2,FALSE),"Product not found"))</f>
        <v/>
      </c>
      <c r="D641" s="4" t="n"/>
      <c r="E641" s="5">
        <f>IF(D641="","",IFERROR(VLOOKUP(D641,'Items'!$A$2:$L$201,2,FALSE),"Item not found"))</f>
        <v/>
      </c>
      <c r="F641" s="9" t="n"/>
      <c r="G641" s="4" t="n"/>
      <c r="H641" s="10">
        <f>IF(OR(F641="",G641=""),"",IFERROR(F641*VLOOKUP(G641,'Units'!$A$2:$D$13,4,FALSE),""))</f>
        <v/>
      </c>
      <c r="I641" s="5">
        <f>IF(D641="","",IFERROR(VLOOKUP(D641,'Items'!$A$2:$L$201,4,FALSE),""))</f>
        <v/>
      </c>
      <c r="J641" s="10">
        <f>IF(D641="","",IFERROR(VLOOKUP(D641,'Items'!$A$2:$L$201,10,FALSE),""))</f>
        <v/>
      </c>
      <c r="K641" s="10">
        <f>IF(OR(H641="",J641=""),"",H641*J641)</f>
        <v/>
      </c>
      <c r="L641" s="5">
        <f>IF(AND(B641="",D641=""),"",IF(B641="","Missing product",IF(D641="","Missing item",IF(C641="Product not found","Product not found",IF(E641="Item not found","Item not found",IF(OR(F641="",G641=""),"Missing quantity/unit",IF(IFERROR(VLOOKUP(G641,'Units'!$A$2:$D$13,3,FALSE),"")&lt;&gt;I641,"Unit mismatch",IF(J641="","Enter item cost","OK"))))))))</f>
        <v/>
      </c>
      <c r="M641" s="4" t="n"/>
    </row>
    <row r="642">
      <c r="A642" s="5">
        <f>IF(AND(B642="",D642=""),"",ROW()-1)</f>
        <v/>
      </c>
      <c r="B642" s="4" t="n"/>
      <c r="C642" s="5">
        <f>IF(B642="","",IFERROR(VLOOKUP(B642,'Products'!$A$2:$F$201,2,FALSE),"Product not found"))</f>
        <v/>
      </c>
      <c r="D642" s="4" t="n"/>
      <c r="E642" s="5">
        <f>IF(D642="","",IFERROR(VLOOKUP(D642,'Items'!$A$2:$L$201,2,FALSE),"Item not found"))</f>
        <v/>
      </c>
      <c r="F642" s="9" t="n"/>
      <c r="G642" s="4" t="n"/>
      <c r="H642" s="10">
        <f>IF(OR(F642="",G642=""),"",IFERROR(F642*VLOOKUP(G642,'Units'!$A$2:$D$13,4,FALSE),""))</f>
        <v/>
      </c>
      <c r="I642" s="5">
        <f>IF(D642="","",IFERROR(VLOOKUP(D642,'Items'!$A$2:$L$201,4,FALSE),""))</f>
        <v/>
      </c>
      <c r="J642" s="10">
        <f>IF(D642="","",IFERROR(VLOOKUP(D642,'Items'!$A$2:$L$201,10,FALSE),""))</f>
        <v/>
      </c>
      <c r="K642" s="10">
        <f>IF(OR(H642="",J642=""),"",H642*J642)</f>
        <v/>
      </c>
      <c r="L642" s="5">
        <f>IF(AND(B642="",D642=""),"",IF(B642="","Missing product",IF(D642="","Missing item",IF(C642="Product not found","Product not found",IF(E642="Item not found","Item not found",IF(OR(F642="",G642=""),"Missing quantity/unit",IF(IFERROR(VLOOKUP(G642,'Units'!$A$2:$D$13,3,FALSE),"")&lt;&gt;I642,"Unit mismatch",IF(J642="","Enter item cost","OK"))))))))</f>
        <v/>
      </c>
      <c r="M642" s="4" t="n"/>
    </row>
    <row r="643">
      <c r="A643" s="5">
        <f>IF(AND(B643="",D643=""),"",ROW()-1)</f>
        <v/>
      </c>
      <c r="B643" s="4" t="n"/>
      <c r="C643" s="5">
        <f>IF(B643="","",IFERROR(VLOOKUP(B643,'Products'!$A$2:$F$201,2,FALSE),"Product not found"))</f>
        <v/>
      </c>
      <c r="D643" s="4" t="n"/>
      <c r="E643" s="5">
        <f>IF(D643="","",IFERROR(VLOOKUP(D643,'Items'!$A$2:$L$201,2,FALSE),"Item not found"))</f>
        <v/>
      </c>
      <c r="F643" s="9" t="n"/>
      <c r="G643" s="4" t="n"/>
      <c r="H643" s="10">
        <f>IF(OR(F643="",G643=""),"",IFERROR(F643*VLOOKUP(G643,'Units'!$A$2:$D$13,4,FALSE),""))</f>
        <v/>
      </c>
      <c r="I643" s="5">
        <f>IF(D643="","",IFERROR(VLOOKUP(D643,'Items'!$A$2:$L$201,4,FALSE),""))</f>
        <v/>
      </c>
      <c r="J643" s="10">
        <f>IF(D643="","",IFERROR(VLOOKUP(D643,'Items'!$A$2:$L$201,10,FALSE),""))</f>
        <v/>
      </c>
      <c r="K643" s="10">
        <f>IF(OR(H643="",J643=""),"",H643*J643)</f>
        <v/>
      </c>
      <c r="L643" s="5">
        <f>IF(AND(B643="",D643=""),"",IF(B643="","Missing product",IF(D643="","Missing item",IF(C643="Product not found","Product not found",IF(E643="Item not found","Item not found",IF(OR(F643="",G643=""),"Missing quantity/unit",IF(IFERROR(VLOOKUP(G643,'Units'!$A$2:$D$13,3,FALSE),"")&lt;&gt;I643,"Unit mismatch",IF(J643="","Enter item cost","OK"))))))))</f>
        <v/>
      </c>
      <c r="M643" s="4" t="n"/>
    </row>
    <row r="644">
      <c r="A644" s="5">
        <f>IF(AND(B644="",D644=""),"",ROW()-1)</f>
        <v/>
      </c>
      <c r="B644" s="4" t="n"/>
      <c r="C644" s="5">
        <f>IF(B644="","",IFERROR(VLOOKUP(B644,'Products'!$A$2:$F$201,2,FALSE),"Product not found"))</f>
        <v/>
      </c>
      <c r="D644" s="4" t="n"/>
      <c r="E644" s="5">
        <f>IF(D644="","",IFERROR(VLOOKUP(D644,'Items'!$A$2:$L$201,2,FALSE),"Item not found"))</f>
        <v/>
      </c>
      <c r="F644" s="9" t="n"/>
      <c r="G644" s="4" t="n"/>
      <c r="H644" s="10">
        <f>IF(OR(F644="",G644=""),"",IFERROR(F644*VLOOKUP(G644,'Units'!$A$2:$D$13,4,FALSE),""))</f>
        <v/>
      </c>
      <c r="I644" s="5">
        <f>IF(D644="","",IFERROR(VLOOKUP(D644,'Items'!$A$2:$L$201,4,FALSE),""))</f>
        <v/>
      </c>
      <c r="J644" s="10">
        <f>IF(D644="","",IFERROR(VLOOKUP(D644,'Items'!$A$2:$L$201,10,FALSE),""))</f>
        <v/>
      </c>
      <c r="K644" s="10">
        <f>IF(OR(H644="",J644=""),"",H644*J644)</f>
        <v/>
      </c>
      <c r="L644" s="5">
        <f>IF(AND(B644="",D644=""),"",IF(B644="","Missing product",IF(D644="","Missing item",IF(C644="Product not found","Product not found",IF(E644="Item not found","Item not found",IF(OR(F644="",G644=""),"Missing quantity/unit",IF(IFERROR(VLOOKUP(G644,'Units'!$A$2:$D$13,3,FALSE),"")&lt;&gt;I644,"Unit mismatch",IF(J644="","Enter item cost","OK"))))))))</f>
        <v/>
      </c>
      <c r="M644" s="4" t="n"/>
    </row>
    <row r="645">
      <c r="A645" s="5">
        <f>IF(AND(B645="",D645=""),"",ROW()-1)</f>
        <v/>
      </c>
      <c r="B645" s="4" t="n"/>
      <c r="C645" s="5">
        <f>IF(B645="","",IFERROR(VLOOKUP(B645,'Products'!$A$2:$F$201,2,FALSE),"Product not found"))</f>
        <v/>
      </c>
      <c r="D645" s="4" t="n"/>
      <c r="E645" s="5">
        <f>IF(D645="","",IFERROR(VLOOKUP(D645,'Items'!$A$2:$L$201,2,FALSE),"Item not found"))</f>
        <v/>
      </c>
      <c r="F645" s="9" t="n"/>
      <c r="G645" s="4" t="n"/>
      <c r="H645" s="10">
        <f>IF(OR(F645="",G645=""),"",IFERROR(F645*VLOOKUP(G645,'Units'!$A$2:$D$13,4,FALSE),""))</f>
        <v/>
      </c>
      <c r="I645" s="5">
        <f>IF(D645="","",IFERROR(VLOOKUP(D645,'Items'!$A$2:$L$201,4,FALSE),""))</f>
        <v/>
      </c>
      <c r="J645" s="10">
        <f>IF(D645="","",IFERROR(VLOOKUP(D645,'Items'!$A$2:$L$201,10,FALSE),""))</f>
        <v/>
      </c>
      <c r="K645" s="10">
        <f>IF(OR(H645="",J645=""),"",H645*J645)</f>
        <v/>
      </c>
      <c r="L645" s="5">
        <f>IF(AND(B645="",D645=""),"",IF(B645="","Missing product",IF(D645="","Missing item",IF(C645="Product not found","Product not found",IF(E645="Item not found","Item not found",IF(OR(F645="",G645=""),"Missing quantity/unit",IF(IFERROR(VLOOKUP(G645,'Units'!$A$2:$D$13,3,FALSE),"")&lt;&gt;I645,"Unit mismatch",IF(J645="","Enter item cost","OK"))))))))</f>
        <v/>
      </c>
      <c r="M645" s="4" t="n"/>
    </row>
    <row r="646">
      <c r="A646" s="5">
        <f>IF(AND(B646="",D646=""),"",ROW()-1)</f>
        <v/>
      </c>
      <c r="B646" s="4" t="n"/>
      <c r="C646" s="5">
        <f>IF(B646="","",IFERROR(VLOOKUP(B646,'Products'!$A$2:$F$201,2,FALSE),"Product not found"))</f>
        <v/>
      </c>
      <c r="D646" s="4" t="n"/>
      <c r="E646" s="5">
        <f>IF(D646="","",IFERROR(VLOOKUP(D646,'Items'!$A$2:$L$201,2,FALSE),"Item not found"))</f>
        <v/>
      </c>
      <c r="F646" s="9" t="n"/>
      <c r="G646" s="4" t="n"/>
      <c r="H646" s="10">
        <f>IF(OR(F646="",G646=""),"",IFERROR(F646*VLOOKUP(G646,'Units'!$A$2:$D$13,4,FALSE),""))</f>
        <v/>
      </c>
      <c r="I646" s="5">
        <f>IF(D646="","",IFERROR(VLOOKUP(D646,'Items'!$A$2:$L$201,4,FALSE),""))</f>
        <v/>
      </c>
      <c r="J646" s="10">
        <f>IF(D646="","",IFERROR(VLOOKUP(D646,'Items'!$A$2:$L$201,10,FALSE),""))</f>
        <v/>
      </c>
      <c r="K646" s="10">
        <f>IF(OR(H646="",J646=""),"",H646*J646)</f>
        <v/>
      </c>
      <c r="L646" s="5">
        <f>IF(AND(B646="",D646=""),"",IF(B646="","Missing product",IF(D646="","Missing item",IF(C646="Product not found","Product not found",IF(E646="Item not found","Item not found",IF(OR(F646="",G646=""),"Missing quantity/unit",IF(IFERROR(VLOOKUP(G646,'Units'!$A$2:$D$13,3,FALSE),"")&lt;&gt;I646,"Unit mismatch",IF(J646="","Enter item cost","OK"))))))))</f>
        <v/>
      </c>
      <c r="M646" s="4" t="n"/>
    </row>
    <row r="647">
      <c r="A647" s="5">
        <f>IF(AND(B647="",D647=""),"",ROW()-1)</f>
        <v/>
      </c>
      <c r="B647" s="4" t="n"/>
      <c r="C647" s="5">
        <f>IF(B647="","",IFERROR(VLOOKUP(B647,'Products'!$A$2:$F$201,2,FALSE),"Product not found"))</f>
        <v/>
      </c>
      <c r="D647" s="4" t="n"/>
      <c r="E647" s="5">
        <f>IF(D647="","",IFERROR(VLOOKUP(D647,'Items'!$A$2:$L$201,2,FALSE),"Item not found"))</f>
        <v/>
      </c>
      <c r="F647" s="9" t="n"/>
      <c r="G647" s="4" t="n"/>
      <c r="H647" s="10">
        <f>IF(OR(F647="",G647=""),"",IFERROR(F647*VLOOKUP(G647,'Units'!$A$2:$D$13,4,FALSE),""))</f>
        <v/>
      </c>
      <c r="I647" s="5">
        <f>IF(D647="","",IFERROR(VLOOKUP(D647,'Items'!$A$2:$L$201,4,FALSE),""))</f>
        <v/>
      </c>
      <c r="J647" s="10">
        <f>IF(D647="","",IFERROR(VLOOKUP(D647,'Items'!$A$2:$L$201,10,FALSE),""))</f>
        <v/>
      </c>
      <c r="K647" s="10">
        <f>IF(OR(H647="",J647=""),"",H647*J647)</f>
        <v/>
      </c>
      <c r="L647" s="5">
        <f>IF(AND(B647="",D647=""),"",IF(B647="","Missing product",IF(D647="","Missing item",IF(C647="Product not found","Product not found",IF(E647="Item not found","Item not found",IF(OR(F647="",G647=""),"Missing quantity/unit",IF(IFERROR(VLOOKUP(G647,'Units'!$A$2:$D$13,3,FALSE),"")&lt;&gt;I647,"Unit mismatch",IF(J647="","Enter item cost","OK"))))))))</f>
        <v/>
      </c>
      <c r="M647" s="4" t="n"/>
    </row>
    <row r="648">
      <c r="A648" s="5">
        <f>IF(AND(B648="",D648=""),"",ROW()-1)</f>
        <v/>
      </c>
      <c r="B648" s="4" t="n"/>
      <c r="C648" s="5">
        <f>IF(B648="","",IFERROR(VLOOKUP(B648,'Products'!$A$2:$F$201,2,FALSE),"Product not found"))</f>
        <v/>
      </c>
      <c r="D648" s="4" t="n"/>
      <c r="E648" s="5">
        <f>IF(D648="","",IFERROR(VLOOKUP(D648,'Items'!$A$2:$L$201,2,FALSE),"Item not found"))</f>
        <v/>
      </c>
      <c r="F648" s="9" t="n"/>
      <c r="G648" s="4" t="n"/>
      <c r="H648" s="10">
        <f>IF(OR(F648="",G648=""),"",IFERROR(F648*VLOOKUP(G648,'Units'!$A$2:$D$13,4,FALSE),""))</f>
        <v/>
      </c>
      <c r="I648" s="5">
        <f>IF(D648="","",IFERROR(VLOOKUP(D648,'Items'!$A$2:$L$201,4,FALSE),""))</f>
        <v/>
      </c>
      <c r="J648" s="10">
        <f>IF(D648="","",IFERROR(VLOOKUP(D648,'Items'!$A$2:$L$201,10,FALSE),""))</f>
        <v/>
      </c>
      <c r="K648" s="10">
        <f>IF(OR(H648="",J648=""),"",H648*J648)</f>
        <v/>
      </c>
      <c r="L648" s="5">
        <f>IF(AND(B648="",D648=""),"",IF(B648="","Missing product",IF(D648="","Missing item",IF(C648="Product not found","Product not found",IF(E648="Item not found","Item not found",IF(OR(F648="",G648=""),"Missing quantity/unit",IF(IFERROR(VLOOKUP(G648,'Units'!$A$2:$D$13,3,FALSE),"")&lt;&gt;I648,"Unit mismatch",IF(J648="","Enter item cost","OK"))))))))</f>
        <v/>
      </c>
      <c r="M648" s="4" t="n"/>
    </row>
    <row r="649">
      <c r="A649" s="5">
        <f>IF(AND(B649="",D649=""),"",ROW()-1)</f>
        <v/>
      </c>
      <c r="B649" s="4" t="n"/>
      <c r="C649" s="5">
        <f>IF(B649="","",IFERROR(VLOOKUP(B649,'Products'!$A$2:$F$201,2,FALSE),"Product not found"))</f>
        <v/>
      </c>
      <c r="D649" s="4" t="n"/>
      <c r="E649" s="5">
        <f>IF(D649="","",IFERROR(VLOOKUP(D649,'Items'!$A$2:$L$201,2,FALSE),"Item not found"))</f>
        <v/>
      </c>
      <c r="F649" s="9" t="n"/>
      <c r="G649" s="4" t="n"/>
      <c r="H649" s="10">
        <f>IF(OR(F649="",G649=""),"",IFERROR(F649*VLOOKUP(G649,'Units'!$A$2:$D$13,4,FALSE),""))</f>
        <v/>
      </c>
      <c r="I649" s="5">
        <f>IF(D649="","",IFERROR(VLOOKUP(D649,'Items'!$A$2:$L$201,4,FALSE),""))</f>
        <v/>
      </c>
      <c r="J649" s="10">
        <f>IF(D649="","",IFERROR(VLOOKUP(D649,'Items'!$A$2:$L$201,10,FALSE),""))</f>
        <v/>
      </c>
      <c r="K649" s="10">
        <f>IF(OR(H649="",J649=""),"",H649*J649)</f>
        <v/>
      </c>
      <c r="L649" s="5">
        <f>IF(AND(B649="",D649=""),"",IF(B649="","Missing product",IF(D649="","Missing item",IF(C649="Product not found","Product not found",IF(E649="Item not found","Item not found",IF(OR(F649="",G649=""),"Missing quantity/unit",IF(IFERROR(VLOOKUP(G649,'Units'!$A$2:$D$13,3,FALSE),"")&lt;&gt;I649,"Unit mismatch",IF(J649="","Enter item cost","OK"))))))))</f>
        <v/>
      </c>
      <c r="M649" s="4" t="n"/>
    </row>
    <row r="650">
      <c r="A650" s="5">
        <f>IF(AND(B650="",D650=""),"",ROW()-1)</f>
        <v/>
      </c>
      <c r="B650" s="4" t="n"/>
      <c r="C650" s="5">
        <f>IF(B650="","",IFERROR(VLOOKUP(B650,'Products'!$A$2:$F$201,2,FALSE),"Product not found"))</f>
        <v/>
      </c>
      <c r="D650" s="4" t="n"/>
      <c r="E650" s="5">
        <f>IF(D650="","",IFERROR(VLOOKUP(D650,'Items'!$A$2:$L$201,2,FALSE),"Item not found"))</f>
        <v/>
      </c>
      <c r="F650" s="9" t="n"/>
      <c r="G650" s="4" t="n"/>
      <c r="H650" s="10">
        <f>IF(OR(F650="",G650=""),"",IFERROR(F650*VLOOKUP(G650,'Units'!$A$2:$D$13,4,FALSE),""))</f>
        <v/>
      </c>
      <c r="I650" s="5">
        <f>IF(D650="","",IFERROR(VLOOKUP(D650,'Items'!$A$2:$L$201,4,FALSE),""))</f>
        <v/>
      </c>
      <c r="J650" s="10">
        <f>IF(D650="","",IFERROR(VLOOKUP(D650,'Items'!$A$2:$L$201,10,FALSE),""))</f>
        <v/>
      </c>
      <c r="K650" s="10">
        <f>IF(OR(H650="",J650=""),"",H650*J650)</f>
        <v/>
      </c>
      <c r="L650" s="5">
        <f>IF(AND(B650="",D650=""),"",IF(B650="","Missing product",IF(D650="","Missing item",IF(C650="Product not found","Product not found",IF(E650="Item not found","Item not found",IF(OR(F650="",G650=""),"Missing quantity/unit",IF(IFERROR(VLOOKUP(G650,'Units'!$A$2:$D$13,3,FALSE),"")&lt;&gt;I650,"Unit mismatch",IF(J650="","Enter item cost","OK"))))))))</f>
        <v/>
      </c>
      <c r="M650" s="4" t="n"/>
    </row>
    <row r="651">
      <c r="A651" s="5">
        <f>IF(AND(B651="",D651=""),"",ROW()-1)</f>
        <v/>
      </c>
      <c r="B651" s="4" t="n"/>
      <c r="C651" s="5">
        <f>IF(B651="","",IFERROR(VLOOKUP(B651,'Products'!$A$2:$F$201,2,FALSE),"Product not found"))</f>
        <v/>
      </c>
      <c r="D651" s="4" t="n"/>
      <c r="E651" s="5">
        <f>IF(D651="","",IFERROR(VLOOKUP(D651,'Items'!$A$2:$L$201,2,FALSE),"Item not found"))</f>
        <v/>
      </c>
      <c r="F651" s="9" t="n"/>
      <c r="G651" s="4" t="n"/>
      <c r="H651" s="10">
        <f>IF(OR(F651="",G651=""),"",IFERROR(F651*VLOOKUP(G651,'Units'!$A$2:$D$13,4,FALSE),""))</f>
        <v/>
      </c>
      <c r="I651" s="5">
        <f>IF(D651="","",IFERROR(VLOOKUP(D651,'Items'!$A$2:$L$201,4,FALSE),""))</f>
        <v/>
      </c>
      <c r="J651" s="10">
        <f>IF(D651="","",IFERROR(VLOOKUP(D651,'Items'!$A$2:$L$201,10,FALSE),""))</f>
        <v/>
      </c>
      <c r="K651" s="10">
        <f>IF(OR(H651="",J651=""),"",H651*J651)</f>
        <v/>
      </c>
      <c r="L651" s="5">
        <f>IF(AND(B651="",D651=""),"",IF(B651="","Missing product",IF(D651="","Missing item",IF(C651="Product not found","Product not found",IF(E651="Item not found","Item not found",IF(OR(F651="",G651=""),"Missing quantity/unit",IF(IFERROR(VLOOKUP(G651,'Units'!$A$2:$D$13,3,FALSE),"")&lt;&gt;I651,"Unit mismatch",IF(J651="","Enter item cost","OK"))))))))</f>
        <v/>
      </c>
      <c r="M651" s="4" t="n"/>
    </row>
    <row r="652">
      <c r="A652" s="5">
        <f>IF(AND(B652="",D652=""),"",ROW()-1)</f>
        <v/>
      </c>
      <c r="B652" s="4" t="n"/>
      <c r="C652" s="5">
        <f>IF(B652="","",IFERROR(VLOOKUP(B652,'Products'!$A$2:$F$201,2,FALSE),"Product not found"))</f>
        <v/>
      </c>
      <c r="D652" s="4" t="n"/>
      <c r="E652" s="5">
        <f>IF(D652="","",IFERROR(VLOOKUP(D652,'Items'!$A$2:$L$201,2,FALSE),"Item not found"))</f>
        <v/>
      </c>
      <c r="F652" s="9" t="n"/>
      <c r="G652" s="4" t="n"/>
      <c r="H652" s="10">
        <f>IF(OR(F652="",G652=""),"",IFERROR(F652*VLOOKUP(G652,'Units'!$A$2:$D$13,4,FALSE),""))</f>
        <v/>
      </c>
      <c r="I652" s="5">
        <f>IF(D652="","",IFERROR(VLOOKUP(D652,'Items'!$A$2:$L$201,4,FALSE),""))</f>
        <v/>
      </c>
      <c r="J652" s="10">
        <f>IF(D652="","",IFERROR(VLOOKUP(D652,'Items'!$A$2:$L$201,10,FALSE),""))</f>
        <v/>
      </c>
      <c r="K652" s="10">
        <f>IF(OR(H652="",J652=""),"",H652*J652)</f>
        <v/>
      </c>
      <c r="L652" s="5">
        <f>IF(AND(B652="",D652=""),"",IF(B652="","Missing product",IF(D652="","Missing item",IF(C652="Product not found","Product not found",IF(E652="Item not found","Item not found",IF(OR(F652="",G652=""),"Missing quantity/unit",IF(IFERROR(VLOOKUP(G652,'Units'!$A$2:$D$13,3,FALSE),"")&lt;&gt;I652,"Unit mismatch",IF(J652="","Enter item cost","OK"))))))))</f>
        <v/>
      </c>
      <c r="M652" s="4" t="n"/>
    </row>
    <row r="653">
      <c r="A653" s="5">
        <f>IF(AND(B653="",D653=""),"",ROW()-1)</f>
        <v/>
      </c>
      <c r="B653" s="4" t="n"/>
      <c r="C653" s="5">
        <f>IF(B653="","",IFERROR(VLOOKUP(B653,'Products'!$A$2:$F$201,2,FALSE),"Product not found"))</f>
        <v/>
      </c>
      <c r="D653" s="4" t="n"/>
      <c r="E653" s="5">
        <f>IF(D653="","",IFERROR(VLOOKUP(D653,'Items'!$A$2:$L$201,2,FALSE),"Item not found"))</f>
        <v/>
      </c>
      <c r="F653" s="9" t="n"/>
      <c r="G653" s="4" t="n"/>
      <c r="H653" s="10">
        <f>IF(OR(F653="",G653=""),"",IFERROR(F653*VLOOKUP(G653,'Units'!$A$2:$D$13,4,FALSE),""))</f>
        <v/>
      </c>
      <c r="I653" s="5">
        <f>IF(D653="","",IFERROR(VLOOKUP(D653,'Items'!$A$2:$L$201,4,FALSE),""))</f>
        <v/>
      </c>
      <c r="J653" s="10">
        <f>IF(D653="","",IFERROR(VLOOKUP(D653,'Items'!$A$2:$L$201,10,FALSE),""))</f>
        <v/>
      </c>
      <c r="K653" s="10">
        <f>IF(OR(H653="",J653=""),"",H653*J653)</f>
        <v/>
      </c>
      <c r="L653" s="5">
        <f>IF(AND(B653="",D653=""),"",IF(B653="","Missing product",IF(D653="","Missing item",IF(C653="Product not found","Product not found",IF(E653="Item not found","Item not found",IF(OR(F653="",G653=""),"Missing quantity/unit",IF(IFERROR(VLOOKUP(G653,'Units'!$A$2:$D$13,3,FALSE),"")&lt;&gt;I653,"Unit mismatch",IF(J653="","Enter item cost","OK"))))))))</f>
        <v/>
      </c>
      <c r="M653" s="4" t="n"/>
    </row>
    <row r="654">
      <c r="A654" s="5">
        <f>IF(AND(B654="",D654=""),"",ROW()-1)</f>
        <v/>
      </c>
      <c r="B654" s="4" t="n"/>
      <c r="C654" s="5">
        <f>IF(B654="","",IFERROR(VLOOKUP(B654,'Products'!$A$2:$F$201,2,FALSE),"Product not found"))</f>
        <v/>
      </c>
      <c r="D654" s="4" t="n"/>
      <c r="E654" s="5">
        <f>IF(D654="","",IFERROR(VLOOKUP(D654,'Items'!$A$2:$L$201,2,FALSE),"Item not found"))</f>
        <v/>
      </c>
      <c r="F654" s="9" t="n"/>
      <c r="G654" s="4" t="n"/>
      <c r="H654" s="10">
        <f>IF(OR(F654="",G654=""),"",IFERROR(F654*VLOOKUP(G654,'Units'!$A$2:$D$13,4,FALSE),""))</f>
        <v/>
      </c>
      <c r="I654" s="5">
        <f>IF(D654="","",IFERROR(VLOOKUP(D654,'Items'!$A$2:$L$201,4,FALSE),""))</f>
        <v/>
      </c>
      <c r="J654" s="10">
        <f>IF(D654="","",IFERROR(VLOOKUP(D654,'Items'!$A$2:$L$201,10,FALSE),""))</f>
        <v/>
      </c>
      <c r="K654" s="10">
        <f>IF(OR(H654="",J654=""),"",H654*J654)</f>
        <v/>
      </c>
      <c r="L654" s="5">
        <f>IF(AND(B654="",D654=""),"",IF(B654="","Missing product",IF(D654="","Missing item",IF(C654="Product not found","Product not found",IF(E654="Item not found","Item not found",IF(OR(F654="",G654=""),"Missing quantity/unit",IF(IFERROR(VLOOKUP(G654,'Units'!$A$2:$D$13,3,FALSE),"")&lt;&gt;I654,"Unit mismatch",IF(J654="","Enter item cost","OK"))))))))</f>
        <v/>
      </c>
      <c r="M654" s="4" t="n"/>
    </row>
    <row r="655">
      <c r="A655" s="5">
        <f>IF(AND(B655="",D655=""),"",ROW()-1)</f>
        <v/>
      </c>
      <c r="B655" s="4" t="n"/>
      <c r="C655" s="5">
        <f>IF(B655="","",IFERROR(VLOOKUP(B655,'Products'!$A$2:$F$201,2,FALSE),"Product not found"))</f>
        <v/>
      </c>
      <c r="D655" s="4" t="n"/>
      <c r="E655" s="5">
        <f>IF(D655="","",IFERROR(VLOOKUP(D655,'Items'!$A$2:$L$201,2,FALSE),"Item not found"))</f>
        <v/>
      </c>
      <c r="F655" s="9" t="n"/>
      <c r="G655" s="4" t="n"/>
      <c r="H655" s="10">
        <f>IF(OR(F655="",G655=""),"",IFERROR(F655*VLOOKUP(G655,'Units'!$A$2:$D$13,4,FALSE),""))</f>
        <v/>
      </c>
      <c r="I655" s="5">
        <f>IF(D655="","",IFERROR(VLOOKUP(D655,'Items'!$A$2:$L$201,4,FALSE),""))</f>
        <v/>
      </c>
      <c r="J655" s="10">
        <f>IF(D655="","",IFERROR(VLOOKUP(D655,'Items'!$A$2:$L$201,10,FALSE),""))</f>
        <v/>
      </c>
      <c r="K655" s="10">
        <f>IF(OR(H655="",J655=""),"",H655*J655)</f>
        <v/>
      </c>
      <c r="L655" s="5">
        <f>IF(AND(B655="",D655=""),"",IF(B655="","Missing product",IF(D655="","Missing item",IF(C655="Product not found","Product not found",IF(E655="Item not found","Item not found",IF(OR(F655="",G655=""),"Missing quantity/unit",IF(IFERROR(VLOOKUP(G655,'Units'!$A$2:$D$13,3,FALSE),"")&lt;&gt;I655,"Unit mismatch",IF(J655="","Enter item cost","OK"))))))))</f>
        <v/>
      </c>
      <c r="M655" s="4" t="n"/>
    </row>
    <row r="656">
      <c r="A656" s="5">
        <f>IF(AND(B656="",D656=""),"",ROW()-1)</f>
        <v/>
      </c>
      <c r="B656" s="4" t="n"/>
      <c r="C656" s="5">
        <f>IF(B656="","",IFERROR(VLOOKUP(B656,'Products'!$A$2:$F$201,2,FALSE),"Product not found"))</f>
        <v/>
      </c>
      <c r="D656" s="4" t="n"/>
      <c r="E656" s="5">
        <f>IF(D656="","",IFERROR(VLOOKUP(D656,'Items'!$A$2:$L$201,2,FALSE),"Item not found"))</f>
        <v/>
      </c>
      <c r="F656" s="9" t="n"/>
      <c r="G656" s="4" t="n"/>
      <c r="H656" s="10">
        <f>IF(OR(F656="",G656=""),"",IFERROR(F656*VLOOKUP(G656,'Units'!$A$2:$D$13,4,FALSE),""))</f>
        <v/>
      </c>
      <c r="I656" s="5">
        <f>IF(D656="","",IFERROR(VLOOKUP(D656,'Items'!$A$2:$L$201,4,FALSE),""))</f>
        <v/>
      </c>
      <c r="J656" s="10">
        <f>IF(D656="","",IFERROR(VLOOKUP(D656,'Items'!$A$2:$L$201,10,FALSE),""))</f>
        <v/>
      </c>
      <c r="K656" s="10">
        <f>IF(OR(H656="",J656=""),"",H656*J656)</f>
        <v/>
      </c>
      <c r="L656" s="5">
        <f>IF(AND(B656="",D656=""),"",IF(B656="","Missing product",IF(D656="","Missing item",IF(C656="Product not found","Product not found",IF(E656="Item not found","Item not found",IF(OR(F656="",G656=""),"Missing quantity/unit",IF(IFERROR(VLOOKUP(G656,'Units'!$A$2:$D$13,3,FALSE),"")&lt;&gt;I656,"Unit mismatch",IF(J656="","Enter item cost","OK"))))))))</f>
        <v/>
      </c>
      <c r="M656" s="4" t="n"/>
    </row>
    <row r="657">
      <c r="A657" s="5">
        <f>IF(AND(B657="",D657=""),"",ROW()-1)</f>
        <v/>
      </c>
      <c r="B657" s="4" t="n"/>
      <c r="C657" s="5">
        <f>IF(B657="","",IFERROR(VLOOKUP(B657,'Products'!$A$2:$F$201,2,FALSE),"Product not found"))</f>
        <v/>
      </c>
      <c r="D657" s="4" t="n"/>
      <c r="E657" s="5">
        <f>IF(D657="","",IFERROR(VLOOKUP(D657,'Items'!$A$2:$L$201,2,FALSE),"Item not found"))</f>
        <v/>
      </c>
      <c r="F657" s="9" t="n"/>
      <c r="G657" s="4" t="n"/>
      <c r="H657" s="10">
        <f>IF(OR(F657="",G657=""),"",IFERROR(F657*VLOOKUP(G657,'Units'!$A$2:$D$13,4,FALSE),""))</f>
        <v/>
      </c>
      <c r="I657" s="5">
        <f>IF(D657="","",IFERROR(VLOOKUP(D657,'Items'!$A$2:$L$201,4,FALSE),""))</f>
        <v/>
      </c>
      <c r="J657" s="10">
        <f>IF(D657="","",IFERROR(VLOOKUP(D657,'Items'!$A$2:$L$201,10,FALSE),""))</f>
        <v/>
      </c>
      <c r="K657" s="10">
        <f>IF(OR(H657="",J657=""),"",H657*J657)</f>
        <v/>
      </c>
      <c r="L657" s="5">
        <f>IF(AND(B657="",D657=""),"",IF(B657="","Missing product",IF(D657="","Missing item",IF(C657="Product not found","Product not found",IF(E657="Item not found","Item not found",IF(OR(F657="",G657=""),"Missing quantity/unit",IF(IFERROR(VLOOKUP(G657,'Units'!$A$2:$D$13,3,FALSE),"")&lt;&gt;I657,"Unit mismatch",IF(J657="","Enter item cost","OK"))))))))</f>
        <v/>
      </c>
      <c r="M657" s="4" t="n"/>
    </row>
    <row r="658">
      <c r="A658" s="5">
        <f>IF(AND(B658="",D658=""),"",ROW()-1)</f>
        <v/>
      </c>
      <c r="B658" s="4" t="n"/>
      <c r="C658" s="5">
        <f>IF(B658="","",IFERROR(VLOOKUP(B658,'Products'!$A$2:$F$201,2,FALSE),"Product not found"))</f>
        <v/>
      </c>
      <c r="D658" s="4" t="n"/>
      <c r="E658" s="5">
        <f>IF(D658="","",IFERROR(VLOOKUP(D658,'Items'!$A$2:$L$201,2,FALSE),"Item not found"))</f>
        <v/>
      </c>
      <c r="F658" s="9" t="n"/>
      <c r="G658" s="4" t="n"/>
      <c r="H658" s="10">
        <f>IF(OR(F658="",G658=""),"",IFERROR(F658*VLOOKUP(G658,'Units'!$A$2:$D$13,4,FALSE),""))</f>
        <v/>
      </c>
      <c r="I658" s="5">
        <f>IF(D658="","",IFERROR(VLOOKUP(D658,'Items'!$A$2:$L$201,4,FALSE),""))</f>
        <v/>
      </c>
      <c r="J658" s="10">
        <f>IF(D658="","",IFERROR(VLOOKUP(D658,'Items'!$A$2:$L$201,10,FALSE),""))</f>
        <v/>
      </c>
      <c r="K658" s="10">
        <f>IF(OR(H658="",J658=""),"",H658*J658)</f>
        <v/>
      </c>
      <c r="L658" s="5">
        <f>IF(AND(B658="",D658=""),"",IF(B658="","Missing product",IF(D658="","Missing item",IF(C658="Product not found","Product not found",IF(E658="Item not found","Item not found",IF(OR(F658="",G658=""),"Missing quantity/unit",IF(IFERROR(VLOOKUP(G658,'Units'!$A$2:$D$13,3,FALSE),"")&lt;&gt;I658,"Unit mismatch",IF(J658="","Enter item cost","OK"))))))))</f>
        <v/>
      </c>
      <c r="M658" s="4" t="n"/>
    </row>
    <row r="659">
      <c r="A659" s="5">
        <f>IF(AND(B659="",D659=""),"",ROW()-1)</f>
        <v/>
      </c>
      <c r="B659" s="4" t="n"/>
      <c r="C659" s="5">
        <f>IF(B659="","",IFERROR(VLOOKUP(B659,'Products'!$A$2:$F$201,2,FALSE),"Product not found"))</f>
        <v/>
      </c>
      <c r="D659" s="4" t="n"/>
      <c r="E659" s="5">
        <f>IF(D659="","",IFERROR(VLOOKUP(D659,'Items'!$A$2:$L$201,2,FALSE),"Item not found"))</f>
        <v/>
      </c>
      <c r="F659" s="9" t="n"/>
      <c r="G659" s="4" t="n"/>
      <c r="H659" s="10">
        <f>IF(OR(F659="",G659=""),"",IFERROR(F659*VLOOKUP(G659,'Units'!$A$2:$D$13,4,FALSE),""))</f>
        <v/>
      </c>
      <c r="I659" s="5">
        <f>IF(D659="","",IFERROR(VLOOKUP(D659,'Items'!$A$2:$L$201,4,FALSE),""))</f>
        <v/>
      </c>
      <c r="J659" s="10">
        <f>IF(D659="","",IFERROR(VLOOKUP(D659,'Items'!$A$2:$L$201,10,FALSE),""))</f>
        <v/>
      </c>
      <c r="K659" s="10">
        <f>IF(OR(H659="",J659=""),"",H659*J659)</f>
        <v/>
      </c>
      <c r="L659" s="5">
        <f>IF(AND(B659="",D659=""),"",IF(B659="","Missing product",IF(D659="","Missing item",IF(C659="Product not found","Product not found",IF(E659="Item not found","Item not found",IF(OR(F659="",G659=""),"Missing quantity/unit",IF(IFERROR(VLOOKUP(G659,'Units'!$A$2:$D$13,3,FALSE),"")&lt;&gt;I659,"Unit mismatch",IF(J659="","Enter item cost","OK"))))))))</f>
        <v/>
      </c>
      <c r="M659" s="4" t="n"/>
    </row>
    <row r="660">
      <c r="A660" s="5">
        <f>IF(AND(B660="",D660=""),"",ROW()-1)</f>
        <v/>
      </c>
      <c r="B660" s="4" t="n"/>
      <c r="C660" s="5">
        <f>IF(B660="","",IFERROR(VLOOKUP(B660,'Products'!$A$2:$F$201,2,FALSE),"Product not found"))</f>
        <v/>
      </c>
      <c r="D660" s="4" t="n"/>
      <c r="E660" s="5">
        <f>IF(D660="","",IFERROR(VLOOKUP(D660,'Items'!$A$2:$L$201,2,FALSE),"Item not found"))</f>
        <v/>
      </c>
      <c r="F660" s="9" t="n"/>
      <c r="G660" s="4" t="n"/>
      <c r="H660" s="10">
        <f>IF(OR(F660="",G660=""),"",IFERROR(F660*VLOOKUP(G660,'Units'!$A$2:$D$13,4,FALSE),""))</f>
        <v/>
      </c>
      <c r="I660" s="5">
        <f>IF(D660="","",IFERROR(VLOOKUP(D660,'Items'!$A$2:$L$201,4,FALSE),""))</f>
        <v/>
      </c>
      <c r="J660" s="10">
        <f>IF(D660="","",IFERROR(VLOOKUP(D660,'Items'!$A$2:$L$201,10,FALSE),""))</f>
        <v/>
      </c>
      <c r="K660" s="10">
        <f>IF(OR(H660="",J660=""),"",H660*J660)</f>
        <v/>
      </c>
      <c r="L660" s="5">
        <f>IF(AND(B660="",D660=""),"",IF(B660="","Missing product",IF(D660="","Missing item",IF(C660="Product not found","Product not found",IF(E660="Item not found","Item not found",IF(OR(F660="",G660=""),"Missing quantity/unit",IF(IFERROR(VLOOKUP(G660,'Units'!$A$2:$D$13,3,FALSE),"")&lt;&gt;I660,"Unit mismatch",IF(J660="","Enter item cost","OK"))))))))</f>
        <v/>
      </c>
      <c r="M660" s="4" t="n"/>
    </row>
    <row r="661">
      <c r="A661" s="5">
        <f>IF(AND(B661="",D661=""),"",ROW()-1)</f>
        <v/>
      </c>
      <c r="B661" s="4" t="n"/>
      <c r="C661" s="5">
        <f>IF(B661="","",IFERROR(VLOOKUP(B661,'Products'!$A$2:$F$201,2,FALSE),"Product not found"))</f>
        <v/>
      </c>
      <c r="D661" s="4" t="n"/>
      <c r="E661" s="5">
        <f>IF(D661="","",IFERROR(VLOOKUP(D661,'Items'!$A$2:$L$201,2,FALSE),"Item not found"))</f>
        <v/>
      </c>
      <c r="F661" s="9" t="n"/>
      <c r="G661" s="4" t="n"/>
      <c r="H661" s="10">
        <f>IF(OR(F661="",G661=""),"",IFERROR(F661*VLOOKUP(G661,'Units'!$A$2:$D$13,4,FALSE),""))</f>
        <v/>
      </c>
      <c r="I661" s="5">
        <f>IF(D661="","",IFERROR(VLOOKUP(D661,'Items'!$A$2:$L$201,4,FALSE),""))</f>
        <v/>
      </c>
      <c r="J661" s="10">
        <f>IF(D661="","",IFERROR(VLOOKUP(D661,'Items'!$A$2:$L$201,10,FALSE),""))</f>
        <v/>
      </c>
      <c r="K661" s="10">
        <f>IF(OR(H661="",J661=""),"",H661*J661)</f>
        <v/>
      </c>
      <c r="L661" s="5">
        <f>IF(AND(B661="",D661=""),"",IF(B661="","Missing product",IF(D661="","Missing item",IF(C661="Product not found","Product not found",IF(E661="Item not found","Item not found",IF(OR(F661="",G661=""),"Missing quantity/unit",IF(IFERROR(VLOOKUP(G661,'Units'!$A$2:$D$13,3,FALSE),"")&lt;&gt;I661,"Unit mismatch",IF(J661="","Enter item cost","OK"))))))))</f>
        <v/>
      </c>
      <c r="M661" s="4" t="n"/>
    </row>
    <row r="662">
      <c r="A662" s="5">
        <f>IF(AND(B662="",D662=""),"",ROW()-1)</f>
        <v/>
      </c>
      <c r="B662" s="4" t="n"/>
      <c r="C662" s="5">
        <f>IF(B662="","",IFERROR(VLOOKUP(B662,'Products'!$A$2:$F$201,2,FALSE),"Product not found"))</f>
        <v/>
      </c>
      <c r="D662" s="4" t="n"/>
      <c r="E662" s="5">
        <f>IF(D662="","",IFERROR(VLOOKUP(D662,'Items'!$A$2:$L$201,2,FALSE),"Item not found"))</f>
        <v/>
      </c>
      <c r="F662" s="9" t="n"/>
      <c r="G662" s="4" t="n"/>
      <c r="H662" s="10">
        <f>IF(OR(F662="",G662=""),"",IFERROR(F662*VLOOKUP(G662,'Units'!$A$2:$D$13,4,FALSE),""))</f>
        <v/>
      </c>
      <c r="I662" s="5">
        <f>IF(D662="","",IFERROR(VLOOKUP(D662,'Items'!$A$2:$L$201,4,FALSE),""))</f>
        <v/>
      </c>
      <c r="J662" s="10">
        <f>IF(D662="","",IFERROR(VLOOKUP(D662,'Items'!$A$2:$L$201,10,FALSE),""))</f>
        <v/>
      </c>
      <c r="K662" s="10">
        <f>IF(OR(H662="",J662=""),"",H662*J662)</f>
        <v/>
      </c>
      <c r="L662" s="5">
        <f>IF(AND(B662="",D662=""),"",IF(B662="","Missing product",IF(D662="","Missing item",IF(C662="Product not found","Product not found",IF(E662="Item not found","Item not found",IF(OR(F662="",G662=""),"Missing quantity/unit",IF(IFERROR(VLOOKUP(G662,'Units'!$A$2:$D$13,3,FALSE),"")&lt;&gt;I662,"Unit mismatch",IF(J662="","Enter item cost","OK"))))))))</f>
        <v/>
      </c>
      <c r="M662" s="4" t="n"/>
    </row>
    <row r="663">
      <c r="A663" s="5">
        <f>IF(AND(B663="",D663=""),"",ROW()-1)</f>
        <v/>
      </c>
      <c r="B663" s="4" t="n"/>
      <c r="C663" s="5">
        <f>IF(B663="","",IFERROR(VLOOKUP(B663,'Products'!$A$2:$F$201,2,FALSE),"Product not found"))</f>
        <v/>
      </c>
      <c r="D663" s="4" t="n"/>
      <c r="E663" s="5">
        <f>IF(D663="","",IFERROR(VLOOKUP(D663,'Items'!$A$2:$L$201,2,FALSE),"Item not found"))</f>
        <v/>
      </c>
      <c r="F663" s="9" t="n"/>
      <c r="G663" s="4" t="n"/>
      <c r="H663" s="10">
        <f>IF(OR(F663="",G663=""),"",IFERROR(F663*VLOOKUP(G663,'Units'!$A$2:$D$13,4,FALSE),""))</f>
        <v/>
      </c>
      <c r="I663" s="5">
        <f>IF(D663="","",IFERROR(VLOOKUP(D663,'Items'!$A$2:$L$201,4,FALSE),""))</f>
        <v/>
      </c>
      <c r="J663" s="10">
        <f>IF(D663="","",IFERROR(VLOOKUP(D663,'Items'!$A$2:$L$201,10,FALSE),""))</f>
        <v/>
      </c>
      <c r="K663" s="10">
        <f>IF(OR(H663="",J663=""),"",H663*J663)</f>
        <v/>
      </c>
      <c r="L663" s="5">
        <f>IF(AND(B663="",D663=""),"",IF(B663="","Missing product",IF(D663="","Missing item",IF(C663="Product not found","Product not found",IF(E663="Item not found","Item not found",IF(OR(F663="",G663=""),"Missing quantity/unit",IF(IFERROR(VLOOKUP(G663,'Units'!$A$2:$D$13,3,FALSE),"")&lt;&gt;I663,"Unit mismatch",IF(J663="","Enter item cost","OK"))))))))</f>
        <v/>
      </c>
      <c r="M663" s="4" t="n"/>
    </row>
    <row r="664">
      <c r="A664" s="5">
        <f>IF(AND(B664="",D664=""),"",ROW()-1)</f>
        <v/>
      </c>
      <c r="B664" s="4" t="n"/>
      <c r="C664" s="5">
        <f>IF(B664="","",IFERROR(VLOOKUP(B664,'Products'!$A$2:$F$201,2,FALSE),"Product not found"))</f>
        <v/>
      </c>
      <c r="D664" s="4" t="n"/>
      <c r="E664" s="5">
        <f>IF(D664="","",IFERROR(VLOOKUP(D664,'Items'!$A$2:$L$201,2,FALSE),"Item not found"))</f>
        <v/>
      </c>
      <c r="F664" s="9" t="n"/>
      <c r="G664" s="4" t="n"/>
      <c r="H664" s="10">
        <f>IF(OR(F664="",G664=""),"",IFERROR(F664*VLOOKUP(G664,'Units'!$A$2:$D$13,4,FALSE),""))</f>
        <v/>
      </c>
      <c r="I664" s="5">
        <f>IF(D664="","",IFERROR(VLOOKUP(D664,'Items'!$A$2:$L$201,4,FALSE),""))</f>
        <v/>
      </c>
      <c r="J664" s="10">
        <f>IF(D664="","",IFERROR(VLOOKUP(D664,'Items'!$A$2:$L$201,10,FALSE),""))</f>
        <v/>
      </c>
      <c r="K664" s="10">
        <f>IF(OR(H664="",J664=""),"",H664*J664)</f>
        <v/>
      </c>
      <c r="L664" s="5">
        <f>IF(AND(B664="",D664=""),"",IF(B664="","Missing product",IF(D664="","Missing item",IF(C664="Product not found","Product not found",IF(E664="Item not found","Item not found",IF(OR(F664="",G664=""),"Missing quantity/unit",IF(IFERROR(VLOOKUP(G664,'Units'!$A$2:$D$13,3,FALSE),"")&lt;&gt;I664,"Unit mismatch",IF(J664="","Enter item cost","OK"))))))))</f>
        <v/>
      </c>
      <c r="M664" s="4" t="n"/>
    </row>
    <row r="665">
      <c r="A665" s="5">
        <f>IF(AND(B665="",D665=""),"",ROW()-1)</f>
        <v/>
      </c>
      <c r="B665" s="4" t="n"/>
      <c r="C665" s="5">
        <f>IF(B665="","",IFERROR(VLOOKUP(B665,'Products'!$A$2:$F$201,2,FALSE),"Product not found"))</f>
        <v/>
      </c>
      <c r="D665" s="4" t="n"/>
      <c r="E665" s="5">
        <f>IF(D665="","",IFERROR(VLOOKUP(D665,'Items'!$A$2:$L$201,2,FALSE),"Item not found"))</f>
        <v/>
      </c>
      <c r="F665" s="9" t="n"/>
      <c r="G665" s="4" t="n"/>
      <c r="H665" s="10">
        <f>IF(OR(F665="",G665=""),"",IFERROR(F665*VLOOKUP(G665,'Units'!$A$2:$D$13,4,FALSE),""))</f>
        <v/>
      </c>
      <c r="I665" s="5">
        <f>IF(D665="","",IFERROR(VLOOKUP(D665,'Items'!$A$2:$L$201,4,FALSE),""))</f>
        <v/>
      </c>
      <c r="J665" s="10">
        <f>IF(D665="","",IFERROR(VLOOKUP(D665,'Items'!$A$2:$L$201,10,FALSE),""))</f>
        <v/>
      </c>
      <c r="K665" s="10">
        <f>IF(OR(H665="",J665=""),"",H665*J665)</f>
        <v/>
      </c>
      <c r="L665" s="5">
        <f>IF(AND(B665="",D665=""),"",IF(B665="","Missing product",IF(D665="","Missing item",IF(C665="Product not found","Product not found",IF(E665="Item not found","Item not found",IF(OR(F665="",G665=""),"Missing quantity/unit",IF(IFERROR(VLOOKUP(G665,'Units'!$A$2:$D$13,3,FALSE),"")&lt;&gt;I665,"Unit mismatch",IF(J665="","Enter item cost","OK"))))))))</f>
        <v/>
      </c>
      <c r="M665" s="4" t="n"/>
    </row>
    <row r="666">
      <c r="A666" s="5">
        <f>IF(AND(B666="",D666=""),"",ROW()-1)</f>
        <v/>
      </c>
      <c r="B666" s="4" t="n"/>
      <c r="C666" s="5">
        <f>IF(B666="","",IFERROR(VLOOKUP(B666,'Products'!$A$2:$F$201,2,FALSE),"Product not found"))</f>
        <v/>
      </c>
      <c r="D666" s="4" t="n"/>
      <c r="E666" s="5">
        <f>IF(D666="","",IFERROR(VLOOKUP(D666,'Items'!$A$2:$L$201,2,FALSE),"Item not found"))</f>
        <v/>
      </c>
      <c r="F666" s="9" t="n"/>
      <c r="G666" s="4" t="n"/>
      <c r="H666" s="10">
        <f>IF(OR(F666="",G666=""),"",IFERROR(F666*VLOOKUP(G666,'Units'!$A$2:$D$13,4,FALSE),""))</f>
        <v/>
      </c>
      <c r="I666" s="5">
        <f>IF(D666="","",IFERROR(VLOOKUP(D666,'Items'!$A$2:$L$201,4,FALSE),""))</f>
        <v/>
      </c>
      <c r="J666" s="10">
        <f>IF(D666="","",IFERROR(VLOOKUP(D666,'Items'!$A$2:$L$201,10,FALSE),""))</f>
        <v/>
      </c>
      <c r="K666" s="10">
        <f>IF(OR(H666="",J666=""),"",H666*J666)</f>
        <v/>
      </c>
      <c r="L666" s="5">
        <f>IF(AND(B666="",D666=""),"",IF(B666="","Missing product",IF(D666="","Missing item",IF(C666="Product not found","Product not found",IF(E666="Item not found","Item not found",IF(OR(F666="",G666=""),"Missing quantity/unit",IF(IFERROR(VLOOKUP(G666,'Units'!$A$2:$D$13,3,FALSE),"")&lt;&gt;I666,"Unit mismatch",IF(J666="","Enter item cost","OK"))))))))</f>
        <v/>
      </c>
      <c r="M666" s="4" t="n"/>
    </row>
    <row r="667">
      <c r="A667" s="5">
        <f>IF(AND(B667="",D667=""),"",ROW()-1)</f>
        <v/>
      </c>
      <c r="B667" s="4" t="n"/>
      <c r="C667" s="5">
        <f>IF(B667="","",IFERROR(VLOOKUP(B667,'Products'!$A$2:$F$201,2,FALSE),"Product not found"))</f>
        <v/>
      </c>
      <c r="D667" s="4" t="n"/>
      <c r="E667" s="5">
        <f>IF(D667="","",IFERROR(VLOOKUP(D667,'Items'!$A$2:$L$201,2,FALSE),"Item not found"))</f>
        <v/>
      </c>
      <c r="F667" s="9" t="n"/>
      <c r="G667" s="4" t="n"/>
      <c r="H667" s="10">
        <f>IF(OR(F667="",G667=""),"",IFERROR(F667*VLOOKUP(G667,'Units'!$A$2:$D$13,4,FALSE),""))</f>
        <v/>
      </c>
      <c r="I667" s="5">
        <f>IF(D667="","",IFERROR(VLOOKUP(D667,'Items'!$A$2:$L$201,4,FALSE),""))</f>
        <v/>
      </c>
      <c r="J667" s="10">
        <f>IF(D667="","",IFERROR(VLOOKUP(D667,'Items'!$A$2:$L$201,10,FALSE),""))</f>
        <v/>
      </c>
      <c r="K667" s="10">
        <f>IF(OR(H667="",J667=""),"",H667*J667)</f>
        <v/>
      </c>
      <c r="L667" s="5">
        <f>IF(AND(B667="",D667=""),"",IF(B667="","Missing product",IF(D667="","Missing item",IF(C667="Product not found","Product not found",IF(E667="Item not found","Item not found",IF(OR(F667="",G667=""),"Missing quantity/unit",IF(IFERROR(VLOOKUP(G667,'Units'!$A$2:$D$13,3,FALSE),"")&lt;&gt;I667,"Unit mismatch",IF(J667="","Enter item cost","OK"))))))))</f>
        <v/>
      </c>
      <c r="M667" s="4" t="n"/>
    </row>
    <row r="668">
      <c r="A668" s="5">
        <f>IF(AND(B668="",D668=""),"",ROW()-1)</f>
        <v/>
      </c>
      <c r="B668" s="4" t="n"/>
      <c r="C668" s="5">
        <f>IF(B668="","",IFERROR(VLOOKUP(B668,'Products'!$A$2:$F$201,2,FALSE),"Product not found"))</f>
        <v/>
      </c>
      <c r="D668" s="4" t="n"/>
      <c r="E668" s="5">
        <f>IF(D668="","",IFERROR(VLOOKUP(D668,'Items'!$A$2:$L$201,2,FALSE),"Item not found"))</f>
        <v/>
      </c>
      <c r="F668" s="9" t="n"/>
      <c r="G668" s="4" t="n"/>
      <c r="H668" s="10">
        <f>IF(OR(F668="",G668=""),"",IFERROR(F668*VLOOKUP(G668,'Units'!$A$2:$D$13,4,FALSE),""))</f>
        <v/>
      </c>
      <c r="I668" s="5">
        <f>IF(D668="","",IFERROR(VLOOKUP(D668,'Items'!$A$2:$L$201,4,FALSE),""))</f>
        <v/>
      </c>
      <c r="J668" s="10">
        <f>IF(D668="","",IFERROR(VLOOKUP(D668,'Items'!$A$2:$L$201,10,FALSE),""))</f>
        <v/>
      </c>
      <c r="K668" s="10">
        <f>IF(OR(H668="",J668=""),"",H668*J668)</f>
        <v/>
      </c>
      <c r="L668" s="5">
        <f>IF(AND(B668="",D668=""),"",IF(B668="","Missing product",IF(D668="","Missing item",IF(C668="Product not found","Product not found",IF(E668="Item not found","Item not found",IF(OR(F668="",G668=""),"Missing quantity/unit",IF(IFERROR(VLOOKUP(G668,'Units'!$A$2:$D$13,3,FALSE),"")&lt;&gt;I668,"Unit mismatch",IF(J668="","Enter item cost","OK"))))))))</f>
        <v/>
      </c>
      <c r="M668" s="4" t="n"/>
    </row>
    <row r="669">
      <c r="A669" s="5">
        <f>IF(AND(B669="",D669=""),"",ROW()-1)</f>
        <v/>
      </c>
      <c r="B669" s="4" t="n"/>
      <c r="C669" s="5">
        <f>IF(B669="","",IFERROR(VLOOKUP(B669,'Products'!$A$2:$F$201,2,FALSE),"Product not found"))</f>
        <v/>
      </c>
      <c r="D669" s="4" t="n"/>
      <c r="E669" s="5">
        <f>IF(D669="","",IFERROR(VLOOKUP(D669,'Items'!$A$2:$L$201,2,FALSE),"Item not found"))</f>
        <v/>
      </c>
      <c r="F669" s="9" t="n"/>
      <c r="G669" s="4" t="n"/>
      <c r="H669" s="10">
        <f>IF(OR(F669="",G669=""),"",IFERROR(F669*VLOOKUP(G669,'Units'!$A$2:$D$13,4,FALSE),""))</f>
        <v/>
      </c>
      <c r="I669" s="5">
        <f>IF(D669="","",IFERROR(VLOOKUP(D669,'Items'!$A$2:$L$201,4,FALSE),""))</f>
        <v/>
      </c>
      <c r="J669" s="10">
        <f>IF(D669="","",IFERROR(VLOOKUP(D669,'Items'!$A$2:$L$201,10,FALSE),""))</f>
        <v/>
      </c>
      <c r="K669" s="10">
        <f>IF(OR(H669="",J669=""),"",H669*J669)</f>
        <v/>
      </c>
      <c r="L669" s="5">
        <f>IF(AND(B669="",D669=""),"",IF(B669="","Missing product",IF(D669="","Missing item",IF(C669="Product not found","Product not found",IF(E669="Item not found","Item not found",IF(OR(F669="",G669=""),"Missing quantity/unit",IF(IFERROR(VLOOKUP(G669,'Units'!$A$2:$D$13,3,FALSE),"")&lt;&gt;I669,"Unit mismatch",IF(J669="","Enter item cost","OK"))))))))</f>
        <v/>
      </c>
      <c r="M669" s="4" t="n"/>
    </row>
    <row r="670">
      <c r="A670" s="5">
        <f>IF(AND(B670="",D670=""),"",ROW()-1)</f>
        <v/>
      </c>
      <c r="B670" s="4" t="n"/>
      <c r="C670" s="5">
        <f>IF(B670="","",IFERROR(VLOOKUP(B670,'Products'!$A$2:$F$201,2,FALSE),"Product not found"))</f>
        <v/>
      </c>
      <c r="D670" s="4" t="n"/>
      <c r="E670" s="5">
        <f>IF(D670="","",IFERROR(VLOOKUP(D670,'Items'!$A$2:$L$201,2,FALSE),"Item not found"))</f>
        <v/>
      </c>
      <c r="F670" s="9" t="n"/>
      <c r="G670" s="4" t="n"/>
      <c r="H670" s="10">
        <f>IF(OR(F670="",G670=""),"",IFERROR(F670*VLOOKUP(G670,'Units'!$A$2:$D$13,4,FALSE),""))</f>
        <v/>
      </c>
      <c r="I670" s="5">
        <f>IF(D670="","",IFERROR(VLOOKUP(D670,'Items'!$A$2:$L$201,4,FALSE),""))</f>
        <v/>
      </c>
      <c r="J670" s="10">
        <f>IF(D670="","",IFERROR(VLOOKUP(D670,'Items'!$A$2:$L$201,10,FALSE),""))</f>
        <v/>
      </c>
      <c r="K670" s="10">
        <f>IF(OR(H670="",J670=""),"",H670*J670)</f>
        <v/>
      </c>
      <c r="L670" s="5">
        <f>IF(AND(B670="",D670=""),"",IF(B670="","Missing product",IF(D670="","Missing item",IF(C670="Product not found","Product not found",IF(E670="Item not found","Item not found",IF(OR(F670="",G670=""),"Missing quantity/unit",IF(IFERROR(VLOOKUP(G670,'Units'!$A$2:$D$13,3,FALSE),"")&lt;&gt;I670,"Unit mismatch",IF(J670="","Enter item cost","OK"))))))))</f>
        <v/>
      </c>
      <c r="M670" s="4" t="n"/>
    </row>
    <row r="671">
      <c r="A671" s="5">
        <f>IF(AND(B671="",D671=""),"",ROW()-1)</f>
        <v/>
      </c>
      <c r="B671" s="4" t="n"/>
      <c r="C671" s="5">
        <f>IF(B671="","",IFERROR(VLOOKUP(B671,'Products'!$A$2:$F$201,2,FALSE),"Product not found"))</f>
        <v/>
      </c>
      <c r="D671" s="4" t="n"/>
      <c r="E671" s="5">
        <f>IF(D671="","",IFERROR(VLOOKUP(D671,'Items'!$A$2:$L$201,2,FALSE),"Item not found"))</f>
        <v/>
      </c>
      <c r="F671" s="9" t="n"/>
      <c r="G671" s="4" t="n"/>
      <c r="H671" s="10">
        <f>IF(OR(F671="",G671=""),"",IFERROR(F671*VLOOKUP(G671,'Units'!$A$2:$D$13,4,FALSE),""))</f>
        <v/>
      </c>
      <c r="I671" s="5">
        <f>IF(D671="","",IFERROR(VLOOKUP(D671,'Items'!$A$2:$L$201,4,FALSE),""))</f>
        <v/>
      </c>
      <c r="J671" s="10">
        <f>IF(D671="","",IFERROR(VLOOKUP(D671,'Items'!$A$2:$L$201,10,FALSE),""))</f>
        <v/>
      </c>
      <c r="K671" s="10">
        <f>IF(OR(H671="",J671=""),"",H671*J671)</f>
        <v/>
      </c>
      <c r="L671" s="5">
        <f>IF(AND(B671="",D671=""),"",IF(B671="","Missing product",IF(D671="","Missing item",IF(C671="Product not found","Product not found",IF(E671="Item not found","Item not found",IF(OR(F671="",G671=""),"Missing quantity/unit",IF(IFERROR(VLOOKUP(G671,'Units'!$A$2:$D$13,3,FALSE),"")&lt;&gt;I671,"Unit mismatch",IF(J671="","Enter item cost","OK"))))))))</f>
        <v/>
      </c>
      <c r="M671" s="4" t="n"/>
    </row>
    <row r="672">
      <c r="A672" s="5">
        <f>IF(AND(B672="",D672=""),"",ROW()-1)</f>
        <v/>
      </c>
      <c r="B672" s="4" t="n"/>
      <c r="C672" s="5">
        <f>IF(B672="","",IFERROR(VLOOKUP(B672,'Products'!$A$2:$F$201,2,FALSE),"Product not found"))</f>
        <v/>
      </c>
      <c r="D672" s="4" t="n"/>
      <c r="E672" s="5">
        <f>IF(D672="","",IFERROR(VLOOKUP(D672,'Items'!$A$2:$L$201,2,FALSE),"Item not found"))</f>
        <v/>
      </c>
      <c r="F672" s="9" t="n"/>
      <c r="G672" s="4" t="n"/>
      <c r="H672" s="10">
        <f>IF(OR(F672="",G672=""),"",IFERROR(F672*VLOOKUP(G672,'Units'!$A$2:$D$13,4,FALSE),""))</f>
        <v/>
      </c>
      <c r="I672" s="5">
        <f>IF(D672="","",IFERROR(VLOOKUP(D672,'Items'!$A$2:$L$201,4,FALSE),""))</f>
        <v/>
      </c>
      <c r="J672" s="10">
        <f>IF(D672="","",IFERROR(VLOOKUP(D672,'Items'!$A$2:$L$201,10,FALSE),""))</f>
        <v/>
      </c>
      <c r="K672" s="10">
        <f>IF(OR(H672="",J672=""),"",H672*J672)</f>
        <v/>
      </c>
      <c r="L672" s="5">
        <f>IF(AND(B672="",D672=""),"",IF(B672="","Missing product",IF(D672="","Missing item",IF(C672="Product not found","Product not found",IF(E672="Item not found","Item not found",IF(OR(F672="",G672=""),"Missing quantity/unit",IF(IFERROR(VLOOKUP(G672,'Units'!$A$2:$D$13,3,FALSE),"")&lt;&gt;I672,"Unit mismatch",IF(J672="","Enter item cost","OK"))))))))</f>
        <v/>
      </c>
      <c r="M672" s="4" t="n"/>
    </row>
    <row r="673">
      <c r="A673" s="5">
        <f>IF(AND(B673="",D673=""),"",ROW()-1)</f>
        <v/>
      </c>
      <c r="B673" s="4" t="n"/>
      <c r="C673" s="5">
        <f>IF(B673="","",IFERROR(VLOOKUP(B673,'Products'!$A$2:$F$201,2,FALSE),"Product not found"))</f>
        <v/>
      </c>
      <c r="D673" s="4" t="n"/>
      <c r="E673" s="5">
        <f>IF(D673="","",IFERROR(VLOOKUP(D673,'Items'!$A$2:$L$201,2,FALSE),"Item not found"))</f>
        <v/>
      </c>
      <c r="F673" s="9" t="n"/>
      <c r="G673" s="4" t="n"/>
      <c r="H673" s="10">
        <f>IF(OR(F673="",G673=""),"",IFERROR(F673*VLOOKUP(G673,'Units'!$A$2:$D$13,4,FALSE),""))</f>
        <v/>
      </c>
      <c r="I673" s="5">
        <f>IF(D673="","",IFERROR(VLOOKUP(D673,'Items'!$A$2:$L$201,4,FALSE),""))</f>
        <v/>
      </c>
      <c r="J673" s="10">
        <f>IF(D673="","",IFERROR(VLOOKUP(D673,'Items'!$A$2:$L$201,10,FALSE),""))</f>
        <v/>
      </c>
      <c r="K673" s="10">
        <f>IF(OR(H673="",J673=""),"",H673*J673)</f>
        <v/>
      </c>
      <c r="L673" s="5">
        <f>IF(AND(B673="",D673=""),"",IF(B673="","Missing product",IF(D673="","Missing item",IF(C673="Product not found","Product not found",IF(E673="Item not found","Item not found",IF(OR(F673="",G673=""),"Missing quantity/unit",IF(IFERROR(VLOOKUP(G673,'Units'!$A$2:$D$13,3,FALSE),"")&lt;&gt;I673,"Unit mismatch",IF(J673="","Enter item cost","OK"))))))))</f>
        <v/>
      </c>
      <c r="M673" s="4" t="n"/>
    </row>
    <row r="674">
      <c r="A674" s="5">
        <f>IF(AND(B674="",D674=""),"",ROW()-1)</f>
        <v/>
      </c>
      <c r="B674" s="4" t="n"/>
      <c r="C674" s="5">
        <f>IF(B674="","",IFERROR(VLOOKUP(B674,'Products'!$A$2:$F$201,2,FALSE),"Product not found"))</f>
        <v/>
      </c>
      <c r="D674" s="4" t="n"/>
      <c r="E674" s="5">
        <f>IF(D674="","",IFERROR(VLOOKUP(D674,'Items'!$A$2:$L$201,2,FALSE),"Item not found"))</f>
        <v/>
      </c>
      <c r="F674" s="9" t="n"/>
      <c r="G674" s="4" t="n"/>
      <c r="H674" s="10">
        <f>IF(OR(F674="",G674=""),"",IFERROR(F674*VLOOKUP(G674,'Units'!$A$2:$D$13,4,FALSE),""))</f>
        <v/>
      </c>
      <c r="I674" s="5">
        <f>IF(D674="","",IFERROR(VLOOKUP(D674,'Items'!$A$2:$L$201,4,FALSE),""))</f>
        <v/>
      </c>
      <c r="J674" s="10">
        <f>IF(D674="","",IFERROR(VLOOKUP(D674,'Items'!$A$2:$L$201,10,FALSE),""))</f>
        <v/>
      </c>
      <c r="K674" s="10">
        <f>IF(OR(H674="",J674=""),"",H674*J674)</f>
        <v/>
      </c>
      <c r="L674" s="5">
        <f>IF(AND(B674="",D674=""),"",IF(B674="","Missing product",IF(D674="","Missing item",IF(C674="Product not found","Product not found",IF(E674="Item not found","Item not found",IF(OR(F674="",G674=""),"Missing quantity/unit",IF(IFERROR(VLOOKUP(G674,'Units'!$A$2:$D$13,3,FALSE),"")&lt;&gt;I674,"Unit mismatch",IF(J674="","Enter item cost","OK"))))))))</f>
        <v/>
      </c>
      <c r="M674" s="4" t="n"/>
    </row>
    <row r="675">
      <c r="A675" s="5">
        <f>IF(AND(B675="",D675=""),"",ROW()-1)</f>
        <v/>
      </c>
      <c r="B675" s="4" t="n"/>
      <c r="C675" s="5">
        <f>IF(B675="","",IFERROR(VLOOKUP(B675,'Products'!$A$2:$F$201,2,FALSE),"Product not found"))</f>
        <v/>
      </c>
      <c r="D675" s="4" t="n"/>
      <c r="E675" s="5">
        <f>IF(D675="","",IFERROR(VLOOKUP(D675,'Items'!$A$2:$L$201,2,FALSE),"Item not found"))</f>
        <v/>
      </c>
      <c r="F675" s="9" t="n"/>
      <c r="G675" s="4" t="n"/>
      <c r="H675" s="10">
        <f>IF(OR(F675="",G675=""),"",IFERROR(F675*VLOOKUP(G675,'Units'!$A$2:$D$13,4,FALSE),""))</f>
        <v/>
      </c>
      <c r="I675" s="5">
        <f>IF(D675="","",IFERROR(VLOOKUP(D675,'Items'!$A$2:$L$201,4,FALSE),""))</f>
        <v/>
      </c>
      <c r="J675" s="10">
        <f>IF(D675="","",IFERROR(VLOOKUP(D675,'Items'!$A$2:$L$201,10,FALSE),""))</f>
        <v/>
      </c>
      <c r="K675" s="10">
        <f>IF(OR(H675="",J675=""),"",H675*J675)</f>
        <v/>
      </c>
      <c r="L675" s="5">
        <f>IF(AND(B675="",D675=""),"",IF(B675="","Missing product",IF(D675="","Missing item",IF(C675="Product not found","Product not found",IF(E675="Item not found","Item not found",IF(OR(F675="",G675=""),"Missing quantity/unit",IF(IFERROR(VLOOKUP(G675,'Units'!$A$2:$D$13,3,FALSE),"")&lt;&gt;I675,"Unit mismatch",IF(J675="","Enter item cost","OK"))))))))</f>
        <v/>
      </c>
      <c r="M675" s="4" t="n"/>
    </row>
    <row r="676">
      <c r="A676" s="5">
        <f>IF(AND(B676="",D676=""),"",ROW()-1)</f>
        <v/>
      </c>
      <c r="B676" s="4" t="n"/>
      <c r="C676" s="5">
        <f>IF(B676="","",IFERROR(VLOOKUP(B676,'Products'!$A$2:$F$201,2,FALSE),"Product not found"))</f>
        <v/>
      </c>
      <c r="D676" s="4" t="n"/>
      <c r="E676" s="5">
        <f>IF(D676="","",IFERROR(VLOOKUP(D676,'Items'!$A$2:$L$201,2,FALSE),"Item not found"))</f>
        <v/>
      </c>
      <c r="F676" s="9" t="n"/>
      <c r="G676" s="4" t="n"/>
      <c r="H676" s="10">
        <f>IF(OR(F676="",G676=""),"",IFERROR(F676*VLOOKUP(G676,'Units'!$A$2:$D$13,4,FALSE),""))</f>
        <v/>
      </c>
      <c r="I676" s="5">
        <f>IF(D676="","",IFERROR(VLOOKUP(D676,'Items'!$A$2:$L$201,4,FALSE),""))</f>
        <v/>
      </c>
      <c r="J676" s="10">
        <f>IF(D676="","",IFERROR(VLOOKUP(D676,'Items'!$A$2:$L$201,10,FALSE),""))</f>
        <v/>
      </c>
      <c r="K676" s="10">
        <f>IF(OR(H676="",J676=""),"",H676*J676)</f>
        <v/>
      </c>
      <c r="L676" s="5">
        <f>IF(AND(B676="",D676=""),"",IF(B676="","Missing product",IF(D676="","Missing item",IF(C676="Product not found","Product not found",IF(E676="Item not found","Item not found",IF(OR(F676="",G676=""),"Missing quantity/unit",IF(IFERROR(VLOOKUP(G676,'Units'!$A$2:$D$13,3,FALSE),"")&lt;&gt;I676,"Unit mismatch",IF(J676="","Enter item cost","OK"))))))))</f>
        <v/>
      </c>
      <c r="M676" s="4" t="n"/>
    </row>
    <row r="677">
      <c r="A677" s="5">
        <f>IF(AND(B677="",D677=""),"",ROW()-1)</f>
        <v/>
      </c>
      <c r="B677" s="4" t="n"/>
      <c r="C677" s="5">
        <f>IF(B677="","",IFERROR(VLOOKUP(B677,'Products'!$A$2:$F$201,2,FALSE),"Product not found"))</f>
        <v/>
      </c>
      <c r="D677" s="4" t="n"/>
      <c r="E677" s="5">
        <f>IF(D677="","",IFERROR(VLOOKUP(D677,'Items'!$A$2:$L$201,2,FALSE),"Item not found"))</f>
        <v/>
      </c>
      <c r="F677" s="9" t="n"/>
      <c r="G677" s="4" t="n"/>
      <c r="H677" s="10">
        <f>IF(OR(F677="",G677=""),"",IFERROR(F677*VLOOKUP(G677,'Units'!$A$2:$D$13,4,FALSE),""))</f>
        <v/>
      </c>
      <c r="I677" s="5">
        <f>IF(D677="","",IFERROR(VLOOKUP(D677,'Items'!$A$2:$L$201,4,FALSE),""))</f>
        <v/>
      </c>
      <c r="J677" s="10">
        <f>IF(D677="","",IFERROR(VLOOKUP(D677,'Items'!$A$2:$L$201,10,FALSE),""))</f>
        <v/>
      </c>
      <c r="K677" s="10">
        <f>IF(OR(H677="",J677=""),"",H677*J677)</f>
        <v/>
      </c>
      <c r="L677" s="5">
        <f>IF(AND(B677="",D677=""),"",IF(B677="","Missing product",IF(D677="","Missing item",IF(C677="Product not found","Product not found",IF(E677="Item not found","Item not found",IF(OR(F677="",G677=""),"Missing quantity/unit",IF(IFERROR(VLOOKUP(G677,'Units'!$A$2:$D$13,3,FALSE),"")&lt;&gt;I677,"Unit mismatch",IF(J677="","Enter item cost","OK"))))))))</f>
        <v/>
      </c>
      <c r="M677" s="4" t="n"/>
    </row>
    <row r="678">
      <c r="A678" s="5">
        <f>IF(AND(B678="",D678=""),"",ROW()-1)</f>
        <v/>
      </c>
      <c r="B678" s="4" t="n"/>
      <c r="C678" s="5">
        <f>IF(B678="","",IFERROR(VLOOKUP(B678,'Products'!$A$2:$F$201,2,FALSE),"Product not found"))</f>
        <v/>
      </c>
      <c r="D678" s="4" t="n"/>
      <c r="E678" s="5">
        <f>IF(D678="","",IFERROR(VLOOKUP(D678,'Items'!$A$2:$L$201,2,FALSE),"Item not found"))</f>
        <v/>
      </c>
      <c r="F678" s="9" t="n"/>
      <c r="G678" s="4" t="n"/>
      <c r="H678" s="10">
        <f>IF(OR(F678="",G678=""),"",IFERROR(F678*VLOOKUP(G678,'Units'!$A$2:$D$13,4,FALSE),""))</f>
        <v/>
      </c>
      <c r="I678" s="5">
        <f>IF(D678="","",IFERROR(VLOOKUP(D678,'Items'!$A$2:$L$201,4,FALSE),""))</f>
        <v/>
      </c>
      <c r="J678" s="10">
        <f>IF(D678="","",IFERROR(VLOOKUP(D678,'Items'!$A$2:$L$201,10,FALSE),""))</f>
        <v/>
      </c>
      <c r="K678" s="10">
        <f>IF(OR(H678="",J678=""),"",H678*J678)</f>
        <v/>
      </c>
      <c r="L678" s="5">
        <f>IF(AND(B678="",D678=""),"",IF(B678="","Missing product",IF(D678="","Missing item",IF(C678="Product not found","Product not found",IF(E678="Item not found","Item not found",IF(OR(F678="",G678=""),"Missing quantity/unit",IF(IFERROR(VLOOKUP(G678,'Units'!$A$2:$D$13,3,FALSE),"")&lt;&gt;I678,"Unit mismatch",IF(J678="","Enter item cost","OK"))))))))</f>
        <v/>
      </c>
      <c r="M678" s="4" t="n"/>
    </row>
    <row r="679">
      <c r="A679" s="5">
        <f>IF(AND(B679="",D679=""),"",ROW()-1)</f>
        <v/>
      </c>
      <c r="B679" s="4" t="n"/>
      <c r="C679" s="5">
        <f>IF(B679="","",IFERROR(VLOOKUP(B679,'Products'!$A$2:$F$201,2,FALSE),"Product not found"))</f>
        <v/>
      </c>
      <c r="D679" s="4" t="n"/>
      <c r="E679" s="5">
        <f>IF(D679="","",IFERROR(VLOOKUP(D679,'Items'!$A$2:$L$201,2,FALSE),"Item not found"))</f>
        <v/>
      </c>
      <c r="F679" s="9" t="n"/>
      <c r="G679" s="4" t="n"/>
      <c r="H679" s="10">
        <f>IF(OR(F679="",G679=""),"",IFERROR(F679*VLOOKUP(G679,'Units'!$A$2:$D$13,4,FALSE),""))</f>
        <v/>
      </c>
      <c r="I679" s="5">
        <f>IF(D679="","",IFERROR(VLOOKUP(D679,'Items'!$A$2:$L$201,4,FALSE),""))</f>
        <v/>
      </c>
      <c r="J679" s="10">
        <f>IF(D679="","",IFERROR(VLOOKUP(D679,'Items'!$A$2:$L$201,10,FALSE),""))</f>
        <v/>
      </c>
      <c r="K679" s="10">
        <f>IF(OR(H679="",J679=""),"",H679*J679)</f>
        <v/>
      </c>
      <c r="L679" s="5">
        <f>IF(AND(B679="",D679=""),"",IF(B679="","Missing product",IF(D679="","Missing item",IF(C679="Product not found","Product not found",IF(E679="Item not found","Item not found",IF(OR(F679="",G679=""),"Missing quantity/unit",IF(IFERROR(VLOOKUP(G679,'Units'!$A$2:$D$13,3,FALSE),"")&lt;&gt;I679,"Unit mismatch",IF(J679="","Enter item cost","OK"))))))))</f>
        <v/>
      </c>
      <c r="M679" s="4" t="n"/>
    </row>
    <row r="680">
      <c r="A680" s="5">
        <f>IF(AND(B680="",D680=""),"",ROW()-1)</f>
        <v/>
      </c>
      <c r="B680" s="4" t="n"/>
      <c r="C680" s="5">
        <f>IF(B680="","",IFERROR(VLOOKUP(B680,'Products'!$A$2:$F$201,2,FALSE),"Product not found"))</f>
        <v/>
      </c>
      <c r="D680" s="4" t="n"/>
      <c r="E680" s="5">
        <f>IF(D680="","",IFERROR(VLOOKUP(D680,'Items'!$A$2:$L$201,2,FALSE),"Item not found"))</f>
        <v/>
      </c>
      <c r="F680" s="9" t="n"/>
      <c r="G680" s="4" t="n"/>
      <c r="H680" s="10">
        <f>IF(OR(F680="",G680=""),"",IFERROR(F680*VLOOKUP(G680,'Units'!$A$2:$D$13,4,FALSE),""))</f>
        <v/>
      </c>
      <c r="I680" s="5">
        <f>IF(D680="","",IFERROR(VLOOKUP(D680,'Items'!$A$2:$L$201,4,FALSE),""))</f>
        <v/>
      </c>
      <c r="J680" s="10">
        <f>IF(D680="","",IFERROR(VLOOKUP(D680,'Items'!$A$2:$L$201,10,FALSE),""))</f>
        <v/>
      </c>
      <c r="K680" s="10">
        <f>IF(OR(H680="",J680=""),"",H680*J680)</f>
        <v/>
      </c>
      <c r="L680" s="5">
        <f>IF(AND(B680="",D680=""),"",IF(B680="","Missing product",IF(D680="","Missing item",IF(C680="Product not found","Product not found",IF(E680="Item not found","Item not found",IF(OR(F680="",G680=""),"Missing quantity/unit",IF(IFERROR(VLOOKUP(G680,'Units'!$A$2:$D$13,3,FALSE),"")&lt;&gt;I680,"Unit mismatch",IF(J680="","Enter item cost","OK"))))))))</f>
        <v/>
      </c>
      <c r="M680" s="4" t="n"/>
    </row>
    <row r="681">
      <c r="A681" s="5">
        <f>IF(AND(B681="",D681=""),"",ROW()-1)</f>
        <v/>
      </c>
      <c r="B681" s="4" t="n"/>
      <c r="C681" s="5">
        <f>IF(B681="","",IFERROR(VLOOKUP(B681,'Products'!$A$2:$F$201,2,FALSE),"Product not found"))</f>
        <v/>
      </c>
      <c r="D681" s="4" t="n"/>
      <c r="E681" s="5">
        <f>IF(D681="","",IFERROR(VLOOKUP(D681,'Items'!$A$2:$L$201,2,FALSE),"Item not found"))</f>
        <v/>
      </c>
      <c r="F681" s="9" t="n"/>
      <c r="G681" s="4" t="n"/>
      <c r="H681" s="10">
        <f>IF(OR(F681="",G681=""),"",IFERROR(F681*VLOOKUP(G681,'Units'!$A$2:$D$13,4,FALSE),""))</f>
        <v/>
      </c>
      <c r="I681" s="5">
        <f>IF(D681="","",IFERROR(VLOOKUP(D681,'Items'!$A$2:$L$201,4,FALSE),""))</f>
        <v/>
      </c>
      <c r="J681" s="10">
        <f>IF(D681="","",IFERROR(VLOOKUP(D681,'Items'!$A$2:$L$201,10,FALSE),""))</f>
        <v/>
      </c>
      <c r="K681" s="10">
        <f>IF(OR(H681="",J681=""),"",H681*J681)</f>
        <v/>
      </c>
      <c r="L681" s="5">
        <f>IF(AND(B681="",D681=""),"",IF(B681="","Missing product",IF(D681="","Missing item",IF(C681="Product not found","Product not found",IF(E681="Item not found","Item not found",IF(OR(F681="",G681=""),"Missing quantity/unit",IF(IFERROR(VLOOKUP(G681,'Units'!$A$2:$D$13,3,FALSE),"")&lt;&gt;I681,"Unit mismatch",IF(J681="","Enter item cost","OK"))))))))</f>
        <v/>
      </c>
      <c r="M681" s="4" t="n"/>
    </row>
    <row r="682">
      <c r="A682" s="5">
        <f>IF(AND(B682="",D682=""),"",ROW()-1)</f>
        <v/>
      </c>
      <c r="B682" s="4" t="n"/>
      <c r="C682" s="5">
        <f>IF(B682="","",IFERROR(VLOOKUP(B682,'Products'!$A$2:$F$201,2,FALSE),"Product not found"))</f>
        <v/>
      </c>
      <c r="D682" s="4" t="n"/>
      <c r="E682" s="5">
        <f>IF(D682="","",IFERROR(VLOOKUP(D682,'Items'!$A$2:$L$201,2,FALSE),"Item not found"))</f>
        <v/>
      </c>
      <c r="F682" s="9" t="n"/>
      <c r="G682" s="4" t="n"/>
      <c r="H682" s="10">
        <f>IF(OR(F682="",G682=""),"",IFERROR(F682*VLOOKUP(G682,'Units'!$A$2:$D$13,4,FALSE),""))</f>
        <v/>
      </c>
      <c r="I682" s="5">
        <f>IF(D682="","",IFERROR(VLOOKUP(D682,'Items'!$A$2:$L$201,4,FALSE),""))</f>
        <v/>
      </c>
      <c r="J682" s="10">
        <f>IF(D682="","",IFERROR(VLOOKUP(D682,'Items'!$A$2:$L$201,10,FALSE),""))</f>
        <v/>
      </c>
      <c r="K682" s="10">
        <f>IF(OR(H682="",J682=""),"",H682*J682)</f>
        <v/>
      </c>
      <c r="L682" s="5">
        <f>IF(AND(B682="",D682=""),"",IF(B682="","Missing product",IF(D682="","Missing item",IF(C682="Product not found","Product not found",IF(E682="Item not found","Item not found",IF(OR(F682="",G682=""),"Missing quantity/unit",IF(IFERROR(VLOOKUP(G682,'Units'!$A$2:$D$13,3,FALSE),"")&lt;&gt;I682,"Unit mismatch",IF(J682="","Enter item cost","OK"))))))))</f>
        <v/>
      </c>
      <c r="M682" s="4" t="n"/>
    </row>
    <row r="683">
      <c r="A683" s="5">
        <f>IF(AND(B683="",D683=""),"",ROW()-1)</f>
        <v/>
      </c>
      <c r="B683" s="4" t="n"/>
      <c r="C683" s="5">
        <f>IF(B683="","",IFERROR(VLOOKUP(B683,'Products'!$A$2:$F$201,2,FALSE),"Product not found"))</f>
        <v/>
      </c>
      <c r="D683" s="4" t="n"/>
      <c r="E683" s="5">
        <f>IF(D683="","",IFERROR(VLOOKUP(D683,'Items'!$A$2:$L$201,2,FALSE),"Item not found"))</f>
        <v/>
      </c>
      <c r="F683" s="9" t="n"/>
      <c r="G683" s="4" t="n"/>
      <c r="H683" s="10">
        <f>IF(OR(F683="",G683=""),"",IFERROR(F683*VLOOKUP(G683,'Units'!$A$2:$D$13,4,FALSE),""))</f>
        <v/>
      </c>
      <c r="I683" s="5">
        <f>IF(D683="","",IFERROR(VLOOKUP(D683,'Items'!$A$2:$L$201,4,FALSE),""))</f>
        <v/>
      </c>
      <c r="J683" s="10">
        <f>IF(D683="","",IFERROR(VLOOKUP(D683,'Items'!$A$2:$L$201,10,FALSE),""))</f>
        <v/>
      </c>
      <c r="K683" s="10">
        <f>IF(OR(H683="",J683=""),"",H683*J683)</f>
        <v/>
      </c>
      <c r="L683" s="5">
        <f>IF(AND(B683="",D683=""),"",IF(B683="","Missing product",IF(D683="","Missing item",IF(C683="Product not found","Product not found",IF(E683="Item not found","Item not found",IF(OR(F683="",G683=""),"Missing quantity/unit",IF(IFERROR(VLOOKUP(G683,'Units'!$A$2:$D$13,3,FALSE),"")&lt;&gt;I683,"Unit mismatch",IF(J683="","Enter item cost","OK"))))))))</f>
        <v/>
      </c>
      <c r="M683" s="4" t="n"/>
    </row>
    <row r="684">
      <c r="A684" s="5">
        <f>IF(AND(B684="",D684=""),"",ROW()-1)</f>
        <v/>
      </c>
      <c r="B684" s="4" t="n"/>
      <c r="C684" s="5">
        <f>IF(B684="","",IFERROR(VLOOKUP(B684,'Products'!$A$2:$F$201,2,FALSE),"Product not found"))</f>
        <v/>
      </c>
      <c r="D684" s="4" t="n"/>
      <c r="E684" s="5">
        <f>IF(D684="","",IFERROR(VLOOKUP(D684,'Items'!$A$2:$L$201,2,FALSE),"Item not found"))</f>
        <v/>
      </c>
      <c r="F684" s="9" t="n"/>
      <c r="G684" s="4" t="n"/>
      <c r="H684" s="10">
        <f>IF(OR(F684="",G684=""),"",IFERROR(F684*VLOOKUP(G684,'Units'!$A$2:$D$13,4,FALSE),""))</f>
        <v/>
      </c>
      <c r="I684" s="5">
        <f>IF(D684="","",IFERROR(VLOOKUP(D684,'Items'!$A$2:$L$201,4,FALSE),""))</f>
        <v/>
      </c>
      <c r="J684" s="10">
        <f>IF(D684="","",IFERROR(VLOOKUP(D684,'Items'!$A$2:$L$201,10,FALSE),""))</f>
        <v/>
      </c>
      <c r="K684" s="10">
        <f>IF(OR(H684="",J684=""),"",H684*J684)</f>
        <v/>
      </c>
      <c r="L684" s="5">
        <f>IF(AND(B684="",D684=""),"",IF(B684="","Missing product",IF(D684="","Missing item",IF(C684="Product not found","Product not found",IF(E684="Item not found","Item not found",IF(OR(F684="",G684=""),"Missing quantity/unit",IF(IFERROR(VLOOKUP(G684,'Units'!$A$2:$D$13,3,FALSE),"")&lt;&gt;I684,"Unit mismatch",IF(J684="","Enter item cost","OK"))))))))</f>
        <v/>
      </c>
      <c r="M684" s="4" t="n"/>
    </row>
    <row r="685">
      <c r="A685" s="5">
        <f>IF(AND(B685="",D685=""),"",ROW()-1)</f>
        <v/>
      </c>
      <c r="B685" s="4" t="n"/>
      <c r="C685" s="5">
        <f>IF(B685="","",IFERROR(VLOOKUP(B685,'Products'!$A$2:$F$201,2,FALSE),"Product not found"))</f>
        <v/>
      </c>
      <c r="D685" s="4" t="n"/>
      <c r="E685" s="5">
        <f>IF(D685="","",IFERROR(VLOOKUP(D685,'Items'!$A$2:$L$201,2,FALSE),"Item not found"))</f>
        <v/>
      </c>
      <c r="F685" s="9" t="n"/>
      <c r="G685" s="4" t="n"/>
      <c r="H685" s="10">
        <f>IF(OR(F685="",G685=""),"",IFERROR(F685*VLOOKUP(G685,'Units'!$A$2:$D$13,4,FALSE),""))</f>
        <v/>
      </c>
      <c r="I685" s="5">
        <f>IF(D685="","",IFERROR(VLOOKUP(D685,'Items'!$A$2:$L$201,4,FALSE),""))</f>
        <v/>
      </c>
      <c r="J685" s="10">
        <f>IF(D685="","",IFERROR(VLOOKUP(D685,'Items'!$A$2:$L$201,10,FALSE),""))</f>
        <v/>
      </c>
      <c r="K685" s="10">
        <f>IF(OR(H685="",J685=""),"",H685*J685)</f>
        <v/>
      </c>
      <c r="L685" s="5">
        <f>IF(AND(B685="",D685=""),"",IF(B685="","Missing product",IF(D685="","Missing item",IF(C685="Product not found","Product not found",IF(E685="Item not found","Item not found",IF(OR(F685="",G685=""),"Missing quantity/unit",IF(IFERROR(VLOOKUP(G685,'Units'!$A$2:$D$13,3,FALSE),"")&lt;&gt;I685,"Unit mismatch",IF(J685="","Enter item cost","OK"))))))))</f>
        <v/>
      </c>
      <c r="M685" s="4" t="n"/>
    </row>
    <row r="686">
      <c r="A686" s="5">
        <f>IF(AND(B686="",D686=""),"",ROW()-1)</f>
        <v/>
      </c>
      <c r="B686" s="4" t="n"/>
      <c r="C686" s="5">
        <f>IF(B686="","",IFERROR(VLOOKUP(B686,'Products'!$A$2:$F$201,2,FALSE),"Product not found"))</f>
        <v/>
      </c>
      <c r="D686" s="4" t="n"/>
      <c r="E686" s="5">
        <f>IF(D686="","",IFERROR(VLOOKUP(D686,'Items'!$A$2:$L$201,2,FALSE),"Item not found"))</f>
        <v/>
      </c>
      <c r="F686" s="9" t="n"/>
      <c r="G686" s="4" t="n"/>
      <c r="H686" s="10">
        <f>IF(OR(F686="",G686=""),"",IFERROR(F686*VLOOKUP(G686,'Units'!$A$2:$D$13,4,FALSE),""))</f>
        <v/>
      </c>
      <c r="I686" s="5">
        <f>IF(D686="","",IFERROR(VLOOKUP(D686,'Items'!$A$2:$L$201,4,FALSE),""))</f>
        <v/>
      </c>
      <c r="J686" s="10">
        <f>IF(D686="","",IFERROR(VLOOKUP(D686,'Items'!$A$2:$L$201,10,FALSE),""))</f>
        <v/>
      </c>
      <c r="K686" s="10">
        <f>IF(OR(H686="",J686=""),"",H686*J686)</f>
        <v/>
      </c>
      <c r="L686" s="5">
        <f>IF(AND(B686="",D686=""),"",IF(B686="","Missing product",IF(D686="","Missing item",IF(C686="Product not found","Product not found",IF(E686="Item not found","Item not found",IF(OR(F686="",G686=""),"Missing quantity/unit",IF(IFERROR(VLOOKUP(G686,'Units'!$A$2:$D$13,3,FALSE),"")&lt;&gt;I686,"Unit mismatch",IF(J686="","Enter item cost","OK"))))))))</f>
        <v/>
      </c>
      <c r="M686" s="4" t="n"/>
    </row>
    <row r="687">
      <c r="A687" s="5">
        <f>IF(AND(B687="",D687=""),"",ROW()-1)</f>
        <v/>
      </c>
      <c r="B687" s="4" t="n"/>
      <c r="C687" s="5">
        <f>IF(B687="","",IFERROR(VLOOKUP(B687,'Products'!$A$2:$F$201,2,FALSE),"Product not found"))</f>
        <v/>
      </c>
      <c r="D687" s="4" t="n"/>
      <c r="E687" s="5">
        <f>IF(D687="","",IFERROR(VLOOKUP(D687,'Items'!$A$2:$L$201,2,FALSE),"Item not found"))</f>
        <v/>
      </c>
      <c r="F687" s="9" t="n"/>
      <c r="G687" s="4" t="n"/>
      <c r="H687" s="10">
        <f>IF(OR(F687="",G687=""),"",IFERROR(F687*VLOOKUP(G687,'Units'!$A$2:$D$13,4,FALSE),""))</f>
        <v/>
      </c>
      <c r="I687" s="5">
        <f>IF(D687="","",IFERROR(VLOOKUP(D687,'Items'!$A$2:$L$201,4,FALSE),""))</f>
        <v/>
      </c>
      <c r="J687" s="10">
        <f>IF(D687="","",IFERROR(VLOOKUP(D687,'Items'!$A$2:$L$201,10,FALSE),""))</f>
        <v/>
      </c>
      <c r="K687" s="10">
        <f>IF(OR(H687="",J687=""),"",H687*J687)</f>
        <v/>
      </c>
      <c r="L687" s="5">
        <f>IF(AND(B687="",D687=""),"",IF(B687="","Missing product",IF(D687="","Missing item",IF(C687="Product not found","Product not found",IF(E687="Item not found","Item not found",IF(OR(F687="",G687=""),"Missing quantity/unit",IF(IFERROR(VLOOKUP(G687,'Units'!$A$2:$D$13,3,FALSE),"")&lt;&gt;I687,"Unit mismatch",IF(J687="","Enter item cost","OK"))))))))</f>
        <v/>
      </c>
      <c r="M687" s="4" t="n"/>
    </row>
    <row r="688">
      <c r="A688" s="5">
        <f>IF(AND(B688="",D688=""),"",ROW()-1)</f>
        <v/>
      </c>
      <c r="B688" s="4" t="n"/>
      <c r="C688" s="5">
        <f>IF(B688="","",IFERROR(VLOOKUP(B688,'Products'!$A$2:$F$201,2,FALSE),"Product not found"))</f>
        <v/>
      </c>
      <c r="D688" s="4" t="n"/>
      <c r="E688" s="5">
        <f>IF(D688="","",IFERROR(VLOOKUP(D688,'Items'!$A$2:$L$201,2,FALSE),"Item not found"))</f>
        <v/>
      </c>
      <c r="F688" s="9" t="n"/>
      <c r="G688" s="4" t="n"/>
      <c r="H688" s="10">
        <f>IF(OR(F688="",G688=""),"",IFERROR(F688*VLOOKUP(G688,'Units'!$A$2:$D$13,4,FALSE),""))</f>
        <v/>
      </c>
      <c r="I688" s="5">
        <f>IF(D688="","",IFERROR(VLOOKUP(D688,'Items'!$A$2:$L$201,4,FALSE),""))</f>
        <v/>
      </c>
      <c r="J688" s="10">
        <f>IF(D688="","",IFERROR(VLOOKUP(D688,'Items'!$A$2:$L$201,10,FALSE),""))</f>
        <v/>
      </c>
      <c r="K688" s="10">
        <f>IF(OR(H688="",J688=""),"",H688*J688)</f>
        <v/>
      </c>
      <c r="L688" s="5">
        <f>IF(AND(B688="",D688=""),"",IF(B688="","Missing product",IF(D688="","Missing item",IF(C688="Product not found","Product not found",IF(E688="Item not found","Item not found",IF(OR(F688="",G688=""),"Missing quantity/unit",IF(IFERROR(VLOOKUP(G688,'Units'!$A$2:$D$13,3,FALSE),"")&lt;&gt;I688,"Unit mismatch",IF(J688="","Enter item cost","OK"))))))))</f>
        <v/>
      </c>
      <c r="M688" s="4" t="n"/>
    </row>
    <row r="689">
      <c r="A689" s="5">
        <f>IF(AND(B689="",D689=""),"",ROW()-1)</f>
        <v/>
      </c>
      <c r="B689" s="4" t="n"/>
      <c r="C689" s="5">
        <f>IF(B689="","",IFERROR(VLOOKUP(B689,'Products'!$A$2:$F$201,2,FALSE),"Product not found"))</f>
        <v/>
      </c>
      <c r="D689" s="4" t="n"/>
      <c r="E689" s="5">
        <f>IF(D689="","",IFERROR(VLOOKUP(D689,'Items'!$A$2:$L$201,2,FALSE),"Item not found"))</f>
        <v/>
      </c>
      <c r="F689" s="9" t="n"/>
      <c r="G689" s="4" t="n"/>
      <c r="H689" s="10">
        <f>IF(OR(F689="",G689=""),"",IFERROR(F689*VLOOKUP(G689,'Units'!$A$2:$D$13,4,FALSE),""))</f>
        <v/>
      </c>
      <c r="I689" s="5">
        <f>IF(D689="","",IFERROR(VLOOKUP(D689,'Items'!$A$2:$L$201,4,FALSE),""))</f>
        <v/>
      </c>
      <c r="J689" s="10">
        <f>IF(D689="","",IFERROR(VLOOKUP(D689,'Items'!$A$2:$L$201,10,FALSE),""))</f>
        <v/>
      </c>
      <c r="K689" s="10">
        <f>IF(OR(H689="",J689=""),"",H689*J689)</f>
        <v/>
      </c>
      <c r="L689" s="5">
        <f>IF(AND(B689="",D689=""),"",IF(B689="","Missing product",IF(D689="","Missing item",IF(C689="Product not found","Product not found",IF(E689="Item not found","Item not found",IF(OR(F689="",G689=""),"Missing quantity/unit",IF(IFERROR(VLOOKUP(G689,'Units'!$A$2:$D$13,3,FALSE),"")&lt;&gt;I689,"Unit mismatch",IF(J689="","Enter item cost","OK"))))))))</f>
        <v/>
      </c>
      <c r="M689" s="4" t="n"/>
    </row>
    <row r="690">
      <c r="A690" s="5">
        <f>IF(AND(B690="",D690=""),"",ROW()-1)</f>
        <v/>
      </c>
      <c r="B690" s="4" t="n"/>
      <c r="C690" s="5">
        <f>IF(B690="","",IFERROR(VLOOKUP(B690,'Products'!$A$2:$F$201,2,FALSE),"Product not found"))</f>
        <v/>
      </c>
      <c r="D690" s="4" t="n"/>
      <c r="E690" s="5">
        <f>IF(D690="","",IFERROR(VLOOKUP(D690,'Items'!$A$2:$L$201,2,FALSE),"Item not found"))</f>
        <v/>
      </c>
      <c r="F690" s="9" t="n"/>
      <c r="G690" s="4" t="n"/>
      <c r="H690" s="10">
        <f>IF(OR(F690="",G690=""),"",IFERROR(F690*VLOOKUP(G690,'Units'!$A$2:$D$13,4,FALSE),""))</f>
        <v/>
      </c>
      <c r="I690" s="5">
        <f>IF(D690="","",IFERROR(VLOOKUP(D690,'Items'!$A$2:$L$201,4,FALSE),""))</f>
        <v/>
      </c>
      <c r="J690" s="10">
        <f>IF(D690="","",IFERROR(VLOOKUP(D690,'Items'!$A$2:$L$201,10,FALSE),""))</f>
        <v/>
      </c>
      <c r="K690" s="10">
        <f>IF(OR(H690="",J690=""),"",H690*J690)</f>
        <v/>
      </c>
      <c r="L690" s="5">
        <f>IF(AND(B690="",D690=""),"",IF(B690="","Missing product",IF(D690="","Missing item",IF(C690="Product not found","Product not found",IF(E690="Item not found","Item not found",IF(OR(F690="",G690=""),"Missing quantity/unit",IF(IFERROR(VLOOKUP(G690,'Units'!$A$2:$D$13,3,FALSE),"")&lt;&gt;I690,"Unit mismatch",IF(J690="","Enter item cost","OK"))))))))</f>
        <v/>
      </c>
      <c r="M690" s="4" t="n"/>
    </row>
    <row r="691">
      <c r="A691" s="5">
        <f>IF(AND(B691="",D691=""),"",ROW()-1)</f>
        <v/>
      </c>
      <c r="B691" s="4" t="n"/>
      <c r="C691" s="5">
        <f>IF(B691="","",IFERROR(VLOOKUP(B691,'Products'!$A$2:$F$201,2,FALSE),"Product not found"))</f>
        <v/>
      </c>
      <c r="D691" s="4" t="n"/>
      <c r="E691" s="5">
        <f>IF(D691="","",IFERROR(VLOOKUP(D691,'Items'!$A$2:$L$201,2,FALSE),"Item not found"))</f>
        <v/>
      </c>
      <c r="F691" s="9" t="n"/>
      <c r="G691" s="4" t="n"/>
      <c r="H691" s="10">
        <f>IF(OR(F691="",G691=""),"",IFERROR(F691*VLOOKUP(G691,'Units'!$A$2:$D$13,4,FALSE),""))</f>
        <v/>
      </c>
      <c r="I691" s="5">
        <f>IF(D691="","",IFERROR(VLOOKUP(D691,'Items'!$A$2:$L$201,4,FALSE),""))</f>
        <v/>
      </c>
      <c r="J691" s="10">
        <f>IF(D691="","",IFERROR(VLOOKUP(D691,'Items'!$A$2:$L$201,10,FALSE),""))</f>
        <v/>
      </c>
      <c r="K691" s="10">
        <f>IF(OR(H691="",J691=""),"",H691*J691)</f>
        <v/>
      </c>
      <c r="L691" s="5">
        <f>IF(AND(B691="",D691=""),"",IF(B691="","Missing product",IF(D691="","Missing item",IF(C691="Product not found","Product not found",IF(E691="Item not found","Item not found",IF(OR(F691="",G691=""),"Missing quantity/unit",IF(IFERROR(VLOOKUP(G691,'Units'!$A$2:$D$13,3,FALSE),"")&lt;&gt;I691,"Unit mismatch",IF(J691="","Enter item cost","OK"))))))))</f>
        <v/>
      </c>
      <c r="M691" s="4" t="n"/>
    </row>
    <row r="692">
      <c r="A692" s="5">
        <f>IF(AND(B692="",D692=""),"",ROW()-1)</f>
        <v/>
      </c>
      <c r="B692" s="4" t="n"/>
      <c r="C692" s="5">
        <f>IF(B692="","",IFERROR(VLOOKUP(B692,'Products'!$A$2:$F$201,2,FALSE),"Product not found"))</f>
        <v/>
      </c>
      <c r="D692" s="4" t="n"/>
      <c r="E692" s="5">
        <f>IF(D692="","",IFERROR(VLOOKUP(D692,'Items'!$A$2:$L$201,2,FALSE),"Item not found"))</f>
        <v/>
      </c>
      <c r="F692" s="9" t="n"/>
      <c r="G692" s="4" t="n"/>
      <c r="H692" s="10">
        <f>IF(OR(F692="",G692=""),"",IFERROR(F692*VLOOKUP(G692,'Units'!$A$2:$D$13,4,FALSE),""))</f>
        <v/>
      </c>
      <c r="I692" s="5">
        <f>IF(D692="","",IFERROR(VLOOKUP(D692,'Items'!$A$2:$L$201,4,FALSE),""))</f>
        <v/>
      </c>
      <c r="J692" s="10">
        <f>IF(D692="","",IFERROR(VLOOKUP(D692,'Items'!$A$2:$L$201,10,FALSE),""))</f>
        <v/>
      </c>
      <c r="K692" s="10">
        <f>IF(OR(H692="",J692=""),"",H692*J692)</f>
        <v/>
      </c>
      <c r="L692" s="5">
        <f>IF(AND(B692="",D692=""),"",IF(B692="","Missing product",IF(D692="","Missing item",IF(C692="Product not found","Product not found",IF(E692="Item not found","Item not found",IF(OR(F692="",G692=""),"Missing quantity/unit",IF(IFERROR(VLOOKUP(G692,'Units'!$A$2:$D$13,3,FALSE),"")&lt;&gt;I692,"Unit mismatch",IF(J692="","Enter item cost","OK"))))))))</f>
        <v/>
      </c>
      <c r="M692" s="4" t="n"/>
    </row>
    <row r="693">
      <c r="A693" s="5">
        <f>IF(AND(B693="",D693=""),"",ROW()-1)</f>
        <v/>
      </c>
      <c r="B693" s="4" t="n"/>
      <c r="C693" s="5">
        <f>IF(B693="","",IFERROR(VLOOKUP(B693,'Products'!$A$2:$F$201,2,FALSE),"Product not found"))</f>
        <v/>
      </c>
      <c r="D693" s="4" t="n"/>
      <c r="E693" s="5">
        <f>IF(D693="","",IFERROR(VLOOKUP(D693,'Items'!$A$2:$L$201,2,FALSE),"Item not found"))</f>
        <v/>
      </c>
      <c r="F693" s="9" t="n"/>
      <c r="G693" s="4" t="n"/>
      <c r="H693" s="10">
        <f>IF(OR(F693="",G693=""),"",IFERROR(F693*VLOOKUP(G693,'Units'!$A$2:$D$13,4,FALSE),""))</f>
        <v/>
      </c>
      <c r="I693" s="5">
        <f>IF(D693="","",IFERROR(VLOOKUP(D693,'Items'!$A$2:$L$201,4,FALSE),""))</f>
        <v/>
      </c>
      <c r="J693" s="10">
        <f>IF(D693="","",IFERROR(VLOOKUP(D693,'Items'!$A$2:$L$201,10,FALSE),""))</f>
        <v/>
      </c>
      <c r="K693" s="10">
        <f>IF(OR(H693="",J693=""),"",H693*J693)</f>
        <v/>
      </c>
      <c r="L693" s="5">
        <f>IF(AND(B693="",D693=""),"",IF(B693="","Missing product",IF(D693="","Missing item",IF(C693="Product not found","Product not found",IF(E693="Item not found","Item not found",IF(OR(F693="",G693=""),"Missing quantity/unit",IF(IFERROR(VLOOKUP(G693,'Units'!$A$2:$D$13,3,FALSE),"")&lt;&gt;I693,"Unit mismatch",IF(J693="","Enter item cost","OK"))))))))</f>
        <v/>
      </c>
      <c r="M693" s="4" t="n"/>
    </row>
    <row r="694">
      <c r="A694" s="5">
        <f>IF(AND(B694="",D694=""),"",ROW()-1)</f>
        <v/>
      </c>
      <c r="B694" s="4" t="n"/>
      <c r="C694" s="5">
        <f>IF(B694="","",IFERROR(VLOOKUP(B694,'Products'!$A$2:$F$201,2,FALSE),"Product not found"))</f>
        <v/>
      </c>
      <c r="D694" s="4" t="n"/>
      <c r="E694" s="5">
        <f>IF(D694="","",IFERROR(VLOOKUP(D694,'Items'!$A$2:$L$201,2,FALSE),"Item not found"))</f>
        <v/>
      </c>
      <c r="F694" s="9" t="n"/>
      <c r="G694" s="4" t="n"/>
      <c r="H694" s="10">
        <f>IF(OR(F694="",G694=""),"",IFERROR(F694*VLOOKUP(G694,'Units'!$A$2:$D$13,4,FALSE),""))</f>
        <v/>
      </c>
      <c r="I694" s="5">
        <f>IF(D694="","",IFERROR(VLOOKUP(D694,'Items'!$A$2:$L$201,4,FALSE),""))</f>
        <v/>
      </c>
      <c r="J694" s="10">
        <f>IF(D694="","",IFERROR(VLOOKUP(D694,'Items'!$A$2:$L$201,10,FALSE),""))</f>
        <v/>
      </c>
      <c r="K694" s="10">
        <f>IF(OR(H694="",J694=""),"",H694*J694)</f>
        <v/>
      </c>
      <c r="L694" s="5">
        <f>IF(AND(B694="",D694=""),"",IF(B694="","Missing product",IF(D694="","Missing item",IF(C694="Product not found","Product not found",IF(E694="Item not found","Item not found",IF(OR(F694="",G694=""),"Missing quantity/unit",IF(IFERROR(VLOOKUP(G694,'Units'!$A$2:$D$13,3,FALSE),"")&lt;&gt;I694,"Unit mismatch",IF(J694="","Enter item cost","OK"))))))))</f>
        <v/>
      </c>
      <c r="M694" s="4" t="n"/>
    </row>
    <row r="695">
      <c r="A695" s="5">
        <f>IF(AND(B695="",D695=""),"",ROW()-1)</f>
        <v/>
      </c>
      <c r="B695" s="4" t="n"/>
      <c r="C695" s="5">
        <f>IF(B695="","",IFERROR(VLOOKUP(B695,'Products'!$A$2:$F$201,2,FALSE),"Product not found"))</f>
        <v/>
      </c>
      <c r="D695" s="4" t="n"/>
      <c r="E695" s="5">
        <f>IF(D695="","",IFERROR(VLOOKUP(D695,'Items'!$A$2:$L$201,2,FALSE),"Item not found"))</f>
        <v/>
      </c>
      <c r="F695" s="9" t="n"/>
      <c r="G695" s="4" t="n"/>
      <c r="H695" s="10">
        <f>IF(OR(F695="",G695=""),"",IFERROR(F695*VLOOKUP(G695,'Units'!$A$2:$D$13,4,FALSE),""))</f>
        <v/>
      </c>
      <c r="I695" s="5">
        <f>IF(D695="","",IFERROR(VLOOKUP(D695,'Items'!$A$2:$L$201,4,FALSE),""))</f>
        <v/>
      </c>
      <c r="J695" s="10">
        <f>IF(D695="","",IFERROR(VLOOKUP(D695,'Items'!$A$2:$L$201,10,FALSE),""))</f>
        <v/>
      </c>
      <c r="K695" s="10">
        <f>IF(OR(H695="",J695=""),"",H695*J695)</f>
        <v/>
      </c>
      <c r="L695" s="5">
        <f>IF(AND(B695="",D695=""),"",IF(B695="","Missing product",IF(D695="","Missing item",IF(C695="Product not found","Product not found",IF(E695="Item not found","Item not found",IF(OR(F695="",G695=""),"Missing quantity/unit",IF(IFERROR(VLOOKUP(G695,'Units'!$A$2:$D$13,3,FALSE),"")&lt;&gt;I695,"Unit mismatch",IF(J695="","Enter item cost","OK"))))))))</f>
        <v/>
      </c>
      <c r="M695" s="4" t="n"/>
    </row>
    <row r="696">
      <c r="A696" s="5">
        <f>IF(AND(B696="",D696=""),"",ROW()-1)</f>
        <v/>
      </c>
      <c r="B696" s="4" t="n"/>
      <c r="C696" s="5">
        <f>IF(B696="","",IFERROR(VLOOKUP(B696,'Products'!$A$2:$F$201,2,FALSE),"Product not found"))</f>
        <v/>
      </c>
      <c r="D696" s="4" t="n"/>
      <c r="E696" s="5">
        <f>IF(D696="","",IFERROR(VLOOKUP(D696,'Items'!$A$2:$L$201,2,FALSE),"Item not found"))</f>
        <v/>
      </c>
      <c r="F696" s="9" t="n"/>
      <c r="G696" s="4" t="n"/>
      <c r="H696" s="10">
        <f>IF(OR(F696="",G696=""),"",IFERROR(F696*VLOOKUP(G696,'Units'!$A$2:$D$13,4,FALSE),""))</f>
        <v/>
      </c>
      <c r="I696" s="5">
        <f>IF(D696="","",IFERROR(VLOOKUP(D696,'Items'!$A$2:$L$201,4,FALSE),""))</f>
        <v/>
      </c>
      <c r="J696" s="10">
        <f>IF(D696="","",IFERROR(VLOOKUP(D696,'Items'!$A$2:$L$201,10,FALSE),""))</f>
        <v/>
      </c>
      <c r="K696" s="10">
        <f>IF(OR(H696="",J696=""),"",H696*J696)</f>
        <v/>
      </c>
      <c r="L696" s="5">
        <f>IF(AND(B696="",D696=""),"",IF(B696="","Missing product",IF(D696="","Missing item",IF(C696="Product not found","Product not found",IF(E696="Item not found","Item not found",IF(OR(F696="",G696=""),"Missing quantity/unit",IF(IFERROR(VLOOKUP(G696,'Units'!$A$2:$D$13,3,FALSE),"")&lt;&gt;I696,"Unit mismatch",IF(J696="","Enter item cost","OK"))))))))</f>
        <v/>
      </c>
      <c r="M696" s="4" t="n"/>
    </row>
    <row r="697">
      <c r="A697" s="5">
        <f>IF(AND(B697="",D697=""),"",ROW()-1)</f>
        <v/>
      </c>
      <c r="B697" s="4" t="n"/>
      <c r="C697" s="5">
        <f>IF(B697="","",IFERROR(VLOOKUP(B697,'Products'!$A$2:$F$201,2,FALSE),"Product not found"))</f>
        <v/>
      </c>
      <c r="D697" s="4" t="n"/>
      <c r="E697" s="5">
        <f>IF(D697="","",IFERROR(VLOOKUP(D697,'Items'!$A$2:$L$201,2,FALSE),"Item not found"))</f>
        <v/>
      </c>
      <c r="F697" s="9" t="n"/>
      <c r="G697" s="4" t="n"/>
      <c r="H697" s="10">
        <f>IF(OR(F697="",G697=""),"",IFERROR(F697*VLOOKUP(G697,'Units'!$A$2:$D$13,4,FALSE),""))</f>
        <v/>
      </c>
      <c r="I697" s="5">
        <f>IF(D697="","",IFERROR(VLOOKUP(D697,'Items'!$A$2:$L$201,4,FALSE),""))</f>
        <v/>
      </c>
      <c r="J697" s="10">
        <f>IF(D697="","",IFERROR(VLOOKUP(D697,'Items'!$A$2:$L$201,10,FALSE),""))</f>
        <v/>
      </c>
      <c r="K697" s="10">
        <f>IF(OR(H697="",J697=""),"",H697*J697)</f>
        <v/>
      </c>
      <c r="L697" s="5">
        <f>IF(AND(B697="",D697=""),"",IF(B697="","Missing product",IF(D697="","Missing item",IF(C697="Product not found","Product not found",IF(E697="Item not found","Item not found",IF(OR(F697="",G697=""),"Missing quantity/unit",IF(IFERROR(VLOOKUP(G697,'Units'!$A$2:$D$13,3,FALSE),"")&lt;&gt;I697,"Unit mismatch",IF(J697="","Enter item cost","OK"))))))))</f>
        <v/>
      </c>
      <c r="M697" s="4" t="n"/>
    </row>
    <row r="698">
      <c r="A698" s="5">
        <f>IF(AND(B698="",D698=""),"",ROW()-1)</f>
        <v/>
      </c>
      <c r="B698" s="4" t="n"/>
      <c r="C698" s="5">
        <f>IF(B698="","",IFERROR(VLOOKUP(B698,'Products'!$A$2:$F$201,2,FALSE),"Product not found"))</f>
        <v/>
      </c>
      <c r="D698" s="4" t="n"/>
      <c r="E698" s="5">
        <f>IF(D698="","",IFERROR(VLOOKUP(D698,'Items'!$A$2:$L$201,2,FALSE),"Item not found"))</f>
        <v/>
      </c>
      <c r="F698" s="9" t="n"/>
      <c r="G698" s="4" t="n"/>
      <c r="H698" s="10">
        <f>IF(OR(F698="",G698=""),"",IFERROR(F698*VLOOKUP(G698,'Units'!$A$2:$D$13,4,FALSE),""))</f>
        <v/>
      </c>
      <c r="I698" s="5">
        <f>IF(D698="","",IFERROR(VLOOKUP(D698,'Items'!$A$2:$L$201,4,FALSE),""))</f>
        <v/>
      </c>
      <c r="J698" s="10">
        <f>IF(D698="","",IFERROR(VLOOKUP(D698,'Items'!$A$2:$L$201,10,FALSE),""))</f>
        <v/>
      </c>
      <c r="K698" s="10">
        <f>IF(OR(H698="",J698=""),"",H698*J698)</f>
        <v/>
      </c>
      <c r="L698" s="5">
        <f>IF(AND(B698="",D698=""),"",IF(B698="","Missing product",IF(D698="","Missing item",IF(C698="Product not found","Product not found",IF(E698="Item not found","Item not found",IF(OR(F698="",G698=""),"Missing quantity/unit",IF(IFERROR(VLOOKUP(G698,'Units'!$A$2:$D$13,3,FALSE),"")&lt;&gt;I698,"Unit mismatch",IF(J698="","Enter item cost","OK"))))))))</f>
        <v/>
      </c>
      <c r="M698" s="4" t="n"/>
    </row>
    <row r="699">
      <c r="A699" s="5">
        <f>IF(AND(B699="",D699=""),"",ROW()-1)</f>
        <v/>
      </c>
      <c r="B699" s="4" t="n"/>
      <c r="C699" s="5">
        <f>IF(B699="","",IFERROR(VLOOKUP(B699,'Products'!$A$2:$F$201,2,FALSE),"Product not found"))</f>
        <v/>
      </c>
      <c r="D699" s="4" t="n"/>
      <c r="E699" s="5">
        <f>IF(D699="","",IFERROR(VLOOKUP(D699,'Items'!$A$2:$L$201,2,FALSE),"Item not found"))</f>
        <v/>
      </c>
      <c r="F699" s="9" t="n"/>
      <c r="G699" s="4" t="n"/>
      <c r="H699" s="10">
        <f>IF(OR(F699="",G699=""),"",IFERROR(F699*VLOOKUP(G699,'Units'!$A$2:$D$13,4,FALSE),""))</f>
        <v/>
      </c>
      <c r="I699" s="5">
        <f>IF(D699="","",IFERROR(VLOOKUP(D699,'Items'!$A$2:$L$201,4,FALSE),""))</f>
        <v/>
      </c>
      <c r="J699" s="10">
        <f>IF(D699="","",IFERROR(VLOOKUP(D699,'Items'!$A$2:$L$201,10,FALSE),""))</f>
        <v/>
      </c>
      <c r="K699" s="10">
        <f>IF(OR(H699="",J699=""),"",H699*J699)</f>
        <v/>
      </c>
      <c r="L699" s="5">
        <f>IF(AND(B699="",D699=""),"",IF(B699="","Missing product",IF(D699="","Missing item",IF(C699="Product not found","Product not found",IF(E699="Item not found","Item not found",IF(OR(F699="",G699=""),"Missing quantity/unit",IF(IFERROR(VLOOKUP(G699,'Units'!$A$2:$D$13,3,FALSE),"")&lt;&gt;I699,"Unit mismatch",IF(J699="","Enter item cost","OK"))))))))</f>
        <v/>
      </c>
      <c r="M699" s="4" t="n"/>
    </row>
    <row r="700">
      <c r="A700" s="5">
        <f>IF(AND(B700="",D700=""),"",ROW()-1)</f>
        <v/>
      </c>
      <c r="B700" s="4" t="n"/>
      <c r="C700" s="5">
        <f>IF(B700="","",IFERROR(VLOOKUP(B700,'Products'!$A$2:$F$201,2,FALSE),"Product not found"))</f>
        <v/>
      </c>
      <c r="D700" s="4" t="n"/>
      <c r="E700" s="5">
        <f>IF(D700="","",IFERROR(VLOOKUP(D700,'Items'!$A$2:$L$201,2,FALSE),"Item not found"))</f>
        <v/>
      </c>
      <c r="F700" s="9" t="n"/>
      <c r="G700" s="4" t="n"/>
      <c r="H700" s="10">
        <f>IF(OR(F700="",G700=""),"",IFERROR(F700*VLOOKUP(G700,'Units'!$A$2:$D$13,4,FALSE),""))</f>
        <v/>
      </c>
      <c r="I700" s="5">
        <f>IF(D700="","",IFERROR(VLOOKUP(D700,'Items'!$A$2:$L$201,4,FALSE),""))</f>
        <v/>
      </c>
      <c r="J700" s="10">
        <f>IF(D700="","",IFERROR(VLOOKUP(D700,'Items'!$A$2:$L$201,10,FALSE),""))</f>
        <v/>
      </c>
      <c r="K700" s="10">
        <f>IF(OR(H700="",J700=""),"",H700*J700)</f>
        <v/>
      </c>
      <c r="L700" s="5">
        <f>IF(AND(B700="",D700=""),"",IF(B700="","Missing product",IF(D700="","Missing item",IF(C700="Product not found","Product not found",IF(E700="Item not found","Item not found",IF(OR(F700="",G700=""),"Missing quantity/unit",IF(IFERROR(VLOOKUP(G700,'Units'!$A$2:$D$13,3,FALSE),"")&lt;&gt;I700,"Unit mismatch",IF(J700="","Enter item cost","OK"))))))))</f>
        <v/>
      </c>
      <c r="M700" s="4" t="n"/>
    </row>
    <row r="701">
      <c r="A701" s="5">
        <f>IF(AND(B701="",D701=""),"",ROW()-1)</f>
        <v/>
      </c>
      <c r="B701" s="4" t="n"/>
      <c r="C701" s="5">
        <f>IF(B701="","",IFERROR(VLOOKUP(B701,'Products'!$A$2:$F$201,2,FALSE),"Product not found"))</f>
        <v/>
      </c>
      <c r="D701" s="4" t="n"/>
      <c r="E701" s="5">
        <f>IF(D701="","",IFERROR(VLOOKUP(D701,'Items'!$A$2:$L$201,2,FALSE),"Item not found"))</f>
        <v/>
      </c>
      <c r="F701" s="9" t="n"/>
      <c r="G701" s="4" t="n"/>
      <c r="H701" s="10">
        <f>IF(OR(F701="",G701=""),"",IFERROR(F701*VLOOKUP(G701,'Units'!$A$2:$D$13,4,FALSE),""))</f>
        <v/>
      </c>
      <c r="I701" s="5">
        <f>IF(D701="","",IFERROR(VLOOKUP(D701,'Items'!$A$2:$L$201,4,FALSE),""))</f>
        <v/>
      </c>
      <c r="J701" s="10">
        <f>IF(D701="","",IFERROR(VLOOKUP(D701,'Items'!$A$2:$L$201,10,FALSE),""))</f>
        <v/>
      </c>
      <c r="K701" s="10">
        <f>IF(OR(H701="",J701=""),"",H701*J701)</f>
        <v/>
      </c>
      <c r="L701" s="5">
        <f>IF(AND(B701="",D701=""),"",IF(B701="","Missing product",IF(D701="","Missing item",IF(C701="Product not found","Product not found",IF(E701="Item not found","Item not found",IF(OR(F701="",G701=""),"Missing quantity/unit",IF(IFERROR(VLOOKUP(G701,'Units'!$A$2:$D$13,3,FALSE),"")&lt;&gt;I701,"Unit mismatch",IF(J701="","Enter item cost","OK"))))))))</f>
        <v/>
      </c>
      <c r="M701" s="4" t="n"/>
    </row>
    <row r="702">
      <c r="A702" s="5">
        <f>IF(AND(B702="",D702=""),"",ROW()-1)</f>
        <v/>
      </c>
      <c r="B702" s="4" t="n"/>
      <c r="C702" s="5">
        <f>IF(B702="","",IFERROR(VLOOKUP(B702,'Products'!$A$2:$F$201,2,FALSE),"Product not found"))</f>
        <v/>
      </c>
      <c r="D702" s="4" t="n"/>
      <c r="E702" s="5">
        <f>IF(D702="","",IFERROR(VLOOKUP(D702,'Items'!$A$2:$L$201,2,FALSE),"Item not found"))</f>
        <v/>
      </c>
      <c r="F702" s="9" t="n"/>
      <c r="G702" s="4" t="n"/>
      <c r="H702" s="10">
        <f>IF(OR(F702="",G702=""),"",IFERROR(F702*VLOOKUP(G702,'Units'!$A$2:$D$13,4,FALSE),""))</f>
        <v/>
      </c>
      <c r="I702" s="5">
        <f>IF(D702="","",IFERROR(VLOOKUP(D702,'Items'!$A$2:$L$201,4,FALSE),""))</f>
        <v/>
      </c>
      <c r="J702" s="10">
        <f>IF(D702="","",IFERROR(VLOOKUP(D702,'Items'!$A$2:$L$201,10,FALSE),""))</f>
        <v/>
      </c>
      <c r="K702" s="10">
        <f>IF(OR(H702="",J702=""),"",H702*J702)</f>
        <v/>
      </c>
      <c r="L702" s="5">
        <f>IF(AND(B702="",D702=""),"",IF(B702="","Missing product",IF(D702="","Missing item",IF(C702="Product not found","Product not found",IF(E702="Item not found","Item not found",IF(OR(F702="",G702=""),"Missing quantity/unit",IF(IFERROR(VLOOKUP(G702,'Units'!$A$2:$D$13,3,FALSE),"")&lt;&gt;I702,"Unit mismatch",IF(J702="","Enter item cost","OK"))))))))</f>
        <v/>
      </c>
      <c r="M702" s="4" t="n"/>
    </row>
    <row r="703">
      <c r="A703" s="5">
        <f>IF(AND(B703="",D703=""),"",ROW()-1)</f>
        <v/>
      </c>
      <c r="B703" s="4" t="n"/>
      <c r="C703" s="5">
        <f>IF(B703="","",IFERROR(VLOOKUP(B703,'Products'!$A$2:$F$201,2,FALSE),"Product not found"))</f>
        <v/>
      </c>
      <c r="D703" s="4" t="n"/>
      <c r="E703" s="5">
        <f>IF(D703="","",IFERROR(VLOOKUP(D703,'Items'!$A$2:$L$201,2,FALSE),"Item not found"))</f>
        <v/>
      </c>
      <c r="F703" s="9" t="n"/>
      <c r="G703" s="4" t="n"/>
      <c r="H703" s="10">
        <f>IF(OR(F703="",G703=""),"",IFERROR(F703*VLOOKUP(G703,'Units'!$A$2:$D$13,4,FALSE),""))</f>
        <v/>
      </c>
      <c r="I703" s="5">
        <f>IF(D703="","",IFERROR(VLOOKUP(D703,'Items'!$A$2:$L$201,4,FALSE),""))</f>
        <v/>
      </c>
      <c r="J703" s="10">
        <f>IF(D703="","",IFERROR(VLOOKUP(D703,'Items'!$A$2:$L$201,10,FALSE),""))</f>
        <v/>
      </c>
      <c r="K703" s="10">
        <f>IF(OR(H703="",J703=""),"",H703*J703)</f>
        <v/>
      </c>
      <c r="L703" s="5">
        <f>IF(AND(B703="",D703=""),"",IF(B703="","Missing product",IF(D703="","Missing item",IF(C703="Product not found","Product not found",IF(E703="Item not found","Item not found",IF(OR(F703="",G703=""),"Missing quantity/unit",IF(IFERROR(VLOOKUP(G703,'Units'!$A$2:$D$13,3,FALSE),"")&lt;&gt;I703,"Unit mismatch",IF(J703="","Enter item cost","OK"))))))))</f>
        <v/>
      </c>
      <c r="M703" s="4" t="n"/>
    </row>
    <row r="704">
      <c r="A704" s="5">
        <f>IF(AND(B704="",D704=""),"",ROW()-1)</f>
        <v/>
      </c>
      <c r="B704" s="4" t="n"/>
      <c r="C704" s="5">
        <f>IF(B704="","",IFERROR(VLOOKUP(B704,'Products'!$A$2:$F$201,2,FALSE),"Product not found"))</f>
        <v/>
      </c>
      <c r="D704" s="4" t="n"/>
      <c r="E704" s="5">
        <f>IF(D704="","",IFERROR(VLOOKUP(D704,'Items'!$A$2:$L$201,2,FALSE),"Item not found"))</f>
        <v/>
      </c>
      <c r="F704" s="9" t="n"/>
      <c r="G704" s="4" t="n"/>
      <c r="H704" s="10">
        <f>IF(OR(F704="",G704=""),"",IFERROR(F704*VLOOKUP(G704,'Units'!$A$2:$D$13,4,FALSE),""))</f>
        <v/>
      </c>
      <c r="I704" s="5">
        <f>IF(D704="","",IFERROR(VLOOKUP(D704,'Items'!$A$2:$L$201,4,FALSE),""))</f>
        <v/>
      </c>
      <c r="J704" s="10">
        <f>IF(D704="","",IFERROR(VLOOKUP(D704,'Items'!$A$2:$L$201,10,FALSE),""))</f>
        <v/>
      </c>
      <c r="K704" s="10">
        <f>IF(OR(H704="",J704=""),"",H704*J704)</f>
        <v/>
      </c>
      <c r="L704" s="5">
        <f>IF(AND(B704="",D704=""),"",IF(B704="","Missing product",IF(D704="","Missing item",IF(C704="Product not found","Product not found",IF(E704="Item not found","Item not found",IF(OR(F704="",G704=""),"Missing quantity/unit",IF(IFERROR(VLOOKUP(G704,'Units'!$A$2:$D$13,3,FALSE),"")&lt;&gt;I704,"Unit mismatch",IF(J704="","Enter item cost","OK"))))))))</f>
        <v/>
      </c>
      <c r="M704" s="4" t="n"/>
    </row>
    <row r="705">
      <c r="A705" s="5">
        <f>IF(AND(B705="",D705=""),"",ROW()-1)</f>
        <v/>
      </c>
      <c r="B705" s="4" t="n"/>
      <c r="C705" s="5">
        <f>IF(B705="","",IFERROR(VLOOKUP(B705,'Products'!$A$2:$F$201,2,FALSE),"Product not found"))</f>
        <v/>
      </c>
      <c r="D705" s="4" t="n"/>
      <c r="E705" s="5">
        <f>IF(D705="","",IFERROR(VLOOKUP(D705,'Items'!$A$2:$L$201,2,FALSE),"Item not found"))</f>
        <v/>
      </c>
      <c r="F705" s="9" t="n"/>
      <c r="G705" s="4" t="n"/>
      <c r="H705" s="10">
        <f>IF(OR(F705="",G705=""),"",IFERROR(F705*VLOOKUP(G705,'Units'!$A$2:$D$13,4,FALSE),""))</f>
        <v/>
      </c>
      <c r="I705" s="5">
        <f>IF(D705="","",IFERROR(VLOOKUP(D705,'Items'!$A$2:$L$201,4,FALSE),""))</f>
        <v/>
      </c>
      <c r="J705" s="10">
        <f>IF(D705="","",IFERROR(VLOOKUP(D705,'Items'!$A$2:$L$201,10,FALSE),""))</f>
        <v/>
      </c>
      <c r="K705" s="10">
        <f>IF(OR(H705="",J705=""),"",H705*J705)</f>
        <v/>
      </c>
      <c r="L705" s="5">
        <f>IF(AND(B705="",D705=""),"",IF(B705="","Missing product",IF(D705="","Missing item",IF(C705="Product not found","Product not found",IF(E705="Item not found","Item not found",IF(OR(F705="",G705=""),"Missing quantity/unit",IF(IFERROR(VLOOKUP(G705,'Units'!$A$2:$D$13,3,FALSE),"")&lt;&gt;I705,"Unit mismatch",IF(J705="","Enter item cost","OK"))))))))</f>
        <v/>
      </c>
      <c r="M705" s="4" t="n"/>
    </row>
    <row r="706">
      <c r="A706" s="5">
        <f>IF(AND(B706="",D706=""),"",ROW()-1)</f>
        <v/>
      </c>
      <c r="B706" s="4" t="n"/>
      <c r="C706" s="5">
        <f>IF(B706="","",IFERROR(VLOOKUP(B706,'Products'!$A$2:$F$201,2,FALSE),"Product not found"))</f>
        <v/>
      </c>
      <c r="D706" s="4" t="n"/>
      <c r="E706" s="5">
        <f>IF(D706="","",IFERROR(VLOOKUP(D706,'Items'!$A$2:$L$201,2,FALSE),"Item not found"))</f>
        <v/>
      </c>
      <c r="F706" s="9" t="n"/>
      <c r="G706" s="4" t="n"/>
      <c r="H706" s="10">
        <f>IF(OR(F706="",G706=""),"",IFERROR(F706*VLOOKUP(G706,'Units'!$A$2:$D$13,4,FALSE),""))</f>
        <v/>
      </c>
      <c r="I706" s="5">
        <f>IF(D706="","",IFERROR(VLOOKUP(D706,'Items'!$A$2:$L$201,4,FALSE),""))</f>
        <v/>
      </c>
      <c r="J706" s="10">
        <f>IF(D706="","",IFERROR(VLOOKUP(D706,'Items'!$A$2:$L$201,10,FALSE),""))</f>
        <v/>
      </c>
      <c r="K706" s="10">
        <f>IF(OR(H706="",J706=""),"",H706*J706)</f>
        <v/>
      </c>
      <c r="L706" s="5">
        <f>IF(AND(B706="",D706=""),"",IF(B706="","Missing product",IF(D706="","Missing item",IF(C706="Product not found","Product not found",IF(E706="Item not found","Item not found",IF(OR(F706="",G706=""),"Missing quantity/unit",IF(IFERROR(VLOOKUP(G706,'Units'!$A$2:$D$13,3,FALSE),"")&lt;&gt;I706,"Unit mismatch",IF(J706="","Enter item cost","OK"))))))))</f>
        <v/>
      </c>
      <c r="M706" s="4" t="n"/>
    </row>
    <row r="707">
      <c r="A707" s="5">
        <f>IF(AND(B707="",D707=""),"",ROW()-1)</f>
        <v/>
      </c>
      <c r="B707" s="4" t="n"/>
      <c r="C707" s="5">
        <f>IF(B707="","",IFERROR(VLOOKUP(B707,'Products'!$A$2:$F$201,2,FALSE),"Product not found"))</f>
        <v/>
      </c>
      <c r="D707" s="4" t="n"/>
      <c r="E707" s="5">
        <f>IF(D707="","",IFERROR(VLOOKUP(D707,'Items'!$A$2:$L$201,2,FALSE),"Item not found"))</f>
        <v/>
      </c>
      <c r="F707" s="9" t="n"/>
      <c r="G707" s="4" t="n"/>
      <c r="H707" s="10">
        <f>IF(OR(F707="",G707=""),"",IFERROR(F707*VLOOKUP(G707,'Units'!$A$2:$D$13,4,FALSE),""))</f>
        <v/>
      </c>
      <c r="I707" s="5">
        <f>IF(D707="","",IFERROR(VLOOKUP(D707,'Items'!$A$2:$L$201,4,FALSE),""))</f>
        <v/>
      </c>
      <c r="J707" s="10">
        <f>IF(D707="","",IFERROR(VLOOKUP(D707,'Items'!$A$2:$L$201,10,FALSE),""))</f>
        <v/>
      </c>
      <c r="K707" s="10">
        <f>IF(OR(H707="",J707=""),"",H707*J707)</f>
        <v/>
      </c>
      <c r="L707" s="5">
        <f>IF(AND(B707="",D707=""),"",IF(B707="","Missing product",IF(D707="","Missing item",IF(C707="Product not found","Product not found",IF(E707="Item not found","Item not found",IF(OR(F707="",G707=""),"Missing quantity/unit",IF(IFERROR(VLOOKUP(G707,'Units'!$A$2:$D$13,3,FALSE),"")&lt;&gt;I707,"Unit mismatch",IF(J707="","Enter item cost","OK"))))))))</f>
        <v/>
      </c>
      <c r="M707" s="4" t="n"/>
    </row>
    <row r="708">
      <c r="A708" s="5">
        <f>IF(AND(B708="",D708=""),"",ROW()-1)</f>
        <v/>
      </c>
      <c r="B708" s="4" t="n"/>
      <c r="C708" s="5">
        <f>IF(B708="","",IFERROR(VLOOKUP(B708,'Products'!$A$2:$F$201,2,FALSE),"Product not found"))</f>
        <v/>
      </c>
      <c r="D708" s="4" t="n"/>
      <c r="E708" s="5">
        <f>IF(D708="","",IFERROR(VLOOKUP(D708,'Items'!$A$2:$L$201,2,FALSE),"Item not found"))</f>
        <v/>
      </c>
      <c r="F708" s="9" t="n"/>
      <c r="G708" s="4" t="n"/>
      <c r="H708" s="10">
        <f>IF(OR(F708="",G708=""),"",IFERROR(F708*VLOOKUP(G708,'Units'!$A$2:$D$13,4,FALSE),""))</f>
        <v/>
      </c>
      <c r="I708" s="5">
        <f>IF(D708="","",IFERROR(VLOOKUP(D708,'Items'!$A$2:$L$201,4,FALSE),""))</f>
        <v/>
      </c>
      <c r="J708" s="10">
        <f>IF(D708="","",IFERROR(VLOOKUP(D708,'Items'!$A$2:$L$201,10,FALSE),""))</f>
        <v/>
      </c>
      <c r="K708" s="10">
        <f>IF(OR(H708="",J708=""),"",H708*J708)</f>
        <v/>
      </c>
      <c r="L708" s="5">
        <f>IF(AND(B708="",D708=""),"",IF(B708="","Missing product",IF(D708="","Missing item",IF(C708="Product not found","Product not found",IF(E708="Item not found","Item not found",IF(OR(F708="",G708=""),"Missing quantity/unit",IF(IFERROR(VLOOKUP(G708,'Units'!$A$2:$D$13,3,FALSE),"")&lt;&gt;I708,"Unit mismatch",IF(J708="","Enter item cost","OK"))))))))</f>
        <v/>
      </c>
      <c r="M708" s="4" t="n"/>
    </row>
    <row r="709">
      <c r="A709" s="5">
        <f>IF(AND(B709="",D709=""),"",ROW()-1)</f>
        <v/>
      </c>
      <c r="B709" s="4" t="n"/>
      <c r="C709" s="5">
        <f>IF(B709="","",IFERROR(VLOOKUP(B709,'Products'!$A$2:$F$201,2,FALSE),"Product not found"))</f>
        <v/>
      </c>
      <c r="D709" s="4" t="n"/>
      <c r="E709" s="5">
        <f>IF(D709="","",IFERROR(VLOOKUP(D709,'Items'!$A$2:$L$201,2,FALSE),"Item not found"))</f>
        <v/>
      </c>
      <c r="F709" s="9" t="n"/>
      <c r="G709" s="4" t="n"/>
      <c r="H709" s="10">
        <f>IF(OR(F709="",G709=""),"",IFERROR(F709*VLOOKUP(G709,'Units'!$A$2:$D$13,4,FALSE),""))</f>
        <v/>
      </c>
      <c r="I709" s="5">
        <f>IF(D709="","",IFERROR(VLOOKUP(D709,'Items'!$A$2:$L$201,4,FALSE),""))</f>
        <v/>
      </c>
      <c r="J709" s="10">
        <f>IF(D709="","",IFERROR(VLOOKUP(D709,'Items'!$A$2:$L$201,10,FALSE),""))</f>
        <v/>
      </c>
      <c r="K709" s="10">
        <f>IF(OR(H709="",J709=""),"",H709*J709)</f>
        <v/>
      </c>
      <c r="L709" s="5">
        <f>IF(AND(B709="",D709=""),"",IF(B709="","Missing product",IF(D709="","Missing item",IF(C709="Product not found","Product not found",IF(E709="Item not found","Item not found",IF(OR(F709="",G709=""),"Missing quantity/unit",IF(IFERROR(VLOOKUP(G709,'Units'!$A$2:$D$13,3,FALSE),"")&lt;&gt;I709,"Unit mismatch",IF(J709="","Enter item cost","OK"))))))))</f>
        <v/>
      </c>
      <c r="M709" s="4" t="n"/>
    </row>
    <row r="710">
      <c r="A710" s="5">
        <f>IF(AND(B710="",D710=""),"",ROW()-1)</f>
        <v/>
      </c>
      <c r="B710" s="4" t="n"/>
      <c r="C710" s="5">
        <f>IF(B710="","",IFERROR(VLOOKUP(B710,'Products'!$A$2:$F$201,2,FALSE),"Product not found"))</f>
        <v/>
      </c>
      <c r="D710" s="4" t="n"/>
      <c r="E710" s="5">
        <f>IF(D710="","",IFERROR(VLOOKUP(D710,'Items'!$A$2:$L$201,2,FALSE),"Item not found"))</f>
        <v/>
      </c>
      <c r="F710" s="9" t="n"/>
      <c r="G710" s="4" t="n"/>
      <c r="H710" s="10">
        <f>IF(OR(F710="",G710=""),"",IFERROR(F710*VLOOKUP(G710,'Units'!$A$2:$D$13,4,FALSE),""))</f>
        <v/>
      </c>
      <c r="I710" s="5">
        <f>IF(D710="","",IFERROR(VLOOKUP(D710,'Items'!$A$2:$L$201,4,FALSE),""))</f>
        <v/>
      </c>
      <c r="J710" s="10">
        <f>IF(D710="","",IFERROR(VLOOKUP(D710,'Items'!$A$2:$L$201,10,FALSE),""))</f>
        <v/>
      </c>
      <c r="K710" s="10">
        <f>IF(OR(H710="",J710=""),"",H710*J710)</f>
        <v/>
      </c>
      <c r="L710" s="5">
        <f>IF(AND(B710="",D710=""),"",IF(B710="","Missing product",IF(D710="","Missing item",IF(C710="Product not found","Product not found",IF(E710="Item not found","Item not found",IF(OR(F710="",G710=""),"Missing quantity/unit",IF(IFERROR(VLOOKUP(G710,'Units'!$A$2:$D$13,3,FALSE),"")&lt;&gt;I710,"Unit mismatch",IF(J710="","Enter item cost","OK"))))))))</f>
        <v/>
      </c>
      <c r="M710" s="4" t="n"/>
    </row>
    <row r="711">
      <c r="A711" s="5">
        <f>IF(AND(B711="",D711=""),"",ROW()-1)</f>
        <v/>
      </c>
      <c r="B711" s="4" t="n"/>
      <c r="C711" s="5">
        <f>IF(B711="","",IFERROR(VLOOKUP(B711,'Products'!$A$2:$F$201,2,FALSE),"Product not found"))</f>
        <v/>
      </c>
      <c r="D711" s="4" t="n"/>
      <c r="E711" s="5">
        <f>IF(D711="","",IFERROR(VLOOKUP(D711,'Items'!$A$2:$L$201,2,FALSE),"Item not found"))</f>
        <v/>
      </c>
      <c r="F711" s="9" t="n"/>
      <c r="G711" s="4" t="n"/>
      <c r="H711" s="10">
        <f>IF(OR(F711="",G711=""),"",IFERROR(F711*VLOOKUP(G711,'Units'!$A$2:$D$13,4,FALSE),""))</f>
        <v/>
      </c>
      <c r="I711" s="5">
        <f>IF(D711="","",IFERROR(VLOOKUP(D711,'Items'!$A$2:$L$201,4,FALSE),""))</f>
        <v/>
      </c>
      <c r="J711" s="10">
        <f>IF(D711="","",IFERROR(VLOOKUP(D711,'Items'!$A$2:$L$201,10,FALSE),""))</f>
        <v/>
      </c>
      <c r="K711" s="10">
        <f>IF(OR(H711="",J711=""),"",H711*J711)</f>
        <v/>
      </c>
      <c r="L711" s="5">
        <f>IF(AND(B711="",D711=""),"",IF(B711="","Missing product",IF(D711="","Missing item",IF(C711="Product not found","Product not found",IF(E711="Item not found","Item not found",IF(OR(F711="",G711=""),"Missing quantity/unit",IF(IFERROR(VLOOKUP(G711,'Units'!$A$2:$D$13,3,FALSE),"")&lt;&gt;I711,"Unit mismatch",IF(J711="","Enter item cost","OK"))))))))</f>
        <v/>
      </c>
      <c r="M711" s="4" t="n"/>
    </row>
    <row r="712">
      <c r="A712" s="5">
        <f>IF(AND(B712="",D712=""),"",ROW()-1)</f>
        <v/>
      </c>
      <c r="B712" s="4" t="n"/>
      <c r="C712" s="5">
        <f>IF(B712="","",IFERROR(VLOOKUP(B712,'Products'!$A$2:$F$201,2,FALSE),"Product not found"))</f>
        <v/>
      </c>
      <c r="D712" s="4" t="n"/>
      <c r="E712" s="5">
        <f>IF(D712="","",IFERROR(VLOOKUP(D712,'Items'!$A$2:$L$201,2,FALSE),"Item not found"))</f>
        <v/>
      </c>
      <c r="F712" s="9" t="n"/>
      <c r="G712" s="4" t="n"/>
      <c r="H712" s="10">
        <f>IF(OR(F712="",G712=""),"",IFERROR(F712*VLOOKUP(G712,'Units'!$A$2:$D$13,4,FALSE),""))</f>
        <v/>
      </c>
      <c r="I712" s="5">
        <f>IF(D712="","",IFERROR(VLOOKUP(D712,'Items'!$A$2:$L$201,4,FALSE),""))</f>
        <v/>
      </c>
      <c r="J712" s="10">
        <f>IF(D712="","",IFERROR(VLOOKUP(D712,'Items'!$A$2:$L$201,10,FALSE),""))</f>
        <v/>
      </c>
      <c r="K712" s="10">
        <f>IF(OR(H712="",J712=""),"",H712*J712)</f>
        <v/>
      </c>
      <c r="L712" s="5">
        <f>IF(AND(B712="",D712=""),"",IF(B712="","Missing product",IF(D712="","Missing item",IF(C712="Product not found","Product not found",IF(E712="Item not found","Item not found",IF(OR(F712="",G712=""),"Missing quantity/unit",IF(IFERROR(VLOOKUP(G712,'Units'!$A$2:$D$13,3,FALSE),"")&lt;&gt;I712,"Unit mismatch",IF(J712="","Enter item cost","OK"))))))))</f>
        <v/>
      </c>
      <c r="M712" s="4" t="n"/>
    </row>
    <row r="713">
      <c r="A713" s="5">
        <f>IF(AND(B713="",D713=""),"",ROW()-1)</f>
        <v/>
      </c>
      <c r="B713" s="4" t="n"/>
      <c r="C713" s="5">
        <f>IF(B713="","",IFERROR(VLOOKUP(B713,'Products'!$A$2:$F$201,2,FALSE),"Product not found"))</f>
        <v/>
      </c>
      <c r="D713" s="4" t="n"/>
      <c r="E713" s="5">
        <f>IF(D713="","",IFERROR(VLOOKUP(D713,'Items'!$A$2:$L$201,2,FALSE),"Item not found"))</f>
        <v/>
      </c>
      <c r="F713" s="9" t="n"/>
      <c r="G713" s="4" t="n"/>
      <c r="H713" s="10">
        <f>IF(OR(F713="",G713=""),"",IFERROR(F713*VLOOKUP(G713,'Units'!$A$2:$D$13,4,FALSE),""))</f>
        <v/>
      </c>
      <c r="I713" s="5">
        <f>IF(D713="","",IFERROR(VLOOKUP(D713,'Items'!$A$2:$L$201,4,FALSE),""))</f>
        <v/>
      </c>
      <c r="J713" s="10">
        <f>IF(D713="","",IFERROR(VLOOKUP(D713,'Items'!$A$2:$L$201,10,FALSE),""))</f>
        <v/>
      </c>
      <c r="K713" s="10">
        <f>IF(OR(H713="",J713=""),"",H713*J713)</f>
        <v/>
      </c>
      <c r="L713" s="5">
        <f>IF(AND(B713="",D713=""),"",IF(B713="","Missing product",IF(D713="","Missing item",IF(C713="Product not found","Product not found",IF(E713="Item not found","Item not found",IF(OR(F713="",G713=""),"Missing quantity/unit",IF(IFERROR(VLOOKUP(G713,'Units'!$A$2:$D$13,3,FALSE),"")&lt;&gt;I713,"Unit mismatch",IF(J713="","Enter item cost","OK"))))))))</f>
        <v/>
      </c>
      <c r="M713" s="4" t="n"/>
    </row>
    <row r="714">
      <c r="A714" s="5">
        <f>IF(AND(B714="",D714=""),"",ROW()-1)</f>
        <v/>
      </c>
      <c r="B714" s="4" t="n"/>
      <c r="C714" s="5">
        <f>IF(B714="","",IFERROR(VLOOKUP(B714,'Products'!$A$2:$F$201,2,FALSE),"Product not found"))</f>
        <v/>
      </c>
      <c r="D714" s="4" t="n"/>
      <c r="E714" s="5">
        <f>IF(D714="","",IFERROR(VLOOKUP(D714,'Items'!$A$2:$L$201,2,FALSE),"Item not found"))</f>
        <v/>
      </c>
      <c r="F714" s="9" t="n"/>
      <c r="G714" s="4" t="n"/>
      <c r="H714" s="10">
        <f>IF(OR(F714="",G714=""),"",IFERROR(F714*VLOOKUP(G714,'Units'!$A$2:$D$13,4,FALSE),""))</f>
        <v/>
      </c>
      <c r="I714" s="5">
        <f>IF(D714="","",IFERROR(VLOOKUP(D714,'Items'!$A$2:$L$201,4,FALSE),""))</f>
        <v/>
      </c>
      <c r="J714" s="10">
        <f>IF(D714="","",IFERROR(VLOOKUP(D714,'Items'!$A$2:$L$201,10,FALSE),""))</f>
        <v/>
      </c>
      <c r="K714" s="10">
        <f>IF(OR(H714="",J714=""),"",H714*J714)</f>
        <v/>
      </c>
      <c r="L714" s="5">
        <f>IF(AND(B714="",D714=""),"",IF(B714="","Missing product",IF(D714="","Missing item",IF(C714="Product not found","Product not found",IF(E714="Item not found","Item not found",IF(OR(F714="",G714=""),"Missing quantity/unit",IF(IFERROR(VLOOKUP(G714,'Units'!$A$2:$D$13,3,FALSE),"")&lt;&gt;I714,"Unit mismatch",IF(J714="","Enter item cost","OK"))))))))</f>
        <v/>
      </c>
      <c r="M714" s="4" t="n"/>
    </row>
    <row r="715">
      <c r="A715" s="5">
        <f>IF(AND(B715="",D715=""),"",ROW()-1)</f>
        <v/>
      </c>
      <c r="B715" s="4" t="n"/>
      <c r="C715" s="5">
        <f>IF(B715="","",IFERROR(VLOOKUP(B715,'Products'!$A$2:$F$201,2,FALSE),"Product not found"))</f>
        <v/>
      </c>
      <c r="D715" s="4" t="n"/>
      <c r="E715" s="5">
        <f>IF(D715="","",IFERROR(VLOOKUP(D715,'Items'!$A$2:$L$201,2,FALSE),"Item not found"))</f>
        <v/>
      </c>
      <c r="F715" s="9" t="n"/>
      <c r="G715" s="4" t="n"/>
      <c r="H715" s="10">
        <f>IF(OR(F715="",G715=""),"",IFERROR(F715*VLOOKUP(G715,'Units'!$A$2:$D$13,4,FALSE),""))</f>
        <v/>
      </c>
      <c r="I715" s="5">
        <f>IF(D715="","",IFERROR(VLOOKUP(D715,'Items'!$A$2:$L$201,4,FALSE),""))</f>
        <v/>
      </c>
      <c r="J715" s="10">
        <f>IF(D715="","",IFERROR(VLOOKUP(D715,'Items'!$A$2:$L$201,10,FALSE),""))</f>
        <v/>
      </c>
      <c r="K715" s="10">
        <f>IF(OR(H715="",J715=""),"",H715*J715)</f>
        <v/>
      </c>
      <c r="L715" s="5">
        <f>IF(AND(B715="",D715=""),"",IF(B715="","Missing product",IF(D715="","Missing item",IF(C715="Product not found","Product not found",IF(E715="Item not found","Item not found",IF(OR(F715="",G715=""),"Missing quantity/unit",IF(IFERROR(VLOOKUP(G715,'Units'!$A$2:$D$13,3,FALSE),"")&lt;&gt;I715,"Unit mismatch",IF(J715="","Enter item cost","OK"))))))))</f>
        <v/>
      </c>
      <c r="M715" s="4" t="n"/>
    </row>
    <row r="716">
      <c r="A716" s="5">
        <f>IF(AND(B716="",D716=""),"",ROW()-1)</f>
        <v/>
      </c>
      <c r="B716" s="4" t="n"/>
      <c r="C716" s="5">
        <f>IF(B716="","",IFERROR(VLOOKUP(B716,'Products'!$A$2:$F$201,2,FALSE),"Product not found"))</f>
        <v/>
      </c>
      <c r="D716" s="4" t="n"/>
      <c r="E716" s="5">
        <f>IF(D716="","",IFERROR(VLOOKUP(D716,'Items'!$A$2:$L$201,2,FALSE),"Item not found"))</f>
        <v/>
      </c>
      <c r="F716" s="9" t="n"/>
      <c r="G716" s="4" t="n"/>
      <c r="H716" s="10">
        <f>IF(OR(F716="",G716=""),"",IFERROR(F716*VLOOKUP(G716,'Units'!$A$2:$D$13,4,FALSE),""))</f>
        <v/>
      </c>
      <c r="I716" s="5">
        <f>IF(D716="","",IFERROR(VLOOKUP(D716,'Items'!$A$2:$L$201,4,FALSE),""))</f>
        <v/>
      </c>
      <c r="J716" s="10">
        <f>IF(D716="","",IFERROR(VLOOKUP(D716,'Items'!$A$2:$L$201,10,FALSE),""))</f>
        <v/>
      </c>
      <c r="K716" s="10">
        <f>IF(OR(H716="",J716=""),"",H716*J716)</f>
        <v/>
      </c>
      <c r="L716" s="5">
        <f>IF(AND(B716="",D716=""),"",IF(B716="","Missing product",IF(D716="","Missing item",IF(C716="Product not found","Product not found",IF(E716="Item not found","Item not found",IF(OR(F716="",G716=""),"Missing quantity/unit",IF(IFERROR(VLOOKUP(G716,'Units'!$A$2:$D$13,3,FALSE),"")&lt;&gt;I716,"Unit mismatch",IF(J716="","Enter item cost","OK"))))))))</f>
        <v/>
      </c>
      <c r="M716" s="4" t="n"/>
    </row>
    <row r="717">
      <c r="A717" s="5">
        <f>IF(AND(B717="",D717=""),"",ROW()-1)</f>
        <v/>
      </c>
      <c r="B717" s="4" t="n"/>
      <c r="C717" s="5">
        <f>IF(B717="","",IFERROR(VLOOKUP(B717,'Products'!$A$2:$F$201,2,FALSE),"Product not found"))</f>
        <v/>
      </c>
      <c r="D717" s="4" t="n"/>
      <c r="E717" s="5">
        <f>IF(D717="","",IFERROR(VLOOKUP(D717,'Items'!$A$2:$L$201,2,FALSE),"Item not found"))</f>
        <v/>
      </c>
      <c r="F717" s="9" t="n"/>
      <c r="G717" s="4" t="n"/>
      <c r="H717" s="10">
        <f>IF(OR(F717="",G717=""),"",IFERROR(F717*VLOOKUP(G717,'Units'!$A$2:$D$13,4,FALSE),""))</f>
        <v/>
      </c>
      <c r="I717" s="5">
        <f>IF(D717="","",IFERROR(VLOOKUP(D717,'Items'!$A$2:$L$201,4,FALSE),""))</f>
        <v/>
      </c>
      <c r="J717" s="10">
        <f>IF(D717="","",IFERROR(VLOOKUP(D717,'Items'!$A$2:$L$201,10,FALSE),""))</f>
        <v/>
      </c>
      <c r="K717" s="10">
        <f>IF(OR(H717="",J717=""),"",H717*J717)</f>
        <v/>
      </c>
      <c r="L717" s="5">
        <f>IF(AND(B717="",D717=""),"",IF(B717="","Missing product",IF(D717="","Missing item",IF(C717="Product not found","Product not found",IF(E717="Item not found","Item not found",IF(OR(F717="",G717=""),"Missing quantity/unit",IF(IFERROR(VLOOKUP(G717,'Units'!$A$2:$D$13,3,FALSE),"")&lt;&gt;I717,"Unit mismatch",IF(J717="","Enter item cost","OK"))))))))</f>
        <v/>
      </c>
      <c r="M717" s="4" t="n"/>
    </row>
    <row r="718">
      <c r="A718" s="5">
        <f>IF(AND(B718="",D718=""),"",ROW()-1)</f>
        <v/>
      </c>
      <c r="B718" s="4" t="n"/>
      <c r="C718" s="5">
        <f>IF(B718="","",IFERROR(VLOOKUP(B718,'Products'!$A$2:$F$201,2,FALSE),"Product not found"))</f>
        <v/>
      </c>
      <c r="D718" s="4" t="n"/>
      <c r="E718" s="5">
        <f>IF(D718="","",IFERROR(VLOOKUP(D718,'Items'!$A$2:$L$201,2,FALSE),"Item not found"))</f>
        <v/>
      </c>
      <c r="F718" s="9" t="n"/>
      <c r="G718" s="4" t="n"/>
      <c r="H718" s="10">
        <f>IF(OR(F718="",G718=""),"",IFERROR(F718*VLOOKUP(G718,'Units'!$A$2:$D$13,4,FALSE),""))</f>
        <v/>
      </c>
      <c r="I718" s="5">
        <f>IF(D718="","",IFERROR(VLOOKUP(D718,'Items'!$A$2:$L$201,4,FALSE),""))</f>
        <v/>
      </c>
      <c r="J718" s="10">
        <f>IF(D718="","",IFERROR(VLOOKUP(D718,'Items'!$A$2:$L$201,10,FALSE),""))</f>
        <v/>
      </c>
      <c r="K718" s="10">
        <f>IF(OR(H718="",J718=""),"",H718*J718)</f>
        <v/>
      </c>
      <c r="L718" s="5">
        <f>IF(AND(B718="",D718=""),"",IF(B718="","Missing product",IF(D718="","Missing item",IF(C718="Product not found","Product not found",IF(E718="Item not found","Item not found",IF(OR(F718="",G718=""),"Missing quantity/unit",IF(IFERROR(VLOOKUP(G718,'Units'!$A$2:$D$13,3,FALSE),"")&lt;&gt;I718,"Unit mismatch",IF(J718="","Enter item cost","OK"))))))))</f>
        <v/>
      </c>
      <c r="M718" s="4" t="n"/>
    </row>
    <row r="719">
      <c r="A719" s="5">
        <f>IF(AND(B719="",D719=""),"",ROW()-1)</f>
        <v/>
      </c>
      <c r="B719" s="4" t="n"/>
      <c r="C719" s="5">
        <f>IF(B719="","",IFERROR(VLOOKUP(B719,'Products'!$A$2:$F$201,2,FALSE),"Product not found"))</f>
        <v/>
      </c>
      <c r="D719" s="4" t="n"/>
      <c r="E719" s="5">
        <f>IF(D719="","",IFERROR(VLOOKUP(D719,'Items'!$A$2:$L$201,2,FALSE),"Item not found"))</f>
        <v/>
      </c>
      <c r="F719" s="9" t="n"/>
      <c r="G719" s="4" t="n"/>
      <c r="H719" s="10">
        <f>IF(OR(F719="",G719=""),"",IFERROR(F719*VLOOKUP(G719,'Units'!$A$2:$D$13,4,FALSE),""))</f>
        <v/>
      </c>
      <c r="I719" s="5">
        <f>IF(D719="","",IFERROR(VLOOKUP(D719,'Items'!$A$2:$L$201,4,FALSE),""))</f>
        <v/>
      </c>
      <c r="J719" s="10">
        <f>IF(D719="","",IFERROR(VLOOKUP(D719,'Items'!$A$2:$L$201,10,FALSE),""))</f>
        <v/>
      </c>
      <c r="K719" s="10">
        <f>IF(OR(H719="",J719=""),"",H719*J719)</f>
        <v/>
      </c>
      <c r="L719" s="5">
        <f>IF(AND(B719="",D719=""),"",IF(B719="","Missing product",IF(D719="","Missing item",IF(C719="Product not found","Product not found",IF(E719="Item not found","Item not found",IF(OR(F719="",G719=""),"Missing quantity/unit",IF(IFERROR(VLOOKUP(G719,'Units'!$A$2:$D$13,3,FALSE),"")&lt;&gt;I719,"Unit mismatch",IF(J719="","Enter item cost","OK"))))))))</f>
        <v/>
      </c>
      <c r="M719" s="4" t="n"/>
    </row>
    <row r="720">
      <c r="A720" s="5">
        <f>IF(AND(B720="",D720=""),"",ROW()-1)</f>
        <v/>
      </c>
      <c r="B720" s="4" t="n"/>
      <c r="C720" s="5">
        <f>IF(B720="","",IFERROR(VLOOKUP(B720,'Products'!$A$2:$F$201,2,FALSE),"Product not found"))</f>
        <v/>
      </c>
      <c r="D720" s="4" t="n"/>
      <c r="E720" s="5">
        <f>IF(D720="","",IFERROR(VLOOKUP(D720,'Items'!$A$2:$L$201,2,FALSE),"Item not found"))</f>
        <v/>
      </c>
      <c r="F720" s="9" t="n"/>
      <c r="G720" s="4" t="n"/>
      <c r="H720" s="10">
        <f>IF(OR(F720="",G720=""),"",IFERROR(F720*VLOOKUP(G720,'Units'!$A$2:$D$13,4,FALSE),""))</f>
        <v/>
      </c>
      <c r="I720" s="5">
        <f>IF(D720="","",IFERROR(VLOOKUP(D720,'Items'!$A$2:$L$201,4,FALSE),""))</f>
        <v/>
      </c>
      <c r="J720" s="10">
        <f>IF(D720="","",IFERROR(VLOOKUP(D720,'Items'!$A$2:$L$201,10,FALSE),""))</f>
        <v/>
      </c>
      <c r="K720" s="10">
        <f>IF(OR(H720="",J720=""),"",H720*J720)</f>
        <v/>
      </c>
      <c r="L720" s="5">
        <f>IF(AND(B720="",D720=""),"",IF(B720="","Missing product",IF(D720="","Missing item",IF(C720="Product not found","Product not found",IF(E720="Item not found","Item not found",IF(OR(F720="",G720=""),"Missing quantity/unit",IF(IFERROR(VLOOKUP(G720,'Units'!$A$2:$D$13,3,FALSE),"")&lt;&gt;I720,"Unit mismatch",IF(J720="","Enter item cost","OK"))))))))</f>
        <v/>
      </c>
      <c r="M720" s="4" t="n"/>
    </row>
    <row r="721">
      <c r="A721" s="5">
        <f>IF(AND(B721="",D721=""),"",ROW()-1)</f>
        <v/>
      </c>
      <c r="B721" s="4" t="n"/>
      <c r="C721" s="5">
        <f>IF(B721="","",IFERROR(VLOOKUP(B721,'Products'!$A$2:$F$201,2,FALSE),"Product not found"))</f>
        <v/>
      </c>
      <c r="D721" s="4" t="n"/>
      <c r="E721" s="5">
        <f>IF(D721="","",IFERROR(VLOOKUP(D721,'Items'!$A$2:$L$201,2,FALSE),"Item not found"))</f>
        <v/>
      </c>
      <c r="F721" s="9" t="n"/>
      <c r="G721" s="4" t="n"/>
      <c r="H721" s="10">
        <f>IF(OR(F721="",G721=""),"",IFERROR(F721*VLOOKUP(G721,'Units'!$A$2:$D$13,4,FALSE),""))</f>
        <v/>
      </c>
      <c r="I721" s="5">
        <f>IF(D721="","",IFERROR(VLOOKUP(D721,'Items'!$A$2:$L$201,4,FALSE),""))</f>
        <v/>
      </c>
      <c r="J721" s="10">
        <f>IF(D721="","",IFERROR(VLOOKUP(D721,'Items'!$A$2:$L$201,10,FALSE),""))</f>
        <v/>
      </c>
      <c r="K721" s="10">
        <f>IF(OR(H721="",J721=""),"",H721*J721)</f>
        <v/>
      </c>
      <c r="L721" s="5">
        <f>IF(AND(B721="",D721=""),"",IF(B721="","Missing product",IF(D721="","Missing item",IF(C721="Product not found","Product not found",IF(E721="Item not found","Item not found",IF(OR(F721="",G721=""),"Missing quantity/unit",IF(IFERROR(VLOOKUP(G721,'Units'!$A$2:$D$13,3,FALSE),"")&lt;&gt;I721,"Unit mismatch",IF(J721="","Enter item cost","OK"))))))))</f>
        <v/>
      </c>
      <c r="M721" s="4" t="n"/>
    </row>
    <row r="722">
      <c r="A722" s="5">
        <f>IF(AND(B722="",D722=""),"",ROW()-1)</f>
        <v/>
      </c>
      <c r="B722" s="4" t="n"/>
      <c r="C722" s="5">
        <f>IF(B722="","",IFERROR(VLOOKUP(B722,'Products'!$A$2:$F$201,2,FALSE),"Product not found"))</f>
        <v/>
      </c>
      <c r="D722" s="4" t="n"/>
      <c r="E722" s="5">
        <f>IF(D722="","",IFERROR(VLOOKUP(D722,'Items'!$A$2:$L$201,2,FALSE),"Item not found"))</f>
        <v/>
      </c>
      <c r="F722" s="9" t="n"/>
      <c r="G722" s="4" t="n"/>
      <c r="H722" s="10">
        <f>IF(OR(F722="",G722=""),"",IFERROR(F722*VLOOKUP(G722,'Units'!$A$2:$D$13,4,FALSE),""))</f>
        <v/>
      </c>
      <c r="I722" s="5">
        <f>IF(D722="","",IFERROR(VLOOKUP(D722,'Items'!$A$2:$L$201,4,FALSE),""))</f>
        <v/>
      </c>
      <c r="J722" s="10">
        <f>IF(D722="","",IFERROR(VLOOKUP(D722,'Items'!$A$2:$L$201,10,FALSE),""))</f>
        <v/>
      </c>
      <c r="K722" s="10">
        <f>IF(OR(H722="",J722=""),"",H722*J722)</f>
        <v/>
      </c>
      <c r="L722" s="5">
        <f>IF(AND(B722="",D722=""),"",IF(B722="","Missing product",IF(D722="","Missing item",IF(C722="Product not found","Product not found",IF(E722="Item not found","Item not found",IF(OR(F722="",G722=""),"Missing quantity/unit",IF(IFERROR(VLOOKUP(G722,'Units'!$A$2:$D$13,3,FALSE),"")&lt;&gt;I722,"Unit mismatch",IF(J722="","Enter item cost","OK"))))))))</f>
        <v/>
      </c>
      <c r="M722" s="4" t="n"/>
    </row>
    <row r="723">
      <c r="A723" s="5">
        <f>IF(AND(B723="",D723=""),"",ROW()-1)</f>
        <v/>
      </c>
      <c r="B723" s="4" t="n"/>
      <c r="C723" s="5">
        <f>IF(B723="","",IFERROR(VLOOKUP(B723,'Products'!$A$2:$F$201,2,FALSE),"Product not found"))</f>
        <v/>
      </c>
      <c r="D723" s="4" t="n"/>
      <c r="E723" s="5">
        <f>IF(D723="","",IFERROR(VLOOKUP(D723,'Items'!$A$2:$L$201,2,FALSE),"Item not found"))</f>
        <v/>
      </c>
      <c r="F723" s="9" t="n"/>
      <c r="G723" s="4" t="n"/>
      <c r="H723" s="10">
        <f>IF(OR(F723="",G723=""),"",IFERROR(F723*VLOOKUP(G723,'Units'!$A$2:$D$13,4,FALSE),""))</f>
        <v/>
      </c>
      <c r="I723" s="5">
        <f>IF(D723="","",IFERROR(VLOOKUP(D723,'Items'!$A$2:$L$201,4,FALSE),""))</f>
        <v/>
      </c>
      <c r="J723" s="10">
        <f>IF(D723="","",IFERROR(VLOOKUP(D723,'Items'!$A$2:$L$201,10,FALSE),""))</f>
        <v/>
      </c>
      <c r="K723" s="10">
        <f>IF(OR(H723="",J723=""),"",H723*J723)</f>
        <v/>
      </c>
      <c r="L723" s="5">
        <f>IF(AND(B723="",D723=""),"",IF(B723="","Missing product",IF(D723="","Missing item",IF(C723="Product not found","Product not found",IF(E723="Item not found","Item not found",IF(OR(F723="",G723=""),"Missing quantity/unit",IF(IFERROR(VLOOKUP(G723,'Units'!$A$2:$D$13,3,FALSE),"")&lt;&gt;I723,"Unit mismatch",IF(J723="","Enter item cost","OK"))))))))</f>
        <v/>
      </c>
      <c r="M723" s="4" t="n"/>
    </row>
    <row r="724">
      <c r="A724" s="5">
        <f>IF(AND(B724="",D724=""),"",ROW()-1)</f>
        <v/>
      </c>
      <c r="B724" s="4" t="n"/>
      <c r="C724" s="5">
        <f>IF(B724="","",IFERROR(VLOOKUP(B724,'Products'!$A$2:$F$201,2,FALSE),"Product not found"))</f>
        <v/>
      </c>
      <c r="D724" s="4" t="n"/>
      <c r="E724" s="5">
        <f>IF(D724="","",IFERROR(VLOOKUP(D724,'Items'!$A$2:$L$201,2,FALSE),"Item not found"))</f>
        <v/>
      </c>
      <c r="F724" s="9" t="n"/>
      <c r="G724" s="4" t="n"/>
      <c r="H724" s="10">
        <f>IF(OR(F724="",G724=""),"",IFERROR(F724*VLOOKUP(G724,'Units'!$A$2:$D$13,4,FALSE),""))</f>
        <v/>
      </c>
      <c r="I724" s="5">
        <f>IF(D724="","",IFERROR(VLOOKUP(D724,'Items'!$A$2:$L$201,4,FALSE),""))</f>
        <v/>
      </c>
      <c r="J724" s="10">
        <f>IF(D724="","",IFERROR(VLOOKUP(D724,'Items'!$A$2:$L$201,10,FALSE),""))</f>
        <v/>
      </c>
      <c r="K724" s="10">
        <f>IF(OR(H724="",J724=""),"",H724*J724)</f>
        <v/>
      </c>
      <c r="L724" s="5">
        <f>IF(AND(B724="",D724=""),"",IF(B724="","Missing product",IF(D724="","Missing item",IF(C724="Product not found","Product not found",IF(E724="Item not found","Item not found",IF(OR(F724="",G724=""),"Missing quantity/unit",IF(IFERROR(VLOOKUP(G724,'Units'!$A$2:$D$13,3,FALSE),"")&lt;&gt;I724,"Unit mismatch",IF(J724="","Enter item cost","OK"))))))))</f>
        <v/>
      </c>
      <c r="M724" s="4" t="n"/>
    </row>
    <row r="725">
      <c r="A725" s="5">
        <f>IF(AND(B725="",D725=""),"",ROW()-1)</f>
        <v/>
      </c>
      <c r="B725" s="4" t="n"/>
      <c r="C725" s="5">
        <f>IF(B725="","",IFERROR(VLOOKUP(B725,'Products'!$A$2:$F$201,2,FALSE),"Product not found"))</f>
        <v/>
      </c>
      <c r="D725" s="4" t="n"/>
      <c r="E725" s="5">
        <f>IF(D725="","",IFERROR(VLOOKUP(D725,'Items'!$A$2:$L$201,2,FALSE),"Item not found"))</f>
        <v/>
      </c>
      <c r="F725" s="9" t="n"/>
      <c r="G725" s="4" t="n"/>
      <c r="H725" s="10">
        <f>IF(OR(F725="",G725=""),"",IFERROR(F725*VLOOKUP(G725,'Units'!$A$2:$D$13,4,FALSE),""))</f>
        <v/>
      </c>
      <c r="I725" s="5">
        <f>IF(D725="","",IFERROR(VLOOKUP(D725,'Items'!$A$2:$L$201,4,FALSE),""))</f>
        <v/>
      </c>
      <c r="J725" s="10">
        <f>IF(D725="","",IFERROR(VLOOKUP(D725,'Items'!$A$2:$L$201,10,FALSE),""))</f>
        <v/>
      </c>
      <c r="K725" s="10">
        <f>IF(OR(H725="",J725=""),"",H725*J725)</f>
        <v/>
      </c>
      <c r="L725" s="5">
        <f>IF(AND(B725="",D725=""),"",IF(B725="","Missing product",IF(D725="","Missing item",IF(C725="Product not found","Product not found",IF(E725="Item not found","Item not found",IF(OR(F725="",G725=""),"Missing quantity/unit",IF(IFERROR(VLOOKUP(G725,'Units'!$A$2:$D$13,3,FALSE),"")&lt;&gt;I725,"Unit mismatch",IF(J725="","Enter item cost","OK"))))))))</f>
        <v/>
      </c>
      <c r="M725" s="4" t="n"/>
    </row>
    <row r="726">
      <c r="A726" s="5">
        <f>IF(AND(B726="",D726=""),"",ROW()-1)</f>
        <v/>
      </c>
      <c r="B726" s="4" t="n"/>
      <c r="C726" s="5">
        <f>IF(B726="","",IFERROR(VLOOKUP(B726,'Products'!$A$2:$F$201,2,FALSE),"Product not found"))</f>
        <v/>
      </c>
      <c r="D726" s="4" t="n"/>
      <c r="E726" s="5">
        <f>IF(D726="","",IFERROR(VLOOKUP(D726,'Items'!$A$2:$L$201,2,FALSE),"Item not found"))</f>
        <v/>
      </c>
      <c r="F726" s="9" t="n"/>
      <c r="G726" s="4" t="n"/>
      <c r="H726" s="10">
        <f>IF(OR(F726="",G726=""),"",IFERROR(F726*VLOOKUP(G726,'Units'!$A$2:$D$13,4,FALSE),""))</f>
        <v/>
      </c>
      <c r="I726" s="5">
        <f>IF(D726="","",IFERROR(VLOOKUP(D726,'Items'!$A$2:$L$201,4,FALSE),""))</f>
        <v/>
      </c>
      <c r="J726" s="10">
        <f>IF(D726="","",IFERROR(VLOOKUP(D726,'Items'!$A$2:$L$201,10,FALSE),""))</f>
        <v/>
      </c>
      <c r="K726" s="10">
        <f>IF(OR(H726="",J726=""),"",H726*J726)</f>
        <v/>
      </c>
      <c r="L726" s="5">
        <f>IF(AND(B726="",D726=""),"",IF(B726="","Missing product",IF(D726="","Missing item",IF(C726="Product not found","Product not found",IF(E726="Item not found","Item not found",IF(OR(F726="",G726=""),"Missing quantity/unit",IF(IFERROR(VLOOKUP(G726,'Units'!$A$2:$D$13,3,FALSE),"")&lt;&gt;I726,"Unit mismatch",IF(J726="","Enter item cost","OK"))))))))</f>
        <v/>
      </c>
      <c r="M726" s="4" t="n"/>
    </row>
    <row r="727">
      <c r="A727" s="5">
        <f>IF(AND(B727="",D727=""),"",ROW()-1)</f>
        <v/>
      </c>
      <c r="B727" s="4" t="n"/>
      <c r="C727" s="5">
        <f>IF(B727="","",IFERROR(VLOOKUP(B727,'Products'!$A$2:$F$201,2,FALSE),"Product not found"))</f>
        <v/>
      </c>
      <c r="D727" s="4" t="n"/>
      <c r="E727" s="5">
        <f>IF(D727="","",IFERROR(VLOOKUP(D727,'Items'!$A$2:$L$201,2,FALSE),"Item not found"))</f>
        <v/>
      </c>
      <c r="F727" s="9" t="n"/>
      <c r="G727" s="4" t="n"/>
      <c r="H727" s="10">
        <f>IF(OR(F727="",G727=""),"",IFERROR(F727*VLOOKUP(G727,'Units'!$A$2:$D$13,4,FALSE),""))</f>
        <v/>
      </c>
      <c r="I727" s="5">
        <f>IF(D727="","",IFERROR(VLOOKUP(D727,'Items'!$A$2:$L$201,4,FALSE),""))</f>
        <v/>
      </c>
      <c r="J727" s="10">
        <f>IF(D727="","",IFERROR(VLOOKUP(D727,'Items'!$A$2:$L$201,10,FALSE),""))</f>
        <v/>
      </c>
      <c r="K727" s="10">
        <f>IF(OR(H727="",J727=""),"",H727*J727)</f>
        <v/>
      </c>
      <c r="L727" s="5">
        <f>IF(AND(B727="",D727=""),"",IF(B727="","Missing product",IF(D727="","Missing item",IF(C727="Product not found","Product not found",IF(E727="Item not found","Item not found",IF(OR(F727="",G727=""),"Missing quantity/unit",IF(IFERROR(VLOOKUP(G727,'Units'!$A$2:$D$13,3,FALSE),"")&lt;&gt;I727,"Unit mismatch",IF(J727="","Enter item cost","OK"))))))))</f>
        <v/>
      </c>
      <c r="M727" s="4" t="n"/>
    </row>
    <row r="728">
      <c r="A728" s="5">
        <f>IF(AND(B728="",D728=""),"",ROW()-1)</f>
        <v/>
      </c>
      <c r="B728" s="4" t="n"/>
      <c r="C728" s="5">
        <f>IF(B728="","",IFERROR(VLOOKUP(B728,'Products'!$A$2:$F$201,2,FALSE),"Product not found"))</f>
        <v/>
      </c>
      <c r="D728" s="4" t="n"/>
      <c r="E728" s="5">
        <f>IF(D728="","",IFERROR(VLOOKUP(D728,'Items'!$A$2:$L$201,2,FALSE),"Item not found"))</f>
        <v/>
      </c>
      <c r="F728" s="9" t="n"/>
      <c r="G728" s="4" t="n"/>
      <c r="H728" s="10">
        <f>IF(OR(F728="",G728=""),"",IFERROR(F728*VLOOKUP(G728,'Units'!$A$2:$D$13,4,FALSE),""))</f>
        <v/>
      </c>
      <c r="I728" s="5">
        <f>IF(D728="","",IFERROR(VLOOKUP(D728,'Items'!$A$2:$L$201,4,FALSE),""))</f>
        <v/>
      </c>
      <c r="J728" s="10">
        <f>IF(D728="","",IFERROR(VLOOKUP(D728,'Items'!$A$2:$L$201,10,FALSE),""))</f>
        <v/>
      </c>
      <c r="K728" s="10">
        <f>IF(OR(H728="",J728=""),"",H728*J728)</f>
        <v/>
      </c>
      <c r="L728" s="5">
        <f>IF(AND(B728="",D728=""),"",IF(B728="","Missing product",IF(D728="","Missing item",IF(C728="Product not found","Product not found",IF(E728="Item not found","Item not found",IF(OR(F728="",G728=""),"Missing quantity/unit",IF(IFERROR(VLOOKUP(G728,'Units'!$A$2:$D$13,3,FALSE),"")&lt;&gt;I728,"Unit mismatch",IF(J728="","Enter item cost","OK"))))))))</f>
        <v/>
      </c>
      <c r="M728" s="4" t="n"/>
    </row>
    <row r="729">
      <c r="A729" s="5">
        <f>IF(AND(B729="",D729=""),"",ROW()-1)</f>
        <v/>
      </c>
      <c r="B729" s="4" t="n"/>
      <c r="C729" s="5">
        <f>IF(B729="","",IFERROR(VLOOKUP(B729,'Products'!$A$2:$F$201,2,FALSE),"Product not found"))</f>
        <v/>
      </c>
      <c r="D729" s="4" t="n"/>
      <c r="E729" s="5">
        <f>IF(D729="","",IFERROR(VLOOKUP(D729,'Items'!$A$2:$L$201,2,FALSE),"Item not found"))</f>
        <v/>
      </c>
      <c r="F729" s="9" t="n"/>
      <c r="G729" s="4" t="n"/>
      <c r="H729" s="10">
        <f>IF(OR(F729="",G729=""),"",IFERROR(F729*VLOOKUP(G729,'Units'!$A$2:$D$13,4,FALSE),""))</f>
        <v/>
      </c>
      <c r="I729" s="5">
        <f>IF(D729="","",IFERROR(VLOOKUP(D729,'Items'!$A$2:$L$201,4,FALSE),""))</f>
        <v/>
      </c>
      <c r="J729" s="10">
        <f>IF(D729="","",IFERROR(VLOOKUP(D729,'Items'!$A$2:$L$201,10,FALSE),""))</f>
        <v/>
      </c>
      <c r="K729" s="10">
        <f>IF(OR(H729="",J729=""),"",H729*J729)</f>
        <v/>
      </c>
      <c r="L729" s="5">
        <f>IF(AND(B729="",D729=""),"",IF(B729="","Missing product",IF(D729="","Missing item",IF(C729="Product not found","Product not found",IF(E729="Item not found","Item not found",IF(OR(F729="",G729=""),"Missing quantity/unit",IF(IFERROR(VLOOKUP(G729,'Units'!$A$2:$D$13,3,FALSE),"")&lt;&gt;I729,"Unit mismatch",IF(J729="","Enter item cost","OK"))))))))</f>
        <v/>
      </c>
      <c r="M729" s="4" t="n"/>
    </row>
    <row r="730">
      <c r="A730" s="5">
        <f>IF(AND(B730="",D730=""),"",ROW()-1)</f>
        <v/>
      </c>
      <c r="B730" s="4" t="n"/>
      <c r="C730" s="5">
        <f>IF(B730="","",IFERROR(VLOOKUP(B730,'Products'!$A$2:$F$201,2,FALSE),"Product not found"))</f>
        <v/>
      </c>
      <c r="D730" s="4" t="n"/>
      <c r="E730" s="5">
        <f>IF(D730="","",IFERROR(VLOOKUP(D730,'Items'!$A$2:$L$201,2,FALSE),"Item not found"))</f>
        <v/>
      </c>
      <c r="F730" s="9" t="n"/>
      <c r="G730" s="4" t="n"/>
      <c r="H730" s="10">
        <f>IF(OR(F730="",G730=""),"",IFERROR(F730*VLOOKUP(G730,'Units'!$A$2:$D$13,4,FALSE),""))</f>
        <v/>
      </c>
      <c r="I730" s="5">
        <f>IF(D730="","",IFERROR(VLOOKUP(D730,'Items'!$A$2:$L$201,4,FALSE),""))</f>
        <v/>
      </c>
      <c r="J730" s="10">
        <f>IF(D730="","",IFERROR(VLOOKUP(D730,'Items'!$A$2:$L$201,10,FALSE),""))</f>
        <v/>
      </c>
      <c r="K730" s="10">
        <f>IF(OR(H730="",J730=""),"",H730*J730)</f>
        <v/>
      </c>
      <c r="L730" s="5">
        <f>IF(AND(B730="",D730=""),"",IF(B730="","Missing product",IF(D730="","Missing item",IF(C730="Product not found","Product not found",IF(E730="Item not found","Item not found",IF(OR(F730="",G730=""),"Missing quantity/unit",IF(IFERROR(VLOOKUP(G730,'Units'!$A$2:$D$13,3,FALSE),"")&lt;&gt;I730,"Unit mismatch",IF(J730="","Enter item cost","OK"))))))))</f>
        <v/>
      </c>
      <c r="M730" s="4" t="n"/>
    </row>
    <row r="731">
      <c r="A731" s="5">
        <f>IF(AND(B731="",D731=""),"",ROW()-1)</f>
        <v/>
      </c>
      <c r="B731" s="4" t="n"/>
      <c r="C731" s="5">
        <f>IF(B731="","",IFERROR(VLOOKUP(B731,'Products'!$A$2:$F$201,2,FALSE),"Product not found"))</f>
        <v/>
      </c>
      <c r="D731" s="4" t="n"/>
      <c r="E731" s="5">
        <f>IF(D731="","",IFERROR(VLOOKUP(D731,'Items'!$A$2:$L$201,2,FALSE),"Item not found"))</f>
        <v/>
      </c>
      <c r="F731" s="9" t="n"/>
      <c r="G731" s="4" t="n"/>
      <c r="H731" s="10">
        <f>IF(OR(F731="",G731=""),"",IFERROR(F731*VLOOKUP(G731,'Units'!$A$2:$D$13,4,FALSE),""))</f>
        <v/>
      </c>
      <c r="I731" s="5">
        <f>IF(D731="","",IFERROR(VLOOKUP(D731,'Items'!$A$2:$L$201,4,FALSE),""))</f>
        <v/>
      </c>
      <c r="J731" s="10">
        <f>IF(D731="","",IFERROR(VLOOKUP(D731,'Items'!$A$2:$L$201,10,FALSE),""))</f>
        <v/>
      </c>
      <c r="K731" s="10">
        <f>IF(OR(H731="",J731=""),"",H731*J731)</f>
        <v/>
      </c>
      <c r="L731" s="5">
        <f>IF(AND(B731="",D731=""),"",IF(B731="","Missing product",IF(D731="","Missing item",IF(C731="Product not found","Product not found",IF(E731="Item not found","Item not found",IF(OR(F731="",G731=""),"Missing quantity/unit",IF(IFERROR(VLOOKUP(G731,'Units'!$A$2:$D$13,3,FALSE),"")&lt;&gt;I731,"Unit mismatch",IF(J731="","Enter item cost","OK"))))))))</f>
        <v/>
      </c>
      <c r="M731" s="4" t="n"/>
    </row>
    <row r="732">
      <c r="A732" s="5">
        <f>IF(AND(B732="",D732=""),"",ROW()-1)</f>
        <v/>
      </c>
      <c r="B732" s="4" t="n"/>
      <c r="C732" s="5">
        <f>IF(B732="","",IFERROR(VLOOKUP(B732,'Products'!$A$2:$F$201,2,FALSE),"Product not found"))</f>
        <v/>
      </c>
      <c r="D732" s="4" t="n"/>
      <c r="E732" s="5">
        <f>IF(D732="","",IFERROR(VLOOKUP(D732,'Items'!$A$2:$L$201,2,FALSE),"Item not found"))</f>
        <v/>
      </c>
      <c r="F732" s="9" t="n"/>
      <c r="G732" s="4" t="n"/>
      <c r="H732" s="10">
        <f>IF(OR(F732="",G732=""),"",IFERROR(F732*VLOOKUP(G732,'Units'!$A$2:$D$13,4,FALSE),""))</f>
        <v/>
      </c>
      <c r="I732" s="5">
        <f>IF(D732="","",IFERROR(VLOOKUP(D732,'Items'!$A$2:$L$201,4,FALSE),""))</f>
        <v/>
      </c>
      <c r="J732" s="10">
        <f>IF(D732="","",IFERROR(VLOOKUP(D732,'Items'!$A$2:$L$201,10,FALSE),""))</f>
        <v/>
      </c>
      <c r="K732" s="10">
        <f>IF(OR(H732="",J732=""),"",H732*J732)</f>
        <v/>
      </c>
      <c r="L732" s="5">
        <f>IF(AND(B732="",D732=""),"",IF(B732="","Missing product",IF(D732="","Missing item",IF(C732="Product not found","Product not found",IF(E732="Item not found","Item not found",IF(OR(F732="",G732=""),"Missing quantity/unit",IF(IFERROR(VLOOKUP(G732,'Units'!$A$2:$D$13,3,FALSE),"")&lt;&gt;I732,"Unit mismatch",IF(J732="","Enter item cost","OK"))))))))</f>
        <v/>
      </c>
      <c r="M732" s="4" t="n"/>
    </row>
    <row r="733">
      <c r="A733" s="5">
        <f>IF(AND(B733="",D733=""),"",ROW()-1)</f>
        <v/>
      </c>
      <c r="B733" s="4" t="n"/>
      <c r="C733" s="5">
        <f>IF(B733="","",IFERROR(VLOOKUP(B733,'Products'!$A$2:$F$201,2,FALSE),"Product not found"))</f>
        <v/>
      </c>
      <c r="D733" s="4" t="n"/>
      <c r="E733" s="5">
        <f>IF(D733="","",IFERROR(VLOOKUP(D733,'Items'!$A$2:$L$201,2,FALSE),"Item not found"))</f>
        <v/>
      </c>
      <c r="F733" s="9" t="n"/>
      <c r="G733" s="4" t="n"/>
      <c r="H733" s="10">
        <f>IF(OR(F733="",G733=""),"",IFERROR(F733*VLOOKUP(G733,'Units'!$A$2:$D$13,4,FALSE),""))</f>
        <v/>
      </c>
      <c r="I733" s="5">
        <f>IF(D733="","",IFERROR(VLOOKUP(D733,'Items'!$A$2:$L$201,4,FALSE),""))</f>
        <v/>
      </c>
      <c r="J733" s="10">
        <f>IF(D733="","",IFERROR(VLOOKUP(D733,'Items'!$A$2:$L$201,10,FALSE),""))</f>
        <v/>
      </c>
      <c r="K733" s="10">
        <f>IF(OR(H733="",J733=""),"",H733*J733)</f>
        <v/>
      </c>
      <c r="L733" s="5">
        <f>IF(AND(B733="",D733=""),"",IF(B733="","Missing product",IF(D733="","Missing item",IF(C733="Product not found","Product not found",IF(E733="Item not found","Item not found",IF(OR(F733="",G733=""),"Missing quantity/unit",IF(IFERROR(VLOOKUP(G733,'Units'!$A$2:$D$13,3,FALSE),"")&lt;&gt;I733,"Unit mismatch",IF(J733="","Enter item cost","OK"))))))))</f>
        <v/>
      </c>
      <c r="M733" s="4" t="n"/>
    </row>
    <row r="734">
      <c r="A734" s="5">
        <f>IF(AND(B734="",D734=""),"",ROW()-1)</f>
        <v/>
      </c>
      <c r="B734" s="4" t="n"/>
      <c r="C734" s="5">
        <f>IF(B734="","",IFERROR(VLOOKUP(B734,'Products'!$A$2:$F$201,2,FALSE),"Product not found"))</f>
        <v/>
      </c>
      <c r="D734" s="4" t="n"/>
      <c r="E734" s="5">
        <f>IF(D734="","",IFERROR(VLOOKUP(D734,'Items'!$A$2:$L$201,2,FALSE),"Item not found"))</f>
        <v/>
      </c>
      <c r="F734" s="9" t="n"/>
      <c r="G734" s="4" t="n"/>
      <c r="H734" s="10">
        <f>IF(OR(F734="",G734=""),"",IFERROR(F734*VLOOKUP(G734,'Units'!$A$2:$D$13,4,FALSE),""))</f>
        <v/>
      </c>
      <c r="I734" s="5">
        <f>IF(D734="","",IFERROR(VLOOKUP(D734,'Items'!$A$2:$L$201,4,FALSE),""))</f>
        <v/>
      </c>
      <c r="J734" s="10">
        <f>IF(D734="","",IFERROR(VLOOKUP(D734,'Items'!$A$2:$L$201,10,FALSE),""))</f>
        <v/>
      </c>
      <c r="K734" s="10">
        <f>IF(OR(H734="",J734=""),"",H734*J734)</f>
        <v/>
      </c>
      <c r="L734" s="5">
        <f>IF(AND(B734="",D734=""),"",IF(B734="","Missing product",IF(D734="","Missing item",IF(C734="Product not found","Product not found",IF(E734="Item not found","Item not found",IF(OR(F734="",G734=""),"Missing quantity/unit",IF(IFERROR(VLOOKUP(G734,'Units'!$A$2:$D$13,3,FALSE),"")&lt;&gt;I734,"Unit mismatch",IF(J734="","Enter item cost","OK"))))))))</f>
        <v/>
      </c>
      <c r="M734" s="4" t="n"/>
    </row>
    <row r="735">
      <c r="A735" s="5">
        <f>IF(AND(B735="",D735=""),"",ROW()-1)</f>
        <v/>
      </c>
      <c r="B735" s="4" t="n"/>
      <c r="C735" s="5">
        <f>IF(B735="","",IFERROR(VLOOKUP(B735,'Products'!$A$2:$F$201,2,FALSE),"Product not found"))</f>
        <v/>
      </c>
      <c r="D735" s="4" t="n"/>
      <c r="E735" s="5">
        <f>IF(D735="","",IFERROR(VLOOKUP(D735,'Items'!$A$2:$L$201,2,FALSE),"Item not found"))</f>
        <v/>
      </c>
      <c r="F735" s="9" t="n"/>
      <c r="G735" s="4" t="n"/>
      <c r="H735" s="10">
        <f>IF(OR(F735="",G735=""),"",IFERROR(F735*VLOOKUP(G735,'Units'!$A$2:$D$13,4,FALSE),""))</f>
        <v/>
      </c>
      <c r="I735" s="5">
        <f>IF(D735="","",IFERROR(VLOOKUP(D735,'Items'!$A$2:$L$201,4,FALSE),""))</f>
        <v/>
      </c>
      <c r="J735" s="10">
        <f>IF(D735="","",IFERROR(VLOOKUP(D735,'Items'!$A$2:$L$201,10,FALSE),""))</f>
        <v/>
      </c>
      <c r="K735" s="10">
        <f>IF(OR(H735="",J735=""),"",H735*J735)</f>
        <v/>
      </c>
      <c r="L735" s="5">
        <f>IF(AND(B735="",D735=""),"",IF(B735="","Missing product",IF(D735="","Missing item",IF(C735="Product not found","Product not found",IF(E735="Item not found","Item not found",IF(OR(F735="",G735=""),"Missing quantity/unit",IF(IFERROR(VLOOKUP(G735,'Units'!$A$2:$D$13,3,FALSE),"")&lt;&gt;I735,"Unit mismatch",IF(J735="","Enter item cost","OK"))))))))</f>
        <v/>
      </c>
      <c r="M735" s="4" t="n"/>
    </row>
    <row r="736">
      <c r="A736" s="5">
        <f>IF(AND(B736="",D736=""),"",ROW()-1)</f>
        <v/>
      </c>
      <c r="B736" s="4" t="n"/>
      <c r="C736" s="5">
        <f>IF(B736="","",IFERROR(VLOOKUP(B736,'Products'!$A$2:$F$201,2,FALSE),"Product not found"))</f>
        <v/>
      </c>
      <c r="D736" s="4" t="n"/>
      <c r="E736" s="5">
        <f>IF(D736="","",IFERROR(VLOOKUP(D736,'Items'!$A$2:$L$201,2,FALSE),"Item not found"))</f>
        <v/>
      </c>
      <c r="F736" s="9" t="n"/>
      <c r="G736" s="4" t="n"/>
      <c r="H736" s="10">
        <f>IF(OR(F736="",G736=""),"",IFERROR(F736*VLOOKUP(G736,'Units'!$A$2:$D$13,4,FALSE),""))</f>
        <v/>
      </c>
      <c r="I736" s="5">
        <f>IF(D736="","",IFERROR(VLOOKUP(D736,'Items'!$A$2:$L$201,4,FALSE),""))</f>
        <v/>
      </c>
      <c r="J736" s="10">
        <f>IF(D736="","",IFERROR(VLOOKUP(D736,'Items'!$A$2:$L$201,10,FALSE),""))</f>
        <v/>
      </c>
      <c r="K736" s="10">
        <f>IF(OR(H736="",J736=""),"",H736*J736)</f>
        <v/>
      </c>
      <c r="L736" s="5">
        <f>IF(AND(B736="",D736=""),"",IF(B736="","Missing product",IF(D736="","Missing item",IF(C736="Product not found","Product not found",IF(E736="Item not found","Item not found",IF(OR(F736="",G736=""),"Missing quantity/unit",IF(IFERROR(VLOOKUP(G736,'Units'!$A$2:$D$13,3,FALSE),"")&lt;&gt;I736,"Unit mismatch",IF(J736="","Enter item cost","OK"))))))))</f>
        <v/>
      </c>
      <c r="M736" s="4" t="n"/>
    </row>
    <row r="737">
      <c r="A737" s="5">
        <f>IF(AND(B737="",D737=""),"",ROW()-1)</f>
        <v/>
      </c>
      <c r="B737" s="4" t="n"/>
      <c r="C737" s="5">
        <f>IF(B737="","",IFERROR(VLOOKUP(B737,'Products'!$A$2:$F$201,2,FALSE),"Product not found"))</f>
        <v/>
      </c>
      <c r="D737" s="4" t="n"/>
      <c r="E737" s="5">
        <f>IF(D737="","",IFERROR(VLOOKUP(D737,'Items'!$A$2:$L$201,2,FALSE),"Item not found"))</f>
        <v/>
      </c>
      <c r="F737" s="9" t="n"/>
      <c r="G737" s="4" t="n"/>
      <c r="H737" s="10">
        <f>IF(OR(F737="",G737=""),"",IFERROR(F737*VLOOKUP(G737,'Units'!$A$2:$D$13,4,FALSE),""))</f>
        <v/>
      </c>
      <c r="I737" s="5">
        <f>IF(D737="","",IFERROR(VLOOKUP(D737,'Items'!$A$2:$L$201,4,FALSE),""))</f>
        <v/>
      </c>
      <c r="J737" s="10">
        <f>IF(D737="","",IFERROR(VLOOKUP(D737,'Items'!$A$2:$L$201,10,FALSE),""))</f>
        <v/>
      </c>
      <c r="K737" s="10">
        <f>IF(OR(H737="",J737=""),"",H737*J737)</f>
        <v/>
      </c>
      <c r="L737" s="5">
        <f>IF(AND(B737="",D737=""),"",IF(B737="","Missing product",IF(D737="","Missing item",IF(C737="Product not found","Product not found",IF(E737="Item not found","Item not found",IF(OR(F737="",G737=""),"Missing quantity/unit",IF(IFERROR(VLOOKUP(G737,'Units'!$A$2:$D$13,3,FALSE),"")&lt;&gt;I737,"Unit mismatch",IF(J737="","Enter item cost","OK"))))))))</f>
        <v/>
      </c>
      <c r="M737" s="4" t="n"/>
    </row>
    <row r="738">
      <c r="A738" s="5">
        <f>IF(AND(B738="",D738=""),"",ROW()-1)</f>
        <v/>
      </c>
      <c r="B738" s="4" t="n"/>
      <c r="C738" s="5">
        <f>IF(B738="","",IFERROR(VLOOKUP(B738,'Products'!$A$2:$F$201,2,FALSE),"Product not found"))</f>
        <v/>
      </c>
      <c r="D738" s="4" t="n"/>
      <c r="E738" s="5">
        <f>IF(D738="","",IFERROR(VLOOKUP(D738,'Items'!$A$2:$L$201,2,FALSE),"Item not found"))</f>
        <v/>
      </c>
      <c r="F738" s="9" t="n"/>
      <c r="G738" s="4" t="n"/>
      <c r="H738" s="10">
        <f>IF(OR(F738="",G738=""),"",IFERROR(F738*VLOOKUP(G738,'Units'!$A$2:$D$13,4,FALSE),""))</f>
        <v/>
      </c>
      <c r="I738" s="5">
        <f>IF(D738="","",IFERROR(VLOOKUP(D738,'Items'!$A$2:$L$201,4,FALSE),""))</f>
        <v/>
      </c>
      <c r="J738" s="10">
        <f>IF(D738="","",IFERROR(VLOOKUP(D738,'Items'!$A$2:$L$201,10,FALSE),""))</f>
        <v/>
      </c>
      <c r="K738" s="10">
        <f>IF(OR(H738="",J738=""),"",H738*J738)</f>
        <v/>
      </c>
      <c r="L738" s="5">
        <f>IF(AND(B738="",D738=""),"",IF(B738="","Missing product",IF(D738="","Missing item",IF(C738="Product not found","Product not found",IF(E738="Item not found","Item not found",IF(OR(F738="",G738=""),"Missing quantity/unit",IF(IFERROR(VLOOKUP(G738,'Units'!$A$2:$D$13,3,FALSE),"")&lt;&gt;I738,"Unit mismatch",IF(J738="","Enter item cost","OK"))))))))</f>
        <v/>
      </c>
      <c r="M738" s="4" t="n"/>
    </row>
    <row r="739">
      <c r="A739" s="5">
        <f>IF(AND(B739="",D739=""),"",ROW()-1)</f>
        <v/>
      </c>
      <c r="B739" s="4" t="n"/>
      <c r="C739" s="5">
        <f>IF(B739="","",IFERROR(VLOOKUP(B739,'Products'!$A$2:$F$201,2,FALSE),"Product not found"))</f>
        <v/>
      </c>
      <c r="D739" s="4" t="n"/>
      <c r="E739" s="5">
        <f>IF(D739="","",IFERROR(VLOOKUP(D739,'Items'!$A$2:$L$201,2,FALSE),"Item not found"))</f>
        <v/>
      </c>
      <c r="F739" s="9" t="n"/>
      <c r="G739" s="4" t="n"/>
      <c r="H739" s="10">
        <f>IF(OR(F739="",G739=""),"",IFERROR(F739*VLOOKUP(G739,'Units'!$A$2:$D$13,4,FALSE),""))</f>
        <v/>
      </c>
      <c r="I739" s="5">
        <f>IF(D739="","",IFERROR(VLOOKUP(D739,'Items'!$A$2:$L$201,4,FALSE),""))</f>
        <v/>
      </c>
      <c r="J739" s="10">
        <f>IF(D739="","",IFERROR(VLOOKUP(D739,'Items'!$A$2:$L$201,10,FALSE),""))</f>
        <v/>
      </c>
      <c r="K739" s="10">
        <f>IF(OR(H739="",J739=""),"",H739*J739)</f>
        <v/>
      </c>
      <c r="L739" s="5">
        <f>IF(AND(B739="",D739=""),"",IF(B739="","Missing product",IF(D739="","Missing item",IF(C739="Product not found","Product not found",IF(E739="Item not found","Item not found",IF(OR(F739="",G739=""),"Missing quantity/unit",IF(IFERROR(VLOOKUP(G739,'Units'!$A$2:$D$13,3,FALSE),"")&lt;&gt;I739,"Unit mismatch",IF(J739="","Enter item cost","OK"))))))))</f>
        <v/>
      </c>
      <c r="M739" s="4" t="n"/>
    </row>
    <row r="740">
      <c r="A740" s="5">
        <f>IF(AND(B740="",D740=""),"",ROW()-1)</f>
        <v/>
      </c>
      <c r="B740" s="4" t="n"/>
      <c r="C740" s="5">
        <f>IF(B740="","",IFERROR(VLOOKUP(B740,'Products'!$A$2:$F$201,2,FALSE),"Product not found"))</f>
        <v/>
      </c>
      <c r="D740" s="4" t="n"/>
      <c r="E740" s="5">
        <f>IF(D740="","",IFERROR(VLOOKUP(D740,'Items'!$A$2:$L$201,2,FALSE),"Item not found"))</f>
        <v/>
      </c>
      <c r="F740" s="9" t="n"/>
      <c r="G740" s="4" t="n"/>
      <c r="H740" s="10">
        <f>IF(OR(F740="",G740=""),"",IFERROR(F740*VLOOKUP(G740,'Units'!$A$2:$D$13,4,FALSE),""))</f>
        <v/>
      </c>
      <c r="I740" s="5">
        <f>IF(D740="","",IFERROR(VLOOKUP(D740,'Items'!$A$2:$L$201,4,FALSE),""))</f>
        <v/>
      </c>
      <c r="J740" s="10">
        <f>IF(D740="","",IFERROR(VLOOKUP(D740,'Items'!$A$2:$L$201,10,FALSE),""))</f>
        <v/>
      </c>
      <c r="K740" s="10">
        <f>IF(OR(H740="",J740=""),"",H740*J740)</f>
        <v/>
      </c>
      <c r="L740" s="5">
        <f>IF(AND(B740="",D740=""),"",IF(B740="","Missing product",IF(D740="","Missing item",IF(C740="Product not found","Product not found",IF(E740="Item not found","Item not found",IF(OR(F740="",G740=""),"Missing quantity/unit",IF(IFERROR(VLOOKUP(G740,'Units'!$A$2:$D$13,3,FALSE),"")&lt;&gt;I740,"Unit mismatch",IF(J740="","Enter item cost","OK"))))))))</f>
        <v/>
      </c>
      <c r="M740" s="4" t="n"/>
    </row>
    <row r="741">
      <c r="A741" s="5">
        <f>IF(AND(B741="",D741=""),"",ROW()-1)</f>
        <v/>
      </c>
      <c r="B741" s="4" t="n"/>
      <c r="C741" s="5">
        <f>IF(B741="","",IFERROR(VLOOKUP(B741,'Products'!$A$2:$F$201,2,FALSE),"Product not found"))</f>
        <v/>
      </c>
      <c r="D741" s="4" t="n"/>
      <c r="E741" s="5">
        <f>IF(D741="","",IFERROR(VLOOKUP(D741,'Items'!$A$2:$L$201,2,FALSE),"Item not found"))</f>
        <v/>
      </c>
      <c r="F741" s="9" t="n"/>
      <c r="G741" s="4" t="n"/>
      <c r="H741" s="10">
        <f>IF(OR(F741="",G741=""),"",IFERROR(F741*VLOOKUP(G741,'Units'!$A$2:$D$13,4,FALSE),""))</f>
        <v/>
      </c>
      <c r="I741" s="5">
        <f>IF(D741="","",IFERROR(VLOOKUP(D741,'Items'!$A$2:$L$201,4,FALSE),""))</f>
        <v/>
      </c>
      <c r="J741" s="10">
        <f>IF(D741="","",IFERROR(VLOOKUP(D741,'Items'!$A$2:$L$201,10,FALSE),""))</f>
        <v/>
      </c>
      <c r="K741" s="10">
        <f>IF(OR(H741="",J741=""),"",H741*J741)</f>
        <v/>
      </c>
      <c r="L741" s="5">
        <f>IF(AND(B741="",D741=""),"",IF(B741="","Missing product",IF(D741="","Missing item",IF(C741="Product not found","Product not found",IF(E741="Item not found","Item not found",IF(OR(F741="",G741=""),"Missing quantity/unit",IF(IFERROR(VLOOKUP(G741,'Units'!$A$2:$D$13,3,FALSE),"")&lt;&gt;I741,"Unit mismatch",IF(J741="","Enter item cost","OK"))))))))</f>
        <v/>
      </c>
      <c r="M741" s="4" t="n"/>
    </row>
    <row r="742">
      <c r="A742" s="5">
        <f>IF(AND(B742="",D742=""),"",ROW()-1)</f>
        <v/>
      </c>
      <c r="B742" s="4" t="n"/>
      <c r="C742" s="5">
        <f>IF(B742="","",IFERROR(VLOOKUP(B742,'Products'!$A$2:$F$201,2,FALSE),"Product not found"))</f>
        <v/>
      </c>
      <c r="D742" s="4" t="n"/>
      <c r="E742" s="5">
        <f>IF(D742="","",IFERROR(VLOOKUP(D742,'Items'!$A$2:$L$201,2,FALSE),"Item not found"))</f>
        <v/>
      </c>
      <c r="F742" s="9" t="n"/>
      <c r="G742" s="4" t="n"/>
      <c r="H742" s="10">
        <f>IF(OR(F742="",G742=""),"",IFERROR(F742*VLOOKUP(G742,'Units'!$A$2:$D$13,4,FALSE),""))</f>
        <v/>
      </c>
      <c r="I742" s="5">
        <f>IF(D742="","",IFERROR(VLOOKUP(D742,'Items'!$A$2:$L$201,4,FALSE),""))</f>
        <v/>
      </c>
      <c r="J742" s="10">
        <f>IF(D742="","",IFERROR(VLOOKUP(D742,'Items'!$A$2:$L$201,10,FALSE),""))</f>
        <v/>
      </c>
      <c r="K742" s="10">
        <f>IF(OR(H742="",J742=""),"",H742*J742)</f>
        <v/>
      </c>
      <c r="L742" s="5">
        <f>IF(AND(B742="",D742=""),"",IF(B742="","Missing product",IF(D742="","Missing item",IF(C742="Product not found","Product not found",IF(E742="Item not found","Item not found",IF(OR(F742="",G742=""),"Missing quantity/unit",IF(IFERROR(VLOOKUP(G742,'Units'!$A$2:$D$13,3,FALSE),"")&lt;&gt;I742,"Unit mismatch",IF(J742="","Enter item cost","OK"))))))))</f>
        <v/>
      </c>
      <c r="M742" s="4" t="n"/>
    </row>
    <row r="743">
      <c r="A743" s="5">
        <f>IF(AND(B743="",D743=""),"",ROW()-1)</f>
        <v/>
      </c>
      <c r="B743" s="4" t="n"/>
      <c r="C743" s="5">
        <f>IF(B743="","",IFERROR(VLOOKUP(B743,'Products'!$A$2:$F$201,2,FALSE),"Product not found"))</f>
        <v/>
      </c>
      <c r="D743" s="4" t="n"/>
      <c r="E743" s="5">
        <f>IF(D743="","",IFERROR(VLOOKUP(D743,'Items'!$A$2:$L$201,2,FALSE),"Item not found"))</f>
        <v/>
      </c>
      <c r="F743" s="9" t="n"/>
      <c r="G743" s="4" t="n"/>
      <c r="H743" s="10">
        <f>IF(OR(F743="",G743=""),"",IFERROR(F743*VLOOKUP(G743,'Units'!$A$2:$D$13,4,FALSE),""))</f>
        <v/>
      </c>
      <c r="I743" s="5">
        <f>IF(D743="","",IFERROR(VLOOKUP(D743,'Items'!$A$2:$L$201,4,FALSE),""))</f>
        <v/>
      </c>
      <c r="J743" s="10">
        <f>IF(D743="","",IFERROR(VLOOKUP(D743,'Items'!$A$2:$L$201,10,FALSE),""))</f>
        <v/>
      </c>
      <c r="K743" s="10">
        <f>IF(OR(H743="",J743=""),"",H743*J743)</f>
        <v/>
      </c>
      <c r="L743" s="5">
        <f>IF(AND(B743="",D743=""),"",IF(B743="","Missing product",IF(D743="","Missing item",IF(C743="Product not found","Product not found",IF(E743="Item not found","Item not found",IF(OR(F743="",G743=""),"Missing quantity/unit",IF(IFERROR(VLOOKUP(G743,'Units'!$A$2:$D$13,3,FALSE),"")&lt;&gt;I743,"Unit mismatch",IF(J743="","Enter item cost","OK"))))))))</f>
        <v/>
      </c>
      <c r="M743" s="4" t="n"/>
    </row>
    <row r="744">
      <c r="A744" s="5">
        <f>IF(AND(B744="",D744=""),"",ROW()-1)</f>
        <v/>
      </c>
      <c r="B744" s="4" t="n"/>
      <c r="C744" s="5">
        <f>IF(B744="","",IFERROR(VLOOKUP(B744,'Products'!$A$2:$F$201,2,FALSE),"Product not found"))</f>
        <v/>
      </c>
      <c r="D744" s="4" t="n"/>
      <c r="E744" s="5">
        <f>IF(D744="","",IFERROR(VLOOKUP(D744,'Items'!$A$2:$L$201,2,FALSE),"Item not found"))</f>
        <v/>
      </c>
      <c r="F744" s="9" t="n"/>
      <c r="G744" s="4" t="n"/>
      <c r="H744" s="10">
        <f>IF(OR(F744="",G744=""),"",IFERROR(F744*VLOOKUP(G744,'Units'!$A$2:$D$13,4,FALSE),""))</f>
        <v/>
      </c>
      <c r="I744" s="5">
        <f>IF(D744="","",IFERROR(VLOOKUP(D744,'Items'!$A$2:$L$201,4,FALSE),""))</f>
        <v/>
      </c>
      <c r="J744" s="10">
        <f>IF(D744="","",IFERROR(VLOOKUP(D744,'Items'!$A$2:$L$201,10,FALSE),""))</f>
        <v/>
      </c>
      <c r="K744" s="10">
        <f>IF(OR(H744="",J744=""),"",H744*J744)</f>
        <v/>
      </c>
      <c r="L744" s="5">
        <f>IF(AND(B744="",D744=""),"",IF(B744="","Missing product",IF(D744="","Missing item",IF(C744="Product not found","Product not found",IF(E744="Item not found","Item not found",IF(OR(F744="",G744=""),"Missing quantity/unit",IF(IFERROR(VLOOKUP(G744,'Units'!$A$2:$D$13,3,FALSE),"")&lt;&gt;I744,"Unit mismatch",IF(J744="","Enter item cost","OK"))))))))</f>
        <v/>
      </c>
      <c r="M744" s="4" t="n"/>
    </row>
    <row r="745">
      <c r="A745" s="5">
        <f>IF(AND(B745="",D745=""),"",ROW()-1)</f>
        <v/>
      </c>
      <c r="B745" s="4" t="n"/>
      <c r="C745" s="5">
        <f>IF(B745="","",IFERROR(VLOOKUP(B745,'Products'!$A$2:$F$201,2,FALSE),"Product not found"))</f>
        <v/>
      </c>
      <c r="D745" s="4" t="n"/>
      <c r="E745" s="5">
        <f>IF(D745="","",IFERROR(VLOOKUP(D745,'Items'!$A$2:$L$201,2,FALSE),"Item not found"))</f>
        <v/>
      </c>
      <c r="F745" s="9" t="n"/>
      <c r="G745" s="4" t="n"/>
      <c r="H745" s="10">
        <f>IF(OR(F745="",G745=""),"",IFERROR(F745*VLOOKUP(G745,'Units'!$A$2:$D$13,4,FALSE),""))</f>
        <v/>
      </c>
      <c r="I745" s="5">
        <f>IF(D745="","",IFERROR(VLOOKUP(D745,'Items'!$A$2:$L$201,4,FALSE),""))</f>
        <v/>
      </c>
      <c r="J745" s="10">
        <f>IF(D745="","",IFERROR(VLOOKUP(D745,'Items'!$A$2:$L$201,10,FALSE),""))</f>
        <v/>
      </c>
      <c r="K745" s="10">
        <f>IF(OR(H745="",J745=""),"",H745*J745)</f>
        <v/>
      </c>
      <c r="L745" s="5">
        <f>IF(AND(B745="",D745=""),"",IF(B745="","Missing product",IF(D745="","Missing item",IF(C745="Product not found","Product not found",IF(E745="Item not found","Item not found",IF(OR(F745="",G745=""),"Missing quantity/unit",IF(IFERROR(VLOOKUP(G745,'Units'!$A$2:$D$13,3,FALSE),"")&lt;&gt;I745,"Unit mismatch",IF(J745="","Enter item cost","OK"))))))))</f>
        <v/>
      </c>
      <c r="M745" s="4" t="n"/>
    </row>
    <row r="746">
      <c r="A746" s="5">
        <f>IF(AND(B746="",D746=""),"",ROW()-1)</f>
        <v/>
      </c>
      <c r="B746" s="4" t="n"/>
      <c r="C746" s="5">
        <f>IF(B746="","",IFERROR(VLOOKUP(B746,'Products'!$A$2:$F$201,2,FALSE),"Product not found"))</f>
        <v/>
      </c>
      <c r="D746" s="4" t="n"/>
      <c r="E746" s="5">
        <f>IF(D746="","",IFERROR(VLOOKUP(D746,'Items'!$A$2:$L$201,2,FALSE),"Item not found"))</f>
        <v/>
      </c>
      <c r="F746" s="9" t="n"/>
      <c r="G746" s="4" t="n"/>
      <c r="H746" s="10">
        <f>IF(OR(F746="",G746=""),"",IFERROR(F746*VLOOKUP(G746,'Units'!$A$2:$D$13,4,FALSE),""))</f>
        <v/>
      </c>
      <c r="I746" s="5">
        <f>IF(D746="","",IFERROR(VLOOKUP(D746,'Items'!$A$2:$L$201,4,FALSE),""))</f>
        <v/>
      </c>
      <c r="J746" s="10">
        <f>IF(D746="","",IFERROR(VLOOKUP(D746,'Items'!$A$2:$L$201,10,FALSE),""))</f>
        <v/>
      </c>
      <c r="K746" s="10">
        <f>IF(OR(H746="",J746=""),"",H746*J746)</f>
        <v/>
      </c>
      <c r="L746" s="5">
        <f>IF(AND(B746="",D746=""),"",IF(B746="","Missing product",IF(D746="","Missing item",IF(C746="Product not found","Product not found",IF(E746="Item not found","Item not found",IF(OR(F746="",G746=""),"Missing quantity/unit",IF(IFERROR(VLOOKUP(G746,'Units'!$A$2:$D$13,3,FALSE),"")&lt;&gt;I746,"Unit mismatch",IF(J746="","Enter item cost","OK"))))))))</f>
        <v/>
      </c>
      <c r="M746" s="4" t="n"/>
    </row>
    <row r="747">
      <c r="A747" s="5">
        <f>IF(AND(B747="",D747=""),"",ROW()-1)</f>
        <v/>
      </c>
      <c r="B747" s="4" t="n"/>
      <c r="C747" s="5">
        <f>IF(B747="","",IFERROR(VLOOKUP(B747,'Products'!$A$2:$F$201,2,FALSE),"Product not found"))</f>
        <v/>
      </c>
      <c r="D747" s="4" t="n"/>
      <c r="E747" s="5">
        <f>IF(D747="","",IFERROR(VLOOKUP(D747,'Items'!$A$2:$L$201,2,FALSE),"Item not found"))</f>
        <v/>
      </c>
      <c r="F747" s="9" t="n"/>
      <c r="G747" s="4" t="n"/>
      <c r="H747" s="10">
        <f>IF(OR(F747="",G747=""),"",IFERROR(F747*VLOOKUP(G747,'Units'!$A$2:$D$13,4,FALSE),""))</f>
        <v/>
      </c>
      <c r="I747" s="5">
        <f>IF(D747="","",IFERROR(VLOOKUP(D747,'Items'!$A$2:$L$201,4,FALSE),""))</f>
        <v/>
      </c>
      <c r="J747" s="10">
        <f>IF(D747="","",IFERROR(VLOOKUP(D747,'Items'!$A$2:$L$201,10,FALSE),""))</f>
        <v/>
      </c>
      <c r="K747" s="10">
        <f>IF(OR(H747="",J747=""),"",H747*J747)</f>
        <v/>
      </c>
      <c r="L747" s="5">
        <f>IF(AND(B747="",D747=""),"",IF(B747="","Missing product",IF(D747="","Missing item",IF(C747="Product not found","Product not found",IF(E747="Item not found","Item not found",IF(OR(F747="",G747=""),"Missing quantity/unit",IF(IFERROR(VLOOKUP(G747,'Units'!$A$2:$D$13,3,FALSE),"")&lt;&gt;I747,"Unit mismatch",IF(J747="","Enter item cost","OK"))))))))</f>
        <v/>
      </c>
      <c r="M747" s="4" t="n"/>
    </row>
    <row r="748">
      <c r="A748" s="5">
        <f>IF(AND(B748="",D748=""),"",ROW()-1)</f>
        <v/>
      </c>
      <c r="B748" s="4" t="n"/>
      <c r="C748" s="5">
        <f>IF(B748="","",IFERROR(VLOOKUP(B748,'Products'!$A$2:$F$201,2,FALSE),"Product not found"))</f>
        <v/>
      </c>
      <c r="D748" s="4" t="n"/>
      <c r="E748" s="5">
        <f>IF(D748="","",IFERROR(VLOOKUP(D748,'Items'!$A$2:$L$201,2,FALSE),"Item not found"))</f>
        <v/>
      </c>
      <c r="F748" s="9" t="n"/>
      <c r="G748" s="4" t="n"/>
      <c r="H748" s="10">
        <f>IF(OR(F748="",G748=""),"",IFERROR(F748*VLOOKUP(G748,'Units'!$A$2:$D$13,4,FALSE),""))</f>
        <v/>
      </c>
      <c r="I748" s="5">
        <f>IF(D748="","",IFERROR(VLOOKUP(D748,'Items'!$A$2:$L$201,4,FALSE),""))</f>
        <v/>
      </c>
      <c r="J748" s="10">
        <f>IF(D748="","",IFERROR(VLOOKUP(D748,'Items'!$A$2:$L$201,10,FALSE),""))</f>
        <v/>
      </c>
      <c r="K748" s="10">
        <f>IF(OR(H748="",J748=""),"",H748*J748)</f>
        <v/>
      </c>
      <c r="L748" s="5">
        <f>IF(AND(B748="",D748=""),"",IF(B748="","Missing product",IF(D748="","Missing item",IF(C748="Product not found","Product not found",IF(E748="Item not found","Item not found",IF(OR(F748="",G748=""),"Missing quantity/unit",IF(IFERROR(VLOOKUP(G748,'Units'!$A$2:$D$13,3,FALSE),"")&lt;&gt;I748,"Unit mismatch",IF(J748="","Enter item cost","OK"))))))))</f>
        <v/>
      </c>
      <c r="M748" s="4" t="n"/>
    </row>
    <row r="749">
      <c r="A749" s="5">
        <f>IF(AND(B749="",D749=""),"",ROW()-1)</f>
        <v/>
      </c>
      <c r="B749" s="4" t="n"/>
      <c r="C749" s="5">
        <f>IF(B749="","",IFERROR(VLOOKUP(B749,'Products'!$A$2:$F$201,2,FALSE),"Product not found"))</f>
        <v/>
      </c>
      <c r="D749" s="4" t="n"/>
      <c r="E749" s="5">
        <f>IF(D749="","",IFERROR(VLOOKUP(D749,'Items'!$A$2:$L$201,2,FALSE),"Item not found"))</f>
        <v/>
      </c>
      <c r="F749" s="9" t="n"/>
      <c r="G749" s="4" t="n"/>
      <c r="H749" s="10">
        <f>IF(OR(F749="",G749=""),"",IFERROR(F749*VLOOKUP(G749,'Units'!$A$2:$D$13,4,FALSE),""))</f>
        <v/>
      </c>
      <c r="I749" s="5">
        <f>IF(D749="","",IFERROR(VLOOKUP(D749,'Items'!$A$2:$L$201,4,FALSE),""))</f>
        <v/>
      </c>
      <c r="J749" s="10">
        <f>IF(D749="","",IFERROR(VLOOKUP(D749,'Items'!$A$2:$L$201,10,FALSE),""))</f>
        <v/>
      </c>
      <c r="K749" s="10">
        <f>IF(OR(H749="",J749=""),"",H749*J749)</f>
        <v/>
      </c>
      <c r="L749" s="5">
        <f>IF(AND(B749="",D749=""),"",IF(B749="","Missing product",IF(D749="","Missing item",IF(C749="Product not found","Product not found",IF(E749="Item not found","Item not found",IF(OR(F749="",G749=""),"Missing quantity/unit",IF(IFERROR(VLOOKUP(G749,'Units'!$A$2:$D$13,3,FALSE),"")&lt;&gt;I749,"Unit mismatch",IF(J749="","Enter item cost","OK"))))))))</f>
        <v/>
      </c>
      <c r="M749" s="4" t="n"/>
    </row>
    <row r="750">
      <c r="A750" s="5">
        <f>IF(AND(B750="",D750=""),"",ROW()-1)</f>
        <v/>
      </c>
      <c r="B750" s="4" t="n"/>
      <c r="C750" s="5">
        <f>IF(B750="","",IFERROR(VLOOKUP(B750,'Products'!$A$2:$F$201,2,FALSE),"Product not found"))</f>
        <v/>
      </c>
      <c r="D750" s="4" t="n"/>
      <c r="E750" s="5">
        <f>IF(D750="","",IFERROR(VLOOKUP(D750,'Items'!$A$2:$L$201,2,FALSE),"Item not found"))</f>
        <v/>
      </c>
      <c r="F750" s="9" t="n"/>
      <c r="G750" s="4" t="n"/>
      <c r="H750" s="10">
        <f>IF(OR(F750="",G750=""),"",IFERROR(F750*VLOOKUP(G750,'Units'!$A$2:$D$13,4,FALSE),""))</f>
        <v/>
      </c>
      <c r="I750" s="5">
        <f>IF(D750="","",IFERROR(VLOOKUP(D750,'Items'!$A$2:$L$201,4,FALSE),""))</f>
        <v/>
      </c>
      <c r="J750" s="10">
        <f>IF(D750="","",IFERROR(VLOOKUP(D750,'Items'!$A$2:$L$201,10,FALSE),""))</f>
        <v/>
      </c>
      <c r="K750" s="10">
        <f>IF(OR(H750="",J750=""),"",H750*J750)</f>
        <v/>
      </c>
      <c r="L750" s="5">
        <f>IF(AND(B750="",D750=""),"",IF(B750="","Missing product",IF(D750="","Missing item",IF(C750="Product not found","Product not found",IF(E750="Item not found","Item not found",IF(OR(F750="",G750=""),"Missing quantity/unit",IF(IFERROR(VLOOKUP(G750,'Units'!$A$2:$D$13,3,FALSE),"")&lt;&gt;I750,"Unit mismatch",IF(J750="","Enter item cost","OK"))))))))</f>
        <v/>
      </c>
      <c r="M750" s="4" t="n"/>
    </row>
    <row r="751">
      <c r="A751" s="5">
        <f>IF(AND(B751="",D751=""),"",ROW()-1)</f>
        <v/>
      </c>
      <c r="B751" s="4" t="n"/>
      <c r="C751" s="5">
        <f>IF(B751="","",IFERROR(VLOOKUP(B751,'Products'!$A$2:$F$201,2,FALSE),"Product not found"))</f>
        <v/>
      </c>
      <c r="D751" s="4" t="n"/>
      <c r="E751" s="5">
        <f>IF(D751="","",IFERROR(VLOOKUP(D751,'Items'!$A$2:$L$201,2,FALSE),"Item not found"))</f>
        <v/>
      </c>
      <c r="F751" s="9" t="n"/>
      <c r="G751" s="4" t="n"/>
      <c r="H751" s="10">
        <f>IF(OR(F751="",G751=""),"",IFERROR(F751*VLOOKUP(G751,'Units'!$A$2:$D$13,4,FALSE),""))</f>
        <v/>
      </c>
      <c r="I751" s="5">
        <f>IF(D751="","",IFERROR(VLOOKUP(D751,'Items'!$A$2:$L$201,4,FALSE),""))</f>
        <v/>
      </c>
      <c r="J751" s="10">
        <f>IF(D751="","",IFERROR(VLOOKUP(D751,'Items'!$A$2:$L$201,10,FALSE),""))</f>
        <v/>
      </c>
      <c r="K751" s="10">
        <f>IF(OR(H751="",J751=""),"",H751*J751)</f>
        <v/>
      </c>
      <c r="L751" s="5">
        <f>IF(AND(B751="",D751=""),"",IF(B751="","Missing product",IF(D751="","Missing item",IF(C751="Product not found","Product not found",IF(E751="Item not found","Item not found",IF(OR(F751="",G751=""),"Missing quantity/unit",IF(IFERROR(VLOOKUP(G751,'Units'!$A$2:$D$13,3,FALSE),"")&lt;&gt;I751,"Unit mismatch",IF(J751="","Enter item cost","OK"))))))))</f>
        <v/>
      </c>
      <c r="M751" s="4" t="n"/>
    </row>
    <row r="752">
      <c r="A752" s="5">
        <f>IF(AND(B752="",D752=""),"",ROW()-1)</f>
        <v/>
      </c>
      <c r="B752" s="4" t="n"/>
      <c r="C752" s="5">
        <f>IF(B752="","",IFERROR(VLOOKUP(B752,'Products'!$A$2:$F$201,2,FALSE),"Product not found"))</f>
        <v/>
      </c>
      <c r="D752" s="4" t="n"/>
      <c r="E752" s="5">
        <f>IF(D752="","",IFERROR(VLOOKUP(D752,'Items'!$A$2:$L$201,2,FALSE),"Item not found"))</f>
        <v/>
      </c>
      <c r="F752" s="9" t="n"/>
      <c r="G752" s="4" t="n"/>
      <c r="H752" s="10">
        <f>IF(OR(F752="",G752=""),"",IFERROR(F752*VLOOKUP(G752,'Units'!$A$2:$D$13,4,FALSE),""))</f>
        <v/>
      </c>
      <c r="I752" s="5">
        <f>IF(D752="","",IFERROR(VLOOKUP(D752,'Items'!$A$2:$L$201,4,FALSE),""))</f>
        <v/>
      </c>
      <c r="J752" s="10">
        <f>IF(D752="","",IFERROR(VLOOKUP(D752,'Items'!$A$2:$L$201,10,FALSE),""))</f>
        <v/>
      </c>
      <c r="K752" s="10">
        <f>IF(OR(H752="",J752=""),"",H752*J752)</f>
        <v/>
      </c>
      <c r="L752" s="5">
        <f>IF(AND(B752="",D752=""),"",IF(B752="","Missing product",IF(D752="","Missing item",IF(C752="Product not found","Product not found",IF(E752="Item not found","Item not found",IF(OR(F752="",G752=""),"Missing quantity/unit",IF(IFERROR(VLOOKUP(G752,'Units'!$A$2:$D$13,3,FALSE),"")&lt;&gt;I752,"Unit mismatch",IF(J752="","Enter item cost","OK"))))))))</f>
        <v/>
      </c>
      <c r="M752" s="4" t="n"/>
    </row>
    <row r="753">
      <c r="A753" s="5">
        <f>IF(AND(B753="",D753=""),"",ROW()-1)</f>
        <v/>
      </c>
      <c r="B753" s="4" t="n"/>
      <c r="C753" s="5">
        <f>IF(B753="","",IFERROR(VLOOKUP(B753,'Products'!$A$2:$F$201,2,FALSE),"Product not found"))</f>
        <v/>
      </c>
      <c r="D753" s="4" t="n"/>
      <c r="E753" s="5">
        <f>IF(D753="","",IFERROR(VLOOKUP(D753,'Items'!$A$2:$L$201,2,FALSE),"Item not found"))</f>
        <v/>
      </c>
      <c r="F753" s="9" t="n"/>
      <c r="G753" s="4" t="n"/>
      <c r="H753" s="10">
        <f>IF(OR(F753="",G753=""),"",IFERROR(F753*VLOOKUP(G753,'Units'!$A$2:$D$13,4,FALSE),""))</f>
        <v/>
      </c>
      <c r="I753" s="5">
        <f>IF(D753="","",IFERROR(VLOOKUP(D753,'Items'!$A$2:$L$201,4,FALSE),""))</f>
        <v/>
      </c>
      <c r="J753" s="10">
        <f>IF(D753="","",IFERROR(VLOOKUP(D753,'Items'!$A$2:$L$201,10,FALSE),""))</f>
        <v/>
      </c>
      <c r="K753" s="10">
        <f>IF(OR(H753="",J753=""),"",H753*J753)</f>
        <v/>
      </c>
      <c r="L753" s="5">
        <f>IF(AND(B753="",D753=""),"",IF(B753="","Missing product",IF(D753="","Missing item",IF(C753="Product not found","Product not found",IF(E753="Item not found","Item not found",IF(OR(F753="",G753=""),"Missing quantity/unit",IF(IFERROR(VLOOKUP(G753,'Units'!$A$2:$D$13,3,FALSE),"")&lt;&gt;I753,"Unit mismatch",IF(J753="","Enter item cost","OK"))))))))</f>
        <v/>
      </c>
      <c r="M753" s="4" t="n"/>
    </row>
    <row r="754">
      <c r="A754" s="5">
        <f>IF(AND(B754="",D754=""),"",ROW()-1)</f>
        <v/>
      </c>
      <c r="B754" s="4" t="n"/>
      <c r="C754" s="5">
        <f>IF(B754="","",IFERROR(VLOOKUP(B754,'Products'!$A$2:$F$201,2,FALSE),"Product not found"))</f>
        <v/>
      </c>
      <c r="D754" s="4" t="n"/>
      <c r="E754" s="5">
        <f>IF(D754="","",IFERROR(VLOOKUP(D754,'Items'!$A$2:$L$201,2,FALSE),"Item not found"))</f>
        <v/>
      </c>
      <c r="F754" s="9" t="n"/>
      <c r="G754" s="4" t="n"/>
      <c r="H754" s="10">
        <f>IF(OR(F754="",G754=""),"",IFERROR(F754*VLOOKUP(G754,'Units'!$A$2:$D$13,4,FALSE),""))</f>
        <v/>
      </c>
      <c r="I754" s="5">
        <f>IF(D754="","",IFERROR(VLOOKUP(D754,'Items'!$A$2:$L$201,4,FALSE),""))</f>
        <v/>
      </c>
      <c r="J754" s="10">
        <f>IF(D754="","",IFERROR(VLOOKUP(D754,'Items'!$A$2:$L$201,10,FALSE),""))</f>
        <v/>
      </c>
      <c r="K754" s="10">
        <f>IF(OR(H754="",J754=""),"",H754*J754)</f>
        <v/>
      </c>
      <c r="L754" s="5">
        <f>IF(AND(B754="",D754=""),"",IF(B754="","Missing product",IF(D754="","Missing item",IF(C754="Product not found","Product not found",IF(E754="Item not found","Item not found",IF(OR(F754="",G754=""),"Missing quantity/unit",IF(IFERROR(VLOOKUP(G754,'Units'!$A$2:$D$13,3,FALSE),"")&lt;&gt;I754,"Unit mismatch",IF(J754="","Enter item cost","OK"))))))))</f>
        <v/>
      </c>
      <c r="M754" s="4" t="n"/>
    </row>
    <row r="755">
      <c r="A755" s="5">
        <f>IF(AND(B755="",D755=""),"",ROW()-1)</f>
        <v/>
      </c>
      <c r="B755" s="4" t="n"/>
      <c r="C755" s="5">
        <f>IF(B755="","",IFERROR(VLOOKUP(B755,'Products'!$A$2:$F$201,2,FALSE),"Product not found"))</f>
        <v/>
      </c>
      <c r="D755" s="4" t="n"/>
      <c r="E755" s="5">
        <f>IF(D755="","",IFERROR(VLOOKUP(D755,'Items'!$A$2:$L$201,2,FALSE),"Item not found"))</f>
        <v/>
      </c>
      <c r="F755" s="9" t="n"/>
      <c r="G755" s="4" t="n"/>
      <c r="H755" s="10">
        <f>IF(OR(F755="",G755=""),"",IFERROR(F755*VLOOKUP(G755,'Units'!$A$2:$D$13,4,FALSE),""))</f>
        <v/>
      </c>
      <c r="I755" s="5">
        <f>IF(D755="","",IFERROR(VLOOKUP(D755,'Items'!$A$2:$L$201,4,FALSE),""))</f>
        <v/>
      </c>
      <c r="J755" s="10">
        <f>IF(D755="","",IFERROR(VLOOKUP(D755,'Items'!$A$2:$L$201,10,FALSE),""))</f>
        <v/>
      </c>
      <c r="K755" s="10">
        <f>IF(OR(H755="",J755=""),"",H755*J755)</f>
        <v/>
      </c>
      <c r="L755" s="5">
        <f>IF(AND(B755="",D755=""),"",IF(B755="","Missing product",IF(D755="","Missing item",IF(C755="Product not found","Product not found",IF(E755="Item not found","Item not found",IF(OR(F755="",G755=""),"Missing quantity/unit",IF(IFERROR(VLOOKUP(G755,'Units'!$A$2:$D$13,3,FALSE),"")&lt;&gt;I755,"Unit mismatch",IF(J755="","Enter item cost","OK"))))))))</f>
        <v/>
      </c>
      <c r="M755" s="4" t="n"/>
    </row>
    <row r="756">
      <c r="A756" s="5">
        <f>IF(AND(B756="",D756=""),"",ROW()-1)</f>
        <v/>
      </c>
      <c r="B756" s="4" t="n"/>
      <c r="C756" s="5">
        <f>IF(B756="","",IFERROR(VLOOKUP(B756,'Products'!$A$2:$F$201,2,FALSE),"Product not found"))</f>
        <v/>
      </c>
      <c r="D756" s="4" t="n"/>
      <c r="E756" s="5">
        <f>IF(D756="","",IFERROR(VLOOKUP(D756,'Items'!$A$2:$L$201,2,FALSE),"Item not found"))</f>
        <v/>
      </c>
      <c r="F756" s="9" t="n"/>
      <c r="G756" s="4" t="n"/>
      <c r="H756" s="10">
        <f>IF(OR(F756="",G756=""),"",IFERROR(F756*VLOOKUP(G756,'Units'!$A$2:$D$13,4,FALSE),""))</f>
        <v/>
      </c>
      <c r="I756" s="5">
        <f>IF(D756="","",IFERROR(VLOOKUP(D756,'Items'!$A$2:$L$201,4,FALSE),""))</f>
        <v/>
      </c>
      <c r="J756" s="10">
        <f>IF(D756="","",IFERROR(VLOOKUP(D756,'Items'!$A$2:$L$201,10,FALSE),""))</f>
        <v/>
      </c>
      <c r="K756" s="10">
        <f>IF(OR(H756="",J756=""),"",H756*J756)</f>
        <v/>
      </c>
      <c r="L756" s="5">
        <f>IF(AND(B756="",D756=""),"",IF(B756="","Missing product",IF(D756="","Missing item",IF(C756="Product not found","Product not found",IF(E756="Item not found","Item not found",IF(OR(F756="",G756=""),"Missing quantity/unit",IF(IFERROR(VLOOKUP(G756,'Units'!$A$2:$D$13,3,FALSE),"")&lt;&gt;I756,"Unit mismatch",IF(J756="","Enter item cost","OK"))))))))</f>
        <v/>
      </c>
      <c r="M756" s="4" t="n"/>
    </row>
    <row r="757">
      <c r="A757" s="5">
        <f>IF(AND(B757="",D757=""),"",ROW()-1)</f>
        <v/>
      </c>
      <c r="B757" s="4" t="n"/>
      <c r="C757" s="5">
        <f>IF(B757="","",IFERROR(VLOOKUP(B757,'Products'!$A$2:$F$201,2,FALSE),"Product not found"))</f>
        <v/>
      </c>
      <c r="D757" s="4" t="n"/>
      <c r="E757" s="5">
        <f>IF(D757="","",IFERROR(VLOOKUP(D757,'Items'!$A$2:$L$201,2,FALSE),"Item not found"))</f>
        <v/>
      </c>
      <c r="F757" s="9" t="n"/>
      <c r="G757" s="4" t="n"/>
      <c r="H757" s="10">
        <f>IF(OR(F757="",G757=""),"",IFERROR(F757*VLOOKUP(G757,'Units'!$A$2:$D$13,4,FALSE),""))</f>
        <v/>
      </c>
      <c r="I757" s="5">
        <f>IF(D757="","",IFERROR(VLOOKUP(D757,'Items'!$A$2:$L$201,4,FALSE),""))</f>
        <v/>
      </c>
      <c r="J757" s="10">
        <f>IF(D757="","",IFERROR(VLOOKUP(D757,'Items'!$A$2:$L$201,10,FALSE),""))</f>
        <v/>
      </c>
      <c r="K757" s="10">
        <f>IF(OR(H757="",J757=""),"",H757*J757)</f>
        <v/>
      </c>
      <c r="L757" s="5">
        <f>IF(AND(B757="",D757=""),"",IF(B757="","Missing product",IF(D757="","Missing item",IF(C757="Product not found","Product not found",IF(E757="Item not found","Item not found",IF(OR(F757="",G757=""),"Missing quantity/unit",IF(IFERROR(VLOOKUP(G757,'Units'!$A$2:$D$13,3,FALSE),"")&lt;&gt;I757,"Unit mismatch",IF(J757="","Enter item cost","OK"))))))))</f>
        <v/>
      </c>
      <c r="M757" s="4" t="n"/>
    </row>
    <row r="758">
      <c r="A758" s="5">
        <f>IF(AND(B758="",D758=""),"",ROW()-1)</f>
        <v/>
      </c>
      <c r="B758" s="4" t="n"/>
      <c r="C758" s="5">
        <f>IF(B758="","",IFERROR(VLOOKUP(B758,'Products'!$A$2:$F$201,2,FALSE),"Product not found"))</f>
        <v/>
      </c>
      <c r="D758" s="4" t="n"/>
      <c r="E758" s="5">
        <f>IF(D758="","",IFERROR(VLOOKUP(D758,'Items'!$A$2:$L$201,2,FALSE),"Item not found"))</f>
        <v/>
      </c>
      <c r="F758" s="9" t="n"/>
      <c r="G758" s="4" t="n"/>
      <c r="H758" s="10">
        <f>IF(OR(F758="",G758=""),"",IFERROR(F758*VLOOKUP(G758,'Units'!$A$2:$D$13,4,FALSE),""))</f>
        <v/>
      </c>
      <c r="I758" s="5">
        <f>IF(D758="","",IFERROR(VLOOKUP(D758,'Items'!$A$2:$L$201,4,FALSE),""))</f>
        <v/>
      </c>
      <c r="J758" s="10">
        <f>IF(D758="","",IFERROR(VLOOKUP(D758,'Items'!$A$2:$L$201,10,FALSE),""))</f>
        <v/>
      </c>
      <c r="K758" s="10">
        <f>IF(OR(H758="",J758=""),"",H758*J758)</f>
        <v/>
      </c>
      <c r="L758" s="5">
        <f>IF(AND(B758="",D758=""),"",IF(B758="","Missing product",IF(D758="","Missing item",IF(C758="Product not found","Product not found",IF(E758="Item not found","Item not found",IF(OR(F758="",G758=""),"Missing quantity/unit",IF(IFERROR(VLOOKUP(G758,'Units'!$A$2:$D$13,3,FALSE),"")&lt;&gt;I758,"Unit mismatch",IF(J758="","Enter item cost","OK"))))))))</f>
        <v/>
      </c>
      <c r="M758" s="4" t="n"/>
    </row>
    <row r="759">
      <c r="A759" s="5">
        <f>IF(AND(B759="",D759=""),"",ROW()-1)</f>
        <v/>
      </c>
      <c r="B759" s="4" t="n"/>
      <c r="C759" s="5">
        <f>IF(B759="","",IFERROR(VLOOKUP(B759,'Products'!$A$2:$F$201,2,FALSE),"Product not found"))</f>
        <v/>
      </c>
      <c r="D759" s="4" t="n"/>
      <c r="E759" s="5">
        <f>IF(D759="","",IFERROR(VLOOKUP(D759,'Items'!$A$2:$L$201,2,FALSE),"Item not found"))</f>
        <v/>
      </c>
      <c r="F759" s="9" t="n"/>
      <c r="G759" s="4" t="n"/>
      <c r="H759" s="10">
        <f>IF(OR(F759="",G759=""),"",IFERROR(F759*VLOOKUP(G759,'Units'!$A$2:$D$13,4,FALSE),""))</f>
        <v/>
      </c>
      <c r="I759" s="5">
        <f>IF(D759="","",IFERROR(VLOOKUP(D759,'Items'!$A$2:$L$201,4,FALSE),""))</f>
        <v/>
      </c>
      <c r="J759" s="10">
        <f>IF(D759="","",IFERROR(VLOOKUP(D759,'Items'!$A$2:$L$201,10,FALSE),""))</f>
        <v/>
      </c>
      <c r="K759" s="10">
        <f>IF(OR(H759="",J759=""),"",H759*J759)</f>
        <v/>
      </c>
      <c r="L759" s="5">
        <f>IF(AND(B759="",D759=""),"",IF(B759="","Missing product",IF(D759="","Missing item",IF(C759="Product not found","Product not found",IF(E759="Item not found","Item not found",IF(OR(F759="",G759=""),"Missing quantity/unit",IF(IFERROR(VLOOKUP(G759,'Units'!$A$2:$D$13,3,FALSE),"")&lt;&gt;I759,"Unit mismatch",IF(J759="","Enter item cost","OK"))))))))</f>
        <v/>
      </c>
      <c r="M759" s="4" t="n"/>
    </row>
    <row r="760">
      <c r="A760" s="5">
        <f>IF(AND(B760="",D760=""),"",ROW()-1)</f>
        <v/>
      </c>
      <c r="B760" s="4" t="n"/>
      <c r="C760" s="5">
        <f>IF(B760="","",IFERROR(VLOOKUP(B760,'Products'!$A$2:$F$201,2,FALSE),"Product not found"))</f>
        <v/>
      </c>
      <c r="D760" s="4" t="n"/>
      <c r="E760" s="5">
        <f>IF(D760="","",IFERROR(VLOOKUP(D760,'Items'!$A$2:$L$201,2,FALSE),"Item not found"))</f>
        <v/>
      </c>
      <c r="F760" s="9" t="n"/>
      <c r="G760" s="4" t="n"/>
      <c r="H760" s="10">
        <f>IF(OR(F760="",G760=""),"",IFERROR(F760*VLOOKUP(G760,'Units'!$A$2:$D$13,4,FALSE),""))</f>
        <v/>
      </c>
      <c r="I760" s="5">
        <f>IF(D760="","",IFERROR(VLOOKUP(D760,'Items'!$A$2:$L$201,4,FALSE),""))</f>
        <v/>
      </c>
      <c r="J760" s="10">
        <f>IF(D760="","",IFERROR(VLOOKUP(D760,'Items'!$A$2:$L$201,10,FALSE),""))</f>
        <v/>
      </c>
      <c r="K760" s="10">
        <f>IF(OR(H760="",J760=""),"",H760*J760)</f>
        <v/>
      </c>
      <c r="L760" s="5">
        <f>IF(AND(B760="",D760=""),"",IF(B760="","Missing product",IF(D760="","Missing item",IF(C760="Product not found","Product not found",IF(E760="Item not found","Item not found",IF(OR(F760="",G760=""),"Missing quantity/unit",IF(IFERROR(VLOOKUP(G760,'Units'!$A$2:$D$13,3,FALSE),"")&lt;&gt;I760,"Unit mismatch",IF(J760="","Enter item cost","OK"))))))))</f>
        <v/>
      </c>
      <c r="M760" s="4" t="n"/>
    </row>
    <row r="761">
      <c r="A761" s="5">
        <f>IF(AND(B761="",D761=""),"",ROW()-1)</f>
        <v/>
      </c>
      <c r="B761" s="4" t="n"/>
      <c r="C761" s="5">
        <f>IF(B761="","",IFERROR(VLOOKUP(B761,'Products'!$A$2:$F$201,2,FALSE),"Product not found"))</f>
        <v/>
      </c>
      <c r="D761" s="4" t="n"/>
      <c r="E761" s="5">
        <f>IF(D761="","",IFERROR(VLOOKUP(D761,'Items'!$A$2:$L$201,2,FALSE),"Item not found"))</f>
        <v/>
      </c>
      <c r="F761" s="9" t="n"/>
      <c r="G761" s="4" t="n"/>
      <c r="H761" s="10">
        <f>IF(OR(F761="",G761=""),"",IFERROR(F761*VLOOKUP(G761,'Units'!$A$2:$D$13,4,FALSE),""))</f>
        <v/>
      </c>
      <c r="I761" s="5">
        <f>IF(D761="","",IFERROR(VLOOKUP(D761,'Items'!$A$2:$L$201,4,FALSE),""))</f>
        <v/>
      </c>
      <c r="J761" s="10">
        <f>IF(D761="","",IFERROR(VLOOKUP(D761,'Items'!$A$2:$L$201,10,FALSE),""))</f>
        <v/>
      </c>
      <c r="K761" s="10">
        <f>IF(OR(H761="",J761=""),"",H761*J761)</f>
        <v/>
      </c>
      <c r="L761" s="5">
        <f>IF(AND(B761="",D761=""),"",IF(B761="","Missing product",IF(D761="","Missing item",IF(C761="Product not found","Product not found",IF(E761="Item not found","Item not found",IF(OR(F761="",G761=""),"Missing quantity/unit",IF(IFERROR(VLOOKUP(G761,'Units'!$A$2:$D$13,3,FALSE),"")&lt;&gt;I761,"Unit mismatch",IF(J761="","Enter item cost","OK"))))))))</f>
        <v/>
      </c>
      <c r="M761" s="4" t="n"/>
    </row>
    <row r="762">
      <c r="A762" s="5">
        <f>IF(AND(B762="",D762=""),"",ROW()-1)</f>
        <v/>
      </c>
      <c r="B762" s="4" t="n"/>
      <c r="C762" s="5">
        <f>IF(B762="","",IFERROR(VLOOKUP(B762,'Products'!$A$2:$F$201,2,FALSE),"Product not found"))</f>
        <v/>
      </c>
      <c r="D762" s="4" t="n"/>
      <c r="E762" s="5">
        <f>IF(D762="","",IFERROR(VLOOKUP(D762,'Items'!$A$2:$L$201,2,FALSE),"Item not found"))</f>
        <v/>
      </c>
      <c r="F762" s="9" t="n"/>
      <c r="G762" s="4" t="n"/>
      <c r="H762" s="10">
        <f>IF(OR(F762="",G762=""),"",IFERROR(F762*VLOOKUP(G762,'Units'!$A$2:$D$13,4,FALSE),""))</f>
        <v/>
      </c>
      <c r="I762" s="5">
        <f>IF(D762="","",IFERROR(VLOOKUP(D762,'Items'!$A$2:$L$201,4,FALSE),""))</f>
        <v/>
      </c>
      <c r="J762" s="10">
        <f>IF(D762="","",IFERROR(VLOOKUP(D762,'Items'!$A$2:$L$201,10,FALSE),""))</f>
        <v/>
      </c>
      <c r="K762" s="10">
        <f>IF(OR(H762="",J762=""),"",H762*J762)</f>
        <v/>
      </c>
      <c r="L762" s="5">
        <f>IF(AND(B762="",D762=""),"",IF(B762="","Missing product",IF(D762="","Missing item",IF(C762="Product not found","Product not found",IF(E762="Item not found","Item not found",IF(OR(F762="",G762=""),"Missing quantity/unit",IF(IFERROR(VLOOKUP(G762,'Units'!$A$2:$D$13,3,FALSE),"")&lt;&gt;I762,"Unit mismatch",IF(J762="","Enter item cost","OK"))))))))</f>
        <v/>
      </c>
      <c r="M762" s="4" t="n"/>
    </row>
    <row r="763">
      <c r="A763" s="5">
        <f>IF(AND(B763="",D763=""),"",ROW()-1)</f>
        <v/>
      </c>
      <c r="B763" s="4" t="n"/>
      <c r="C763" s="5">
        <f>IF(B763="","",IFERROR(VLOOKUP(B763,'Products'!$A$2:$F$201,2,FALSE),"Product not found"))</f>
        <v/>
      </c>
      <c r="D763" s="4" t="n"/>
      <c r="E763" s="5">
        <f>IF(D763="","",IFERROR(VLOOKUP(D763,'Items'!$A$2:$L$201,2,FALSE),"Item not found"))</f>
        <v/>
      </c>
      <c r="F763" s="9" t="n"/>
      <c r="G763" s="4" t="n"/>
      <c r="H763" s="10">
        <f>IF(OR(F763="",G763=""),"",IFERROR(F763*VLOOKUP(G763,'Units'!$A$2:$D$13,4,FALSE),""))</f>
        <v/>
      </c>
      <c r="I763" s="5">
        <f>IF(D763="","",IFERROR(VLOOKUP(D763,'Items'!$A$2:$L$201,4,FALSE),""))</f>
        <v/>
      </c>
      <c r="J763" s="10">
        <f>IF(D763="","",IFERROR(VLOOKUP(D763,'Items'!$A$2:$L$201,10,FALSE),""))</f>
        <v/>
      </c>
      <c r="K763" s="10">
        <f>IF(OR(H763="",J763=""),"",H763*J763)</f>
        <v/>
      </c>
      <c r="L763" s="5">
        <f>IF(AND(B763="",D763=""),"",IF(B763="","Missing product",IF(D763="","Missing item",IF(C763="Product not found","Product not found",IF(E763="Item not found","Item not found",IF(OR(F763="",G763=""),"Missing quantity/unit",IF(IFERROR(VLOOKUP(G763,'Units'!$A$2:$D$13,3,FALSE),"")&lt;&gt;I763,"Unit mismatch",IF(J763="","Enter item cost","OK"))))))))</f>
        <v/>
      </c>
      <c r="M763" s="4" t="n"/>
    </row>
    <row r="764">
      <c r="A764" s="5">
        <f>IF(AND(B764="",D764=""),"",ROW()-1)</f>
        <v/>
      </c>
      <c r="B764" s="4" t="n"/>
      <c r="C764" s="5">
        <f>IF(B764="","",IFERROR(VLOOKUP(B764,'Products'!$A$2:$F$201,2,FALSE),"Product not found"))</f>
        <v/>
      </c>
      <c r="D764" s="4" t="n"/>
      <c r="E764" s="5">
        <f>IF(D764="","",IFERROR(VLOOKUP(D764,'Items'!$A$2:$L$201,2,FALSE),"Item not found"))</f>
        <v/>
      </c>
      <c r="F764" s="9" t="n"/>
      <c r="G764" s="4" t="n"/>
      <c r="H764" s="10">
        <f>IF(OR(F764="",G764=""),"",IFERROR(F764*VLOOKUP(G764,'Units'!$A$2:$D$13,4,FALSE),""))</f>
        <v/>
      </c>
      <c r="I764" s="5">
        <f>IF(D764="","",IFERROR(VLOOKUP(D764,'Items'!$A$2:$L$201,4,FALSE),""))</f>
        <v/>
      </c>
      <c r="J764" s="10">
        <f>IF(D764="","",IFERROR(VLOOKUP(D764,'Items'!$A$2:$L$201,10,FALSE),""))</f>
        <v/>
      </c>
      <c r="K764" s="10">
        <f>IF(OR(H764="",J764=""),"",H764*J764)</f>
        <v/>
      </c>
      <c r="L764" s="5">
        <f>IF(AND(B764="",D764=""),"",IF(B764="","Missing product",IF(D764="","Missing item",IF(C764="Product not found","Product not found",IF(E764="Item not found","Item not found",IF(OR(F764="",G764=""),"Missing quantity/unit",IF(IFERROR(VLOOKUP(G764,'Units'!$A$2:$D$13,3,FALSE),"")&lt;&gt;I764,"Unit mismatch",IF(J764="","Enter item cost","OK"))))))))</f>
        <v/>
      </c>
      <c r="M764" s="4" t="n"/>
    </row>
    <row r="765">
      <c r="A765" s="5">
        <f>IF(AND(B765="",D765=""),"",ROW()-1)</f>
        <v/>
      </c>
      <c r="B765" s="4" t="n"/>
      <c r="C765" s="5">
        <f>IF(B765="","",IFERROR(VLOOKUP(B765,'Products'!$A$2:$F$201,2,FALSE),"Product not found"))</f>
        <v/>
      </c>
      <c r="D765" s="4" t="n"/>
      <c r="E765" s="5">
        <f>IF(D765="","",IFERROR(VLOOKUP(D765,'Items'!$A$2:$L$201,2,FALSE),"Item not found"))</f>
        <v/>
      </c>
      <c r="F765" s="9" t="n"/>
      <c r="G765" s="4" t="n"/>
      <c r="H765" s="10">
        <f>IF(OR(F765="",G765=""),"",IFERROR(F765*VLOOKUP(G765,'Units'!$A$2:$D$13,4,FALSE),""))</f>
        <v/>
      </c>
      <c r="I765" s="5">
        <f>IF(D765="","",IFERROR(VLOOKUP(D765,'Items'!$A$2:$L$201,4,FALSE),""))</f>
        <v/>
      </c>
      <c r="J765" s="10">
        <f>IF(D765="","",IFERROR(VLOOKUP(D765,'Items'!$A$2:$L$201,10,FALSE),""))</f>
        <v/>
      </c>
      <c r="K765" s="10">
        <f>IF(OR(H765="",J765=""),"",H765*J765)</f>
        <v/>
      </c>
      <c r="L765" s="5">
        <f>IF(AND(B765="",D765=""),"",IF(B765="","Missing product",IF(D765="","Missing item",IF(C765="Product not found","Product not found",IF(E765="Item not found","Item not found",IF(OR(F765="",G765=""),"Missing quantity/unit",IF(IFERROR(VLOOKUP(G765,'Units'!$A$2:$D$13,3,FALSE),"")&lt;&gt;I765,"Unit mismatch",IF(J765="","Enter item cost","OK"))))))))</f>
        <v/>
      </c>
      <c r="M765" s="4" t="n"/>
    </row>
    <row r="766">
      <c r="A766" s="5">
        <f>IF(AND(B766="",D766=""),"",ROW()-1)</f>
        <v/>
      </c>
      <c r="B766" s="4" t="n"/>
      <c r="C766" s="5">
        <f>IF(B766="","",IFERROR(VLOOKUP(B766,'Products'!$A$2:$F$201,2,FALSE),"Product not found"))</f>
        <v/>
      </c>
      <c r="D766" s="4" t="n"/>
      <c r="E766" s="5">
        <f>IF(D766="","",IFERROR(VLOOKUP(D766,'Items'!$A$2:$L$201,2,FALSE),"Item not found"))</f>
        <v/>
      </c>
      <c r="F766" s="9" t="n"/>
      <c r="G766" s="4" t="n"/>
      <c r="H766" s="10">
        <f>IF(OR(F766="",G766=""),"",IFERROR(F766*VLOOKUP(G766,'Units'!$A$2:$D$13,4,FALSE),""))</f>
        <v/>
      </c>
      <c r="I766" s="5">
        <f>IF(D766="","",IFERROR(VLOOKUP(D766,'Items'!$A$2:$L$201,4,FALSE),""))</f>
        <v/>
      </c>
      <c r="J766" s="10">
        <f>IF(D766="","",IFERROR(VLOOKUP(D766,'Items'!$A$2:$L$201,10,FALSE),""))</f>
        <v/>
      </c>
      <c r="K766" s="10">
        <f>IF(OR(H766="",J766=""),"",H766*J766)</f>
        <v/>
      </c>
      <c r="L766" s="5">
        <f>IF(AND(B766="",D766=""),"",IF(B766="","Missing product",IF(D766="","Missing item",IF(C766="Product not found","Product not found",IF(E766="Item not found","Item not found",IF(OR(F766="",G766=""),"Missing quantity/unit",IF(IFERROR(VLOOKUP(G766,'Units'!$A$2:$D$13,3,FALSE),"")&lt;&gt;I766,"Unit mismatch",IF(J766="","Enter item cost","OK"))))))))</f>
        <v/>
      </c>
      <c r="M766" s="4" t="n"/>
    </row>
    <row r="767">
      <c r="A767" s="5">
        <f>IF(AND(B767="",D767=""),"",ROW()-1)</f>
        <v/>
      </c>
      <c r="B767" s="4" t="n"/>
      <c r="C767" s="5">
        <f>IF(B767="","",IFERROR(VLOOKUP(B767,'Products'!$A$2:$F$201,2,FALSE),"Product not found"))</f>
        <v/>
      </c>
      <c r="D767" s="4" t="n"/>
      <c r="E767" s="5">
        <f>IF(D767="","",IFERROR(VLOOKUP(D767,'Items'!$A$2:$L$201,2,FALSE),"Item not found"))</f>
        <v/>
      </c>
      <c r="F767" s="9" t="n"/>
      <c r="G767" s="4" t="n"/>
      <c r="H767" s="10">
        <f>IF(OR(F767="",G767=""),"",IFERROR(F767*VLOOKUP(G767,'Units'!$A$2:$D$13,4,FALSE),""))</f>
        <v/>
      </c>
      <c r="I767" s="5">
        <f>IF(D767="","",IFERROR(VLOOKUP(D767,'Items'!$A$2:$L$201,4,FALSE),""))</f>
        <v/>
      </c>
      <c r="J767" s="10">
        <f>IF(D767="","",IFERROR(VLOOKUP(D767,'Items'!$A$2:$L$201,10,FALSE),""))</f>
        <v/>
      </c>
      <c r="K767" s="10">
        <f>IF(OR(H767="",J767=""),"",H767*J767)</f>
        <v/>
      </c>
      <c r="L767" s="5">
        <f>IF(AND(B767="",D767=""),"",IF(B767="","Missing product",IF(D767="","Missing item",IF(C767="Product not found","Product not found",IF(E767="Item not found","Item not found",IF(OR(F767="",G767=""),"Missing quantity/unit",IF(IFERROR(VLOOKUP(G767,'Units'!$A$2:$D$13,3,FALSE),"")&lt;&gt;I767,"Unit mismatch",IF(J767="","Enter item cost","OK"))))))))</f>
        <v/>
      </c>
      <c r="M767" s="4" t="n"/>
    </row>
    <row r="768">
      <c r="A768" s="5">
        <f>IF(AND(B768="",D768=""),"",ROW()-1)</f>
        <v/>
      </c>
      <c r="B768" s="4" t="n"/>
      <c r="C768" s="5">
        <f>IF(B768="","",IFERROR(VLOOKUP(B768,'Products'!$A$2:$F$201,2,FALSE),"Product not found"))</f>
        <v/>
      </c>
      <c r="D768" s="4" t="n"/>
      <c r="E768" s="5">
        <f>IF(D768="","",IFERROR(VLOOKUP(D768,'Items'!$A$2:$L$201,2,FALSE),"Item not found"))</f>
        <v/>
      </c>
      <c r="F768" s="9" t="n"/>
      <c r="G768" s="4" t="n"/>
      <c r="H768" s="10">
        <f>IF(OR(F768="",G768=""),"",IFERROR(F768*VLOOKUP(G768,'Units'!$A$2:$D$13,4,FALSE),""))</f>
        <v/>
      </c>
      <c r="I768" s="5">
        <f>IF(D768="","",IFERROR(VLOOKUP(D768,'Items'!$A$2:$L$201,4,FALSE),""))</f>
        <v/>
      </c>
      <c r="J768" s="10">
        <f>IF(D768="","",IFERROR(VLOOKUP(D768,'Items'!$A$2:$L$201,10,FALSE),""))</f>
        <v/>
      </c>
      <c r="K768" s="10">
        <f>IF(OR(H768="",J768=""),"",H768*J768)</f>
        <v/>
      </c>
      <c r="L768" s="5">
        <f>IF(AND(B768="",D768=""),"",IF(B768="","Missing product",IF(D768="","Missing item",IF(C768="Product not found","Product not found",IF(E768="Item not found","Item not found",IF(OR(F768="",G768=""),"Missing quantity/unit",IF(IFERROR(VLOOKUP(G768,'Units'!$A$2:$D$13,3,FALSE),"")&lt;&gt;I768,"Unit mismatch",IF(J768="","Enter item cost","OK"))))))))</f>
        <v/>
      </c>
      <c r="M768" s="4" t="n"/>
    </row>
    <row r="769">
      <c r="A769" s="5">
        <f>IF(AND(B769="",D769=""),"",ROW()-1)</f>
        <v/>
      </c>
      <c r="B769" s="4" t="n"/>
      <c r="C769" s="5">
        <f>IF(B769="","",IFERROR(VLOOKUP(B769,'Products'!$A$2:$F$201,2,FALSE),"Product not found"))</f>
        <v/>
      </c>
      <c r="D769" s="4" t="n"/>
      <c r="E769" s="5">
        <f>IF(D769="","",IFERROR(VLOOKUP(D769,'Items'!$A$2:$L$201,2,FALSE),"Item not found"))</f>
        <v/>
      </c>
      <c r="F769" s="9" t="n"/>
      <c r="G769" s="4" t="n"/>
      <c r="H769" s="10">
        <f>IF(OR(F769="",G769=""),"",IFERROR(F769*VLOOKUP(G769,'Units'!$A$2:$D$13,4,FALSE),""))</f>
        <v/>
      </c>
      <c r="I769" s="5">
        <f>IF(D769="","",IFERROR(VLOOKUP(D769,'Items'!$A$2:$L$201,4,FALSE),""))</f>
        <v/>
      </c>
      <c r="J769" s="10">
        <f>IF(D769="","",IFERROR(VLOOKUP(D769,'Items'!$A$2:$L$201,10,FALSE),""))</f>
        <v/>
      </c>
      <c r="K769" s="10">
        <f>IF(OR(H769="",J769=""),"",H769*J769)</f>
        <v/>
      </c>
      <c r="L769" s="5">
        <f>IF(AND(B769="",D769=""),"",IF(B769="","Missing product",IF(D769="","Missing item",IF(C769="Product not found","Product not found",IF(E769="Item not found","Item not found",IF(OR(F769="",G769=""),"Missing quantity/unit",IF(IFERROR(VLOOKUP(G769,'Units'!$A$2:$D$13,3,FALSE),"")&lt;&gt;I769,"Unit mismatch",IF(J769="","Enter item cost","OK"))))))))</f>
        <v/>
      </c>
      <c r="M769" s="4" t="n"/>
    </row>
    <row r="770">
      <c r="A770" s="5">
        <f>IF(AND(B770="",D770=""),"",ROW()-1)</f>
        <v/>
      </c>
      <c r="B770" s="4" t="n"/>
      <c r="C770" s="5">
        <f>IF(B770="","",IFERROR(VLOOKUP(B770,'Products'!$A$2:$F$201,2,FALSE),"Product not found"))</f>
        <v/>
      </c>
      <c r="D770" s="4" t="n"/>
      <c r="E770" s="5">
        <f>IF(D770="","",IFERROR(VLOOKUP(D770,'Items'!$A$2:$L$201,2,FALSE),"Item not found"))</f>
        <v/>
      </c>
      <c r="F770" s="9" t="n"/>
      <c r="G770" s="4" t="n"/>
      <c r="H770" s="10">
        <f>IF(OR(F770="",G770=""),"",IFERROR(F770*VLOOKUP(G770,'Units'!$A$2:$D$13,4,FALSE),""))</f>
        <v/>
      </c>
      <c r="I770" s="5">
        <f>IF(D770="","",IFERROR(VLOOKUP(D770,'Items'!$A$2:$L$201,4,FALSE),""))</f>
        <v/>
      </c>
      <c r="J770" s="10">
        <f>IF(D770="","",IFERROR(VLOOKUP(D770,'Items'!$A$2:$L$201,10,FALSE),""))</f>
        <v/>
      </c>
      <c r="K770" s="10">
        <f>IF(OR(H770="",J770=""),"",H770*J770)</f>
        <v/>
      </c>
      <c r="L770" s="5">
        <f>IF(AND(B770="",D770=""),"",IF(B770="","Missing product",IF(D770="","Missing item",IF(C770="Product not found","Product not found",IF(E770="Item not found","Item not found",IF(OR(F770="",G770=""),"Missing quantity/unit",IF(IFERROR(VLOOKUP(G770,'Units'!$A$2:$D$13,3,FALSE),"")&lt;&gt;I770,"Unit mismatch",IF(J770="","Enter item cost","OK"))))))))</f>
        <v/>
      </c>
      <c r="M770" s="4" t="n"/>
    </row>
    <row r="771">
      <c r="A771" s="5">
        <f>IF(AND(B771="",D771=""),"",ROW()-1)</f>
        <v/>
      </c>
      <c r="B771" s="4" t="n"/>
      <c r="C771" s="5">
        <f>IF(B771="","",IFERROR(VLOOKUP(B771,'Products'!$A$2:$F$201,2,FALSE),"Product not found"))</f>
        <v/>
      </c>
      <c r="D771" s="4" t="n"/>
      <c r="E771" s="5">
        <f>IF(D771="","",IFERROR(VLOOKUP(D771,'Items'!$A$2:$L$201,2,FALSE),"Item not found"))</f>
        <v/>
      </c>
      <c r="F771" s="9" t="n"/>
      <c r="G771" s="4" t="n"/>
      <c r="H771" s="10">
        <f>IF(OR(F771="",G771=""),"",IFERROR(F771*VLOOKUP(G771,'Units'!$A$2:$D$13,4,FALSE),""))</f>
        <v/>
      </c>
      <c r="I771" s="5">
        <f>IF(D771="","",IFERROR(VLOOKUP(D771,'Items'!$A$2:$L$201,4,FALSE),""))</f>
        <v/>
      </c>
      <c r="J771" s="10">
        <f>IF(D771="","",IFERROR(VLOOKUP(D771,'Items'!$A$2:$L$201,10,FALSE),""))</f>
        <v/>
      </c>
      <c r="K771" s="10">
        <f>IF(OR(H771="",J771=""),"",H771*J771)</f>
        <v/>
      </c>
      <c r="L771" s="5">
        <f>IF(AND(B771="",D771=""),"",IF(B771="","Missing product",IF(D771="","Missing item",IF(C771="Product not found","Product not found",IF(E771="Item not found","Item not found",IF(OR(F771="",G771=""),"Missing quantity/unit",IF(IFERROR(VLOOKUP(G771,'Units'!$A$2:$D$13,3,FALSE),"")&lt;&gt;I771,"Unit mismatch",IF(J771="","Enter item cost","OK"))))))))</f>
        <v/>
      </c>
      <c r="M771" s="4" t="n"/>
    </row>
    <row r="772">
      <c r="A772" s="5">
        <f>IF(AND(B772="",D772=""),"",ROW()-1)</f>
        <v/>
      </c>
      <c r="B772" s="4" t="n"/>
      <c r="C772" s="5">
        <f>IF(B772="","",IFERROR(VLOOKUP(B772,'Products'!$A$2:$F$201,2,FALSE),"Product not found"))</f>
        <v/>
      </c>
      <c r="D772" s="4" t="n"/>
      <c r="E772" s="5">
        <f>IF(D772="","",IFERROR(VLOOKUP(D772,'Items'!$A$2:$L$201,2,FALSE),"Item not found"))</f>
        <v/>
      </c>
      <c r="F772" s="9" t="n"/>
      <c r="G772" s="4" t="n"/>
      <c r="H772" s="10">
        <f>IF(OR(F772="",G772=""),"",IFERROR(F772*VLOOKUP(G772,'Units'!$A$2:$D$13,4,FALSE),""))</f>
        <v/>
      </c>
      <c r="I772" s="5">
        <f>IF(D772="","",IFERROR(VLOOKUP(D772,'Items'!$A$2:$L$201,4,FALSE),""))</f>
        <v/>
      </c>
      <c r="J772" s="10">
        <f>IF(D772="","",IFERROR(VLOOKUP(D772,'Items'!$A$2:$L$201,10,FALSE),""))</f>
        <v/>
      </c>
      <c r="K772" s="10">
        <f>IF(OR(H772="",J772=""),"",H772*J772)</f>
        <v/>
      </c>
      <c r="L772" s="5">
        <f>IF(AND(B772="",D772=""),"",IF(B772="","Missing product",IF(D772="","Missing item",IF(C772="Product not found","Product not found",IF(E772="Item not found","Item not found",IF(OR(F772="",G772=""),"Missing quantity/unit",IF(IFERROR(VLOOKUP(G772,'Units'!$A$2:$D$13,3,FALSE),"")&lt;&gt;I772,"Unit mismatch",IF(J772="","Enter item cost","OK"))))))))</f>
        <v/>
      </c>
      <c r="M772" s="4" t="n"/>
    </row>
    <row r="773">
      <c r="A773" s="5">
        <f>IF(AND(B773="",D773=""),"",ROW()-1)</f>
        <v/>
      </c>
      <c r="B773" s="4" t="n"/>
      <c r="C773" s="5">
        <f>IF(B773="","",IFERROR(VLOOKUP(B773,'Products'!$A$2:$F$201,2,FALSE),"Product not found"))</f>
        <v/>
      </c>
      <c r="D773" s="4" t="n"/>
      <c r="E773" s="5">
        <f>IF(D773="","",IFERROR(VLOOKUP(D773,'Items'!$A$2:$L$201,2,FALSE),"Item not found"))</f>
        <v/>
      </c>
      <c r="F773" s="9" t="n"/>
      <c r="G773" s="4" t="n"/>
      <c r="H773" s="10">
        <f>IF(OR(F773="",G773=""),"",IFERROR(F773*VLOOKUP(G773,'Units'!$A$2:$D$13,4,FALSE),""))</f>
        <v/>
      </c>
      <c r="I773" s="5">
        <f>IF(D773="","",IFERROR(VLOOKUP(D773,'Items'!$A$2:$L$201,4,FALSE),""))</f>
        <v/>
      </c>
      <c r="J773" s="10">
        <f>IF(D773="","",IFERROR(VLOOKUP(D773,'Items'!$A$2:$L$201,10,FALSE),""))</f>
        <v/>
      </c>
      <c r="K773" s="10">
        <f>IF(OR(H773="",J773=""),"",H773*J773)</f>
        <v/>
      </c>
      <c r="L773" s="5">
        <f>IF(AND(B773="",D773=""),"",IF(B773="","Missing product",IF(D773="","Missing item",IF(C773="Product not found","Product not found",IF(E773="Item not found","Item not found",IF(OR(F773="",G773=""),"Missing quantity/unit",IF(IFERROR(VLOOKUP(G773,'Units'!$A$2:$D$13,3,FALSE),"")&lt;&gt;I773,"Unit mismatch",IF(J773="","Enter item cost","OK"))))))))</f>
        <v/>
      </c>
      <c r="M773" s="4" t="n"/>
    </row>
    <row r="774">
      <c r="A774" s="5">
        <f>IF(AND(B774="",D774=""),"",ROW()-1)</f>
        <v/>
      </c>
      <c r="B774" s="4" t="n"/>
      <c r="C774" s="5">
        <f>IF(B774="","",IFERROR(VLOOKUP(B774,'Products'!$A$2:$F$201,2,FALSE),"Product not found"))</f>
        <v/>
      </c>
      <c r="D774" s="4" t="n"/>
      <c r="E774" s="5">
        <f>IF(D774="","",IFERROR(VLOOKUP(D774,'Items'!$A$2:$L$201,2,FALSE),"Item not found"))</f>
        <v/>
      </c>
      <c r="F774" s="9" t="n"/>
      <c r="G774" s="4" t="n"/>
      <c r="H774" s="10">
        <f>IF(OR(F774="",G774=""),"",IFERROR(F774*VLOOKUP(G774,'Units'!$A$2:$D$13,4,FALSE),""))</f>
        <v/>
      </c>
      <c r="I774" s="5">
        <f>IF(D774="","",IFERROR(VLOOKUP(D774,'Items'!$A$2:$L$201,4,FALSE),""))</f>
        <v/>
      </c>
      <c r="J774" s="10">
        <f>IF(D774="","",IFERROR(VLOOKUP(D774,'Items'!$A$2:$L$201,10,FALSE),""))</f>
        <v/>
      </c>
      <c r="K774" s="10">
        <f>IF(OR(H774="",J774=""),"",H774*J774)</f>
        <v/>
      </c>
      <c r="L774" s="5">
        <f>IF(AND(B774="",D774=""),"",IF(B774="","Missing product",IF(D774="","Missing item",IF(C774="Product not found","Product not found",IF(E774="Item not found","Item not found",IF(OR(F774="",G774=""),"Missing quantity/unit",IF(IFERROR(VLOOKUP(G774,'Units'!$A$2:$D$13,3,FALSE),"")&lt;&gt;I774,"Unit mismatch",IF(J774="","Enter item cost","OK"))))))))</f>
        <v/>
      </c>
      <c r="M774" s="4" t="n"/>
    </row>
    <row r="775">
      <c r="A775" s="5">
        <f>IF(AND(B775="",D775=""),"",ROW()-1)</f>
        <v/>
      </c>
      <c r="B775" s="4" t="n"/>
      <c r="C775" s="5">
        <f>IF(B775="","",IFERROR(VLOOKUP(B775,'Products'!$A$2:$F$201,2,FALSE),"Product not found"))</f>
        <v/>
      </c>
      <c r="D775" s="4" t="n"/>
      <c r="E775" s="5">
        <f>IF(D775="","",IFERROR(VLOOKUP(D775,'Items'!$A$2:$L$201,2,FALSE),"Item not found"))</f>
        <v/>
      </c>
      <c r="F775" s="9" t="n"/>
      <c r="G775" s="4" t="n"/>
      <c r="H775" s="10">
        <f>IF(OR(F775="",G775=""),"",IFERROR(F775*VLOOKUP(G775,'Units'!$A$2:$D$13,4,FALSE),""))</f>
        <v/>
      </c>
      <c r="I775" s="5">
        <f>IF(D775="","",IFERROR(VLOOKUP(D775,'Items'!$A$2:$L$201,4,FALSE),""))</f>
        <v/>
      </c>
      <c r="J775" s="10">
        <f>IF(D775="","",IFERROR(VLOOKUP(D775,'Items'!$A$2:$L$201,10,FALSE),""))</f>
        <v/>
      </c>
      <c r="K775" s="10">
        <f>IF(OR(H775="",J775=""),"",H775*J775)</f>
        <v/>
      </c>
      <c r="L775" s="5">
        <f>IF(AND(B775="",D775=""),"",IF(B775="","Missing product",IF(D775="","Missing item",IF(C775="Product not found","Product not found",IF(E775="Item not found","Item not found",IF(OR(F775="",G775=""),"Missing quantity/unit",IF(IFERROR(VLOOKUP(G775,'Units'!$A$2:$D$13,3,FALSE),"")&lt;&gt;I775,"Unit mismatch",IF(J775="","Enter item cost","OK"))))))))</f>
        <v/>
      </c>
      <c r="M775" s="4" t="n"/>
    </row>
    <row r="776">
      <c r="A776" s="5">
        <f>IF(AND(B776="",D776=""),"",ROW()-1)</f>
        <v/>
      </c>
      <c r="B776" s="4" t="n"/>
      <c r="C776" s="5">
        <f>IF(B776="","",IFERROR(VLOOKUP(B776,'Products'!$A$2:$F$201,2,FALSE),"Product not found"))</f>
        <v/>
      </c>
      <c r="D776" s="4" t="n"/>
      <c r="E776" s="5">
        <f>IF(D776="","",IFERROR(VLOOKUP(D776,'Items'!$A$2:$L$201,2,FALSE),"Item not found"))</f>
        <v/>
      </c>
      <c r="F776" s="9" t="n"/>
      <c r="G776" s="4" t="n"/>
      <c r="H776" s="10">
        <f>IF(OR(F776="",G776=""),"",IFERROR(F776*VLOOKUP(G776,'Units'!$A$2:$D$13,4,FALSE),""))</f>
        <v/>
      </c>
      <c r="I776" s="5">
        <f>IF(D776="","",IFERROR(VLOOKUP(D776,'Items'!$A$2:$L$201,4,FALSE),""))</f>
        <v/>
      </c>
      <c r="J776" s="10">
        <f>IF(D776="","",IFERROR(VLOOKUP(D776,'Items'!$A$2:$L$201,10,FALSE),""))</f>
        <v/>
      </c>
      <c r="K776" s="10">
        <f>IF(OR(H776="",J776=""),"",H776*J776)</f>
        <v/>
      </c>
      <c r="L776" s="5">
        <f>IF(AND(B776="",D776=""),"",IF(B776="","Missing product",IF(D776="","Missing item",IF(C776="Product not found","Product not found",IF(E776="Item not found","Item not found",IF(OR(F776="",G776=""),"Missing quantity/unit",IF(IFERROR(VLOOKUP(G776,'Units'!$A$2:$D$13,3,FALSE),"")&lt;&gt;I776,"Unit mismatch",IF(J776="","Enter item cost","OK"))))))))</f>
        <v/>
      </c>
      <c r="M776" s="4" t="n"/>
    </row>
    <row r="777">
      <c r="A777" s="5">
        <f>IF(AND(B777="",D777=""),"",ROW()-1)</f>
        <v/>
      </c>
      <c r="B777" s="4" t="n"/>
      <c r="C777" s="5">
        <f>IF(B777="","",IFERROR(VLOOKUP(B777,'Products'!$A$2:$F$201,2,FALSE),"Product not found"))</f>
        <v/>
      </c>
      <c r="D777" s="4" t="n"/>
      <c r="E777" s="5">
        <f>IF(D777="","",IFERROR(VLOOKUP(D777,'Items'!$A$2:$L$201,2,FALSE),"Item not found"))</f>
        <v/>
      </c>
      <c r="F777" s="9" t="n"/>
      <c r="G777" s="4" t="n"/>
      <c r="H777" s="10">
        <f>IF(OR(F777="",G777=""),"",IFERROR(F777*VLOOKUP(G777,'Units'!$A$2:$D$13,4,FALSE),""))</f>
        <v/>
      </c>
      <c r="I777" s="5">
        <f>IF(D777="","",IFERROR(VLOOKUP(D777,'Items'!$A$2:$L$201,4,FALSE),""))</f>
        <v/>
      </c>
      <c r="J777" s="10">
        <f>IF(D777="","",IFERROR(VLOOKUP(D777,'Items'!$A$2:$L$201,10,FALSE),""))</f>
        <v/>
      </c>
      <c r="K777" s="10">
        <f>IF(OR(H777="",J777=""),"",H777*J777)</f>
        <v/>
      </c>
      <c r="L777" s="5">
        <f>IF(AND(B777="",D777=""),"",IF(B777="","Missing product",IF(D777="","Missing item",IF(C777="Product not found","Product not found",IF(E777="Item not found","Item not found",IF(OR(F777="",G777=""),"Missing quantity/unit",IF(IFERROR(VLOOKUP(G777,'Units'!$A$2:$D$13,3,FALSE),"")&lt;&gt;I777,"Unit mismatch",IF(J777="","Enter item cost","OK"))))))))</f>
        <v/>
      </c>
      <c r="M777" s="4" t="n"/>
    </row>
    <row r="778">
      <c r="A778" s="5">
        <f>IF(AND(B778="",D778=""),"",ROW()-1)</f>
        <v/>
      </c>
      <c r="B778" s="4" t="n"/>
      <c r="C778" s="5">
        <f>IF(B778="","",IFERROR(VLOOKUP(B778,'Products'!$A$2:$F$201,2,FALSE),"Product not found"))</f>
        <v/>
      </c>
      <c r="D778" s="4" t="n"/>
      <c r="E778" s="5">
        <f>IF(D778="","",IFERROR(VLOOKUP(D778,'Items'!$A$2:$L$201,2,FALSE),"Item not found"))</f>
        <v/>
      </c>
      <c r="F778" s="9" t="n"/>
      <c r="G778" s="4" t="n"/>
      <c r="H778" s="10">
        <f>IF(OR(F778="",G778=""),"",IFERROR(F778*VLOOKUP(G778,'Units'!$A$2:$D$13,4,FALSE),""))</f>
        <v/>
      </c>
      <c r="I778" s="5">
        <f>IF(D778="","",IFERROR(VLOOKUP(D778,'Items'!$A$2:$L$201,4,FALSE),""))</f>
        <v/>
      </c>
      <c r="J778" s="10">
        <f>IF(D778="","",IFERROR(VLOOKUP(D778,'Items'!$A$2:$L$201,10,FALSE),""))</f>
        <v/>
      </c>
      <c r="K778" s="10">
        <f>IF(OR(H778="",J778=""),"",H778*J778)</f>
        <v/>
      </c>
      <c r="L778" s="5">
        <f>IF(AND(B778="",D778=""),"",IF(B778="","Missing product",IF(D778="","Missing item",IF(C778="Product not found","Product not found",IF(E778="Item not found","Item not found",IF(OR(F778="",G778=""),"Missing quantity/unit",IF(IFERROR(VLOOKUP(G778,'Units'!$A$2:$D$13,3,FALSE),"")&lt;&gt;I778,"Unit mismatch",IF(J778="","Enter item cost","OK"))))))))</f>
        <v/>
      </c>
      <c r="M778" s="4" t="n"/>
    </row>
    <row r="779">
      <c r="A779" s="5">
        <f>IF(AND(B779="",D779=""),"",ROW()-1)</f>
        <v/>
      </c>
      <c r="B779" s="4" t="n"/>
      <c r="C779" s="5">
        <f>IF(B779="","",IFERROR(VLOOKUP(B779,'Products'!$A$2:$F$201,2,FALSE),"Product not found"))</f>
        <v/>
      </c>
      <c r="D779" s="4" t="n"/>
      <c r="E779" s="5">
        <f>IF(D779="","",IFERROR(VLOOKUP(D779,'Items'!$A$2:$L$201,2,FALSE),"Item not found"))</f>
        <v/>
      </c>
      <c r="F779" s="9" t="n"/>
      <c r="G779" s="4" t="n"/>
      <c r="H779" s="10">
        <f>IF(OR(F779="",G779=""),"",IFERROR(F779*VLOOKUP(G779,'Units'!$A$2:$D$13,4,FALSE),""))</f>
        <v/>
      </c>
      <c r="I779" s="5">
        <f>IF(D779="","",IFERROR(VLOOKUP(D779,'Items'!$A$2:$L$201,4,FALSE),""))</f>
        <v/>
      </c>
      <c r="J779" s="10">
        <f>IF(D779="","",IFERROR(VLOOKUP(D779,'Items'!$A$2:$L$201,10,FALSE),""))</f>
        <v/>
      </c>
      <c r="K779" s="10">
        <f>IF(OR(H779="",J779=""),"",H779*J779)</f>
        <v/>
      </c>
      <c r="L779" s="5">
        <f>IF(AND(B779="",D779=""),"",IF(B779="","Missing product",IF(D779="","Missing item",IF(C779="Product not found","Product not found",IF(E779="Item not found","Item not found",IF(OR(F779="",G779=""),"Missing quantity/unit",IF(IFERROR(VLOOKUP(G779,'Units'!$A$2:$D$13,3,FALSE),"")&lt;&gt;I779,"Unit mismatch",IF(J779="","Enter item cost","OK"))))))))</f>
        <v/>
      </c>
      <c r="M779" s="4" t="n"/>
    </row>
    <row r="780">
      <c r="A780" s="5">
        <f>IF(AND(B780="",D780=""),"",ROW()-1)</f>
        <v/>
      </c>
      <c r="B780" s="4" t="n"/>
      <c r="C780" s="5">
        <f>IF(B780="","",IFERROR(VLOOKUP(B780,'Products'!$A$2:$F$201,2,FALSE),"Product not found"))</f>
        <v/>
      </c>
      <c r="D780" s="4" t="n"/>
      <c r="E780" s="5">
        <f>IF(D780="","",IFERROR(VLOOKUP(D780,'Items'!$A$2:$L$201,2,FALSE),"Item not found"))</f>
        <v/>
      </c>
      <c r="F780" s="9" t="n"/>
      <c r="G780" s="4" t="n"/>
      <c r="H780" s="10">
        <f>IF(OR(F780="",G780=""),"",IFERROR(F780*VLOOKUP(G780,'Units'!$A$2:$D$13,4,FALSE),""))</f>
        <v/>
      </c>
      <c r="I780" s="5">
        <f>IF(D780="","",IFERROR(VLOOKUP(D780,'Items'!$A$2:$L$201,4,FALSE),""))</f>
        <v/>
      </c>
      <c r="J780" s="10">
        <f>IF(D780="","",IFERROR(VLOOKUP(D780,'Items'!$A$2:$L$201,10,FALSE),""))</f>
        <v/>
      </c>
      <c r="K780" s="10">
        <f>IF(OR(H780="",J780=""),"",H780*J780)</f>
        <v/>
      </c>
      <c r="L780" s="5">
        <f>IF(AND(B780="",D780=""),"",IF(B780="","Missing product",IF(D780="","Missing item",IF(C780="Product not found","Product not found",IF(E780="Item not found","Item not found",IF(OR(F780="",G780=""),"Missing quantity/unit",IF(IFERROR(VLOOKUP(G780,'Units'!$A$2:$D$13,3,FALSE),"")&lt;&gt;I780,"Unit mismatch",IF(J780="","Enter item cost","OK"))))))))</f>
        <v/>
      </c>
      <c r="M780" s="4" t="n"/>
    </row>
    <row r="781">
      <c r="A781" s="5">
        <f>IF(AND(B781="",D781=""),"",ROW()-1)</f>
        <v/>
      </c>
      <c r="B781" s="4" t="n"/>
      <c r="C781" s="5">
        <f>IF(B781="","",IFERROR(VLOOKUP(B781,'Products'!$A$2:$F$201,2,FALSE),"Product not found"))</f>
        <v/>
      </c>
      <c r="D781" s="4" t="n"/>
      <c r="E781" s="5">
        <f>IF(D781="","",IFERROR(VLOOKUP(D781,'Items'!$A$2:$L$201,2,FALSE),"Item not found"))</f>
        <v/>
      </c>
      <c r="F781" s="9" t="n"/>
      <c r="G781" s="4" t="n"/>
      <c r="H781" s="10">
        <f>IF(OR(F781="",G781=""),"",IFERROR(F781*VLOOKUP(G781,'Units'!$A$2:$D$13,4,FALSE),""))</f>
        <v/>
      </c>
      <c r="I781" s="5">
        <f>IF(D781="","",IFERROR(VLOOKUP(D781,'Items'!$A$2:$L$201,4,FALSE),""))</f>
        <v/>
      </c>
      <c r="J781" s="10">
        <f>IF(D781="","",IFERROR(VLOOKUP(D781,'Items'!$A$2:$L$201,10,FALSE),""))</f>
        <v/>
      </c>
      <c r="K781" s="10">
        <f>IF(OR(H781="",J781=""),"",H781*J781)</f>
        <v/>
      </c>
      <c r="L781" s="5">
        <f>IF(AND(B781="",D781=""),"",IF(B781="","Missing product",IF(D781="","Missing item",IF(C781="Product not found","Product not found",IF(E781="Item not found","Item not found",IF(OR(F781="",G781=""),"Missing quantity/unit",IF(IFERROR(VLOOKUP(G781,'Units'!$A$2:$D$13,3,FALSE),"")&lt;&gt;I781,"Unit mismatch",IF(J781="","Enter item cost","OK"))))))))</f>
        <v/>
      </c>
      <c r="M781" s="4" t="n"/>
    </row>
    <row r="782">
      <c r="A782" s="5">
        <f>IF(AND(B782="",D782=""),"",ROW()-1)</f>
        <v/>
      </c>
      <c r="B782" s="4" t="n"/>
      <c r="C782" s="5">
        <f>IF(B782="","",IFERROR(VLOOKUP(B782,'Products'!$A$2:$F$201,2,FALSE),"Product not found"))</f>
        <v/>
      </c>
      <c r="D782" s="4" t="n"/>
      <c r="E782" s="5">
        <f>IF(D782="","",IFERROR(VLOOKUP(D782,'Items'!$A$2:$L$201,2,FALSE),"Item not found"))</f>
        <v/>
      </c>
      <c r="F782" s="9" t="n"/>
      <c r="G782" s="4" t="n"/>
      <c r="H782" s="10">
        <f>IF(OR(F782="",G782=""),"",IFERROR(F782*VLOOKUP(G782,'Units'!$A$2:$D$13,4,FALSE),""))</f>
        <v/>
      </c>
      <c r="I782" s="5">
        <f>IF(D782="","",IFERROR(VLOOKUP(D782,'Items'!$A$2:$L$201,4,FALSE),""))</f>
        <v/>
      </c>
      <c r="J782" s="10">
        <f>IF(D782="","",IFERROR(VLOOKUP(D782,'Items'!$A$2:$L$201,10,FALSE),""))</f>
        <v/>
      </c>
      <c r="K782" s="10">
        <f>IF(OR(H782="",J782=""),"",H782*J782)</f>
        <v/>
      </c>
      <c r="L782" s="5">
        <f>IF(AND(B782="",D782=""),"",IF(B782="","Missing product",IF(D782="","Missing item",IF(C782="Product not found","Product not found",IF(E782="Item not found","Item not found",IF(OR(F782="",G782=""),"Missing quantity/unit",IF(IFERROR(VLOOKUP(G782,'Units'!$A$2:$D$13,3,FALSE),"")&lt;&gt;I782,"Unit mismatch",IF(J782="","Enter item cost","OK"))))))))</f>
        <v/>
      </c>
      <c r="M782" s="4" t="n"/>
    </row>
    <row r="783">
      <c r="A783" s="5">
        <f>IF(AND(B783="",D783=""),"",ROW()-1)</f>
        <v/>
      </c>
      <c r="B783" s="4" t="n"/>
      <c r="C783" s="5">
        <f>IF(B783="","",IFERROR(VLOOKUP(B783,'Products'!$A$2:$F$201,2,FALSE),"Product not found"))</f>
        <v/>
      </c>
      <c r="D783" s="4" t="n"/>
      <c r="E783" s="5">
        <f>IF(D783="","",IFERROR(VLOOKUP(D783,'Items'!$A$2:$L$201,2,FALSE),"Item not found"))</f>
        <v/>
      </c>
      <c r="F783" s="9" t="n"/>
      <c r="G783" s="4" t="n"/>
      <c r="H783" s="10">
        <f>IF(OR(F783="",G783=""),"",IFERROR(F783*VLOOKUP(G783,'Units'!$A$2:$D$13,4,FALSE),""))</f>
        <v/>
      </c>
      <c r="I783" s="5">
        <f>IF(D783="","",IFERROR(VLOOKUP(D783,'Items'!$A$2:$L$201,4,FALSE),""))</f>
        <v/>
      </c>
      <c r="J783" s="10">
        <f>IF(D783="","",IFERROR(VLOOKUP(D783,'Items'!$A$2:$L$201,10,FALSE),""))</f>
        <v/>
      </c>
      <c r="K783" s="10">
        <f>IF(OR(H783="",J783=""),"",H783*J783)</f>
        <v/>
      </c>
      <c r="L783" s="5">
        <f>IF(AND(B783="",D783=""),"",IF(B783="","Missing product",IF(D783="","Missing item",IF(C783="Product not found","Product not found",IF(E783="Item not found","Item not found",IF(OR(F783="",G783=""),"Missing quantity/unit",IF(IFERROR(VLOOKUP(G783,'Units'!$A$2:$D$13,3,FALSE),"")&lt;&gt;I783,"Unit mismatch",IF(J783="","Enter item cost","OK"))))))))</f>
        <v/>
      </c>
      <c r="M783" s="4" t="n"/>
    </row>
    <row r="784">
      <c r="A784" s="5">
        <f>IF(AND(B784="",D784=""),"",ROW()-1)</f>
        <v/>
      </c>
      <c r="B784" s="4" t="n"/>
      <c r="C784" s="5">
        <f>IF(B784="","",IFERROR(VLOOKUP(B784,'Products'!$A$2:$F$201,2,FALSE),"Product not found"))</f>
        <v/>
      </c>
      <c r="D784" s="4" t="n"/>
      <c r="E784" s="5">
        <f>IF(D784="","",IFERROR(VLOOKUP(D784,'Items'!$A$2:$L$201,2,FALSE),"Item not found"))</f>
        <v/>
      </c>
      <c r="F784" s="9" t="n"/>
      <c r="G784" s="4" t="n"/>
      <c r="H784" s="10">
        <f>IF(OR(F784="",G784=""),"",IFERROR(F784*VLOOKUP(G784,'Units'!$A$2:$D$13,4,FALSE),""))</f>
        <v/>
      </c>
      <c r="I784" s="5">
        <f>IF(D784="","",IFERROR(VLOOKUP(D784,'Items'!$A$2:$L$201,4,FALSE),""))</f>
        <v/>
      </c>
      <c r="J784" s="10">
        <f>IF(D784="","",IFERROR(VLOOKUP(D784,'Items'!$A$2:$L$201,10,FALSE),""))</f>
        <v/>
      </c>
      <c r="K784" s="10">
        <f>IF(OR(H784="",J784=""),"",H784*J784)</f>
        <v/>
      </c>
      <c r="L784" s="5">
        <f>IF(AND(B784="",D784=""),"",IF(B784="","Missing product",IF(D784="","Missing item",IF(C784="Product not found","Product not found",IF(E784="Item not found","Item not found",IF(OR(F784="",G784=""),"Missing quantity/unit",IF(IFERROR(VLOOKUP(G784,'Units'!$A$2:$D$13,3,FALSE),"")&lt;&gt;I784,"Unit mismatch",IF(J784="","Enter item cost","OK"))))))))</f>
        <v/>
      </c>
      <c r="M784" s="4" t="n"/>
    </row>
    <row r="785">
      <c r="A785" s="5">
        <f>IF(AND(B785="",D785=""),"",ROW()-1)</f>
        <v/>
      </c>
      <c r="B785" s="4" t="n"/>
      <c r="C785" s="5">
        <f>IF(B785="","",IFERROR(VLOOKUP(B785,'Products'!$A$2:$F$201,2,FALSE),"Product not found"))</f>
        <v/>
      </c>
      <c r="D785" s="4" t="n"/>
      <c r="E785" s="5">
        <f>IF(D785="","",IFERROR(VLOOKUP(D785,'Items'!$A$2:$L$201,2,FALSE),"Item not found"))</f>
        <v/>
      </c>
      <c r="F785" s="9" t="n"/>
      <c r="G785" s="4" t="n"/>
      <c r="H785" s="10">
        <f>IF(OR(F785="",G785=""),"",IFERROR(F785*VLOOKUP(G785,'Units'!$A$2:$D$13,4,FALSE),""))</f>
        <v/>
      </c>
      <c r="I785" s="5">
        <f>IF(D785="","",IFERROR(VLOOKUP(D785,'Items'!$A$2:$L$201,4,FALSE),""))</f>
        <v/>
      </c>
      <c r="J785" s="10">
        <f>IF(D785="","",IFERROR(VLOOKUP(D785,'Items'!$A$2:$L$201,10,FALSE),""))</f>
        <v/>
      </c>
      <c r="K785" s="10">
        <f>IF(OR(H785="",J785=""),"",H785*J785)</f>
        <v/>
      </c>
      <c r="L785" s="5">
        <f>IF(AND(B785="",D785=""),"",IF(B785="","Missing product",IF(D785="","Missing item",IF(C785="Product not found","Product not found",IF(E785="Item not found","Item not found",IF(OR(F785="",G785=""),"Missing quantity/unit",IF(IFERROR(VLOOKUP(G785,'Units'!$A$2:$D$13,3,FALSE),"")&lt;&gt;I785,"Unit mismatch",IF(J785="","Enter item cost","OK"))))))))</f>
        <v/>
      </c>
      <c r="M785" s="4" t="n"/>
    </row>
    <row r="786">
      <c r="A786" s="5">
        <f>IF(AND(B786="",D786=""),"",ROW()-1)</f>
        <v/>
      </c>
      <c r="B786" s="4" t="n"/>
      <c r="C786" s="5">
        <f>IF(B786="","",IFERROR(VLOOKUP(B786,'Products'!$A$2:$F$201,2,FALSE),"Product not found"))</f>
        <v/>
      </c>
      <c r="D786" s="4" t="n"/>
      <c r="E786" s="5">
        <f>IF(D786="","",IFERROR(VLOOKUP(D786,'Items'!$A$2:$L$201,2,FALSE),"Item not found"))</f>
        <v/>
      </c>
      <c r="F786" s="9" t="n"/>
      <c r="G786" s="4" t="n"/>
      <c r="H786" s="10">
        <f>IF(OR(F786="",G786=""),"",IFERROR(F786*VLOOKUP(G786,'Units'!$A$2:$D$13,4,FALSE),""))</f>
        <v/>
      </c>
      <c r="I786" s="5">
        <f>IF(D786="","",IFERROR(VLOOKUP(D786,'Items'!$A$2:$L$201,4,FALSE),""))</f>
        <v/>
      </c>
      <c r="J786" s="10">
        <f>IF(D786="","",IFERROR(VLOOKUP(D786,'Items'!$A$2:$L$201,10,FALSE),""))</f>
        <v/>
      </c>
      <c r="K786" s="10">
        <f>IF(OR(H786="",J786=""),"",H786*J786)</f>
        <v/>
      </c>
      <c r="L786" s="5">
        <f>IF(AND(B786="",D786=""),"",IF(B786="","Missing product",IF(D786="","Missing item",IF(C786="Product not found","Product not found",IF(E786="Item not found","Item not found",IF(OR(F786="",G786=""),"Missing quantity/unit",IF(IFERROR(VLOOKUP(G786,'Units'!$A$2:$D$13,3,FALSE),"")&lt;&gt;I786,"Unit mismatch",IF(J786="","Enter item cost","OK"))))))))</f>
        <v/>
      </c>
      <c r="M786" s="4" t="n"/>
    </row>
    <row r="787">
      <c r="A787" s="5">
        <f>IF(AND(B787="",D787=""),"",ROW()-1)</f>
        <v/>
      </c>
      <c r="B787" s="4" t="n"/>
      <c r="C787" s="5">
        <f>IF(B787="","",IFERROR(VLOOKUP(B787,'Products'!$A$2:$F$201,2,FALSE),"Product not found"))</f>
        <v/>
      </c>
      <c r="D787" s="4" t="n"/>
      <c r="E787" s="5">
        <f>IF(D787="","",IFERROR(VLOOKUP(D787,'Items'!$A$2:$L$201,2,FALSE),"Item not found"))</f>
        <v/>
      </c>
      <c r="F787" s="9" t="n"/>
      <c r="G787" s="4" t="n"/>
      <c r="H787" s="10">
        <f>IF(OR(F787="",G787=""),"",IFERROR(F787*VLOOKUP(G787,'Units'!$A$2:$D$13,4,FALSE),""))</f>
        <v/>
      </c>
      <c r="I787" s="5">
        <f>IF(D787="","",IFERROR(VLOOKUP(D787,'Items'!$A$2:$L$201,4,FALSE),""))</f>
        <v/>
      </c>
      <c r="J787" s="10">
        <f>IF(D787="","",IFERROR(VLOOKUP(D787,'Items'!$A$2:$L$201,10,FALSE),""))</f>
        <v/>
      </c>
      <c r="K787" s="10">
        <f>IF(OR(H787="",J787=""),"",H787*J787)</f>
        <v/>
      </c>
      <c r="L787" s="5">
        <f>IF(AND(B787="",D787=""),"",IF(B787="","Missing product",IF(D787="","Missing item",IF(C787="Product not found","Product not found",IF(E787="Item not found","Item not found",IF(OR(F787="",G787=""),"Missing quantity/unit",IF(IFERROR(VLOOKUP(G787,'Units'!$A$2:$D$13,3,FALSE),"")&lt;&gt;I787,"Unit mismatch",IF(J787="","Enter item cost","OK"))))))))</f>
        <v/>
      </c>
      <c r="M787" s="4" t="n"/>
    </row>
    <row r="788">
      <c r="A788" s="5">
        <f>IF(AND(B788="",D788=""),"",ROW()-1)</f>
        <v/>
      </c>
      <c r="B788" s="4" t="n"/>
      <c r="C788" s="5">
        <f>IF(B788="","",IFERROR(VLOOKUP(B788,'Products'!$A$2:$F$201,2,FALSE),"Product not found"))</f>
        <v/>
      </c>
      <c r="D788" s="4" t="n"/>
      <c r="E788" s="5">
        <f>IF(D788="","",IFERROR(VLOOKUP(D788,'Items'!$A$2:$L$201,2,FALSE),"Item not found"))</f>
        <v/>
      </c>
      <c r="F788" s="9" t="n"/>
      <c r="G788" s="4" t="n"/>
      <c r="H788" s="10">
        <f>IF(OR(F788="",G788=""),"",IFERROR(F788*VLOOKUP(G788,'Units'!$A$2:$D$13,4,FALSE),""))</f>
        <v/>
      </c>
      <c r="I788" s="5">
        <f>IF(D788="","",IFERROR(VLOOKUP(D788,'Items'!$A$2:$L$201,4,FALSE),""))</f>
        <v/>
      </c>
      <c r="J788" s="10">
        <f>IF(D788="","",IFERROR(VLOOKUP(D788,'Items'!$A$2:$L$201,10,FALSE),""))</f>
        <v/>
      </c>
      <c r="K788" s="10">
        <f>IF(OR(H788="",J788=""),"",H788*J788)</f>
        <v/>
      </c>
      <c r="L788" s="5">
        <f>IF(AND(B788="",D788=""),"",IF(B788="","Missing product",IF(D788="","Missing item",IF(C788="Product not found","Product not found",IF(E788="Item not found","Item not found",IF(OR(F788="",G788=""),"Missing quantity/unit",IF(IFERROR(VLOOKUP(G788,'Units'!$A$2:$D$13,3,FALSE),"")&lt;&gt;I788,"Unit mismatch",IF(J788="","Enter item cost","OK"))))))))</f>
        <v/>
      </c>
      <c r="M788" s="4" t="n"/>
    </row>
    <row r="789">
      <c r="A789" s="5">
        <f>IF(AND(B789="",D789=""),"",ROW()-1)</f>
        <v/>
      </c>
      <c r="B789" s="4" t="n"/>
      <c r="C789" s="5">
        <f>IF(B789="","",IFERROR(VLOOKUP(B789,'Products'!$A$2:$F$201,2,FALSE),"Product not found"))</f>
        <v/>
      </c>
      <c r="D789" s="4" t="n"/>
      <c r="E789" s="5">
        <f>IF(D789="","",IFERROR(VLOOKUP(D789,'Items'!$A$2:$L$201,2,FALSE),"Item not found"))</f>
        <v/>
      </c>
      <c r="F789" s="9" t="n"/>
      <c r="G789" s="4" t="n"/>
      <c r="H789" s="10">
        <f>IF(OR(F789="",G789=""),"",IFERROR(F789*VLOOKUP(G789,'Units'!$A$2:$D$13,4,FALSE),""))</f>
        <v/>
      </c>
      <c r="I789" s="5">
        <f>IF(D789="","",IFERROR(VLOOKUP(D789,'Items'!$A$2:$L$201,4,FALSE),""))</f>
        <v/>
      </c>
      <c r="J789" s="10">
        <f>IF(D789="","",IFERROR(VLOOKUP(D789,'Items'!$A$2:$L$201,10,FALSE),""))</f>
        <v/>
      </c>
      <c r="K789" s="10">
        <f>IF(OR(H789="",J789=""),"",H789*J789)</f>
        <v/>
      </c>
      <c r="L789" s="5">
        <f>IF(AND(B789="",D789=""),"",IF(B789="","Missing product",IF(D789="","Missing item",IF(C789="Product not found","Product not found",IF(E789="Item not found","Item not found",IF(OR(F789="",G789=""),"Missing quantity/unit",IF(IFERROR(VLOOKUP(G789,'Units'!$A$2:$D$13,3,FALSE),"")&lt;&gt;I789,"Unit mismatch",IF(J789="","Enter item cost","OK"))))))))</f>
        <v/>
      </c>
      <c r="M789" s="4" t="n"/>
    </row>
    <row r="790">
      <c r="A790" s="5">
        <f>IF(AND(B790="",D790=""),"",ROW()-1)</f>
        <v/>
      </c>
      <c r="B790" s="4" t="n"/>
      <c r="C790" s="5">
        <f>IF(B790="","",IFERROR(VLOOKUP(B790,'Products'!$A$2:$F$201,2,FALSE),"Product not found"))</f>
        <v/>
      </c>
      <c r="D790" s="4" t="n"/>
      <c r="E790" s="5">
        <f>IF(D790="","",IFERROR(VLOOKUP(D790,'Items'!$A$2:$L$201,2,FALSE),"Item not found"))</f>
        <v/>
      </c>
      <c r="F790" s="9" t="n"/>
      <c r="G790" s="4" t="n"/>
      <c r="H790" s="10">
        <f>IF(OR(F790="",G790=""),"",IFERROR(F790*VLOOKUP(G790,'Units'!$A$2:$D$13,4,FALSE),""))</f>
        <v/>
      </c>
      <c r="I790" s="5">
        <f>IF(D790="","",IFERROR(VLOOKUP(D790,'Items'!$A$2:$L$201,4,FALSE),""))</f>
        <v/>
      </c>
      <c r="J790" s="10">
        <f>IF(D790="","",IFERROR(VLOOKUP(D790,'Items'!$A$2:$L$201,10,FALSE),""))</f>
        <v/>
      </c>
      <c r="K790" s="10">
        <f>IF(OR(H790="",J790=""),"",H790*J790)</f>
        <v/>
      </c>
      <c r="L790" s="5">
        <f>IF(AND(B790="",D790=""),"",IF(B790="","Missing product",IF(D790="","Missing item",IF(C790="Product not found","Product not found",IF(E790="Item not found","Item not found",IF(OR(F790="",G790=""),"Missing quantity/unit",IF(IFERROR(VLOOKUP(G790,'Units'!$A$2:$D$13,3,FALSE),"")&lt;&gt;I790,"Unit mismatch",IF(J790="","Enter item cost","OK"))))))))</f>
        <v/>
      </c>
      <c r="M790" s="4" t="n"/>
    </row>
    <row r="791">
      <c r="A791" s="5">
        <f>IF(AND(B791="",D791=""),"",ROW()-1)</f>
        <v/>
      </c>
      <c r="B791" s="4" t="n"/>
      <c r="C791" s="5">
        <f>IF(B791="","",IFERROR(VLOOKUP(B791,'Products'!$A$2:$F$201,2,FALSE),"Product not found"))</f>
        <v/>
      </c>
      <c r="D791" s="4" t="n"/>
      <c r="E791" s="5">
        <f>IF(D791="","",IFERROR(VLOOKUP(D791,'Items'!$A$2:$L$201,2,FALSE),"Item not found"))</f>
        <v/>
      </c>
      <c r="F791" s="9" t="n"/>
      <c r="G791" s="4" t="n"/>
      <c r="H791" s="10">
        <f>IF(OR(F791="",G791=""),"",IFERROR(F791*VLOOKUP(G791,'Units'!$A$2:$D$13,4,FALSE),""))</f>
        <v/>
      </c>
      <c r="I791" s="5">
        <f>IF(D791="","",IFERROR(VLOOKUP(D791,'Items'!$A$2:$L$201,4,FALSE),""))</f>
        <v/>
      </c>
      <c r="J791" s="10">
        <f>IF(D791="","",IFERROR(VLOOKUP(D791,'Items'!$A$2:$L$201,10,FALSE),""))</f>
        <v/>
      </c>
      <c r="K791" s="10">
        <f>IF(OR(H791="",J791=""),"",H791*J791)</f>
        <v/>
      </c>
      <c r="L791" s="5">
        <f>IF(AND(B791="",D791=""),"",IF(B791="","Missing product",IF(D791="","Missing item",IF(C791="Product not found","Product not found",IF(E791="Item not found","Item not found",IF(OR(F791="",G791=""),"Missing quantity/unit",IF(IFERROR(VLOOKUP(G791,'Units'!$A$2:$D$13,3,FALSE),"")&lt;&gt;I791,"Unit mismatch",IF(J791="","Enter item cost","OK"))))))))</f>
        <v/>
      </c>
      <c r="M791" s="4" t="n"/>
    </row>
    <row r="792">
      <c r="A792" s="5">
        <f>IF(AND(B792="",D792=""),"",ROW()-1)</f>
        <v/>
      </c>
      <c r="B792" s="4" t="n"/>
      <c r="C792" s="5">
        <f>IF(B792="","",IFERROR(VLOOKUP(B792,'Products'!$A$2:$F$201,2,FALSE),"Product not found"))</f>
        <v/>
      </c>
      <c r="D792" s="4" t="n"/>
      <c r="E792" s="5">
        <f>IF(D792="","",IFERROR(VLOOKUP(D792,'Items'!$A$2:$L$201,2,FALSE),"Item not found"))</f>
        <v/>
      </c>
      <c r="F792" s="9" t="n"/>
      <c r="G792" s="4" t="n"/>
      <c r="H792" s="10">
        <f>IF(OR(F792="",G792=""),"",IFERROR(F792*VLOOKUP(G792,'Units'!$A$2:$D$13,4,FALSE),""))</f>
        <v/>
      </c>
      <c r="I792" s="5">
        <f>IF(D792="","",IFERROR(VLOOKUP(D792,'Items'!$A$2:$L$201,4,FALSE),""))</f>
        <v/>
      </c>
      <c r="J792" s="10">
        <f>IF(D792="","",IFERROR(VLOOKUP(D792,'Items'!$A$2:$L$201,10,FALSE),""))</f>
        <v/>
      </c>
      <c r="K792" s="10">
        <f>IF(OR(H792="",J792=""),"",H792*J792)</f>
        <v/>
      </c>
      <c r="L792" s="5">
        <f>IF(AND(B792="",D792=""),"",IF(B792="","Missing product",IF(D792="","Missing item",IF(C792="Product not found","Product not found",IF(E792="Item not found","Item not found",IF(OR(F792="",G792=""),"Missing quantity/unit",IF(IFERROR(VLOOKUP(G792,'Units'!$A$2:$D$13,3,FALSE),"")&lt;&gt;I792,"Unit mismatch",IF(J792="","Enter item cost","OK"))))))))</f>
        <v/>
      </c>
      <c r="M792" s="4" t="n"/>
    </row>
    <row r="793">
      <c r="A793" s="5">
        <f>IF(AND(B793="",D793=""),"",ROW()-1)</f>
        <v/>
      </c>
      <c r="B793" s="4" t="n"/>
      <c r="C793" s="5">
        <f>IF(B793="","",IFERROR(VLOOKUP(B793,'Products'!$A$2:$F$201,2,FALSE),"Product not found"))</f>
        <v/>
      </c>
      <c r="D793" s="4" t="n"/>
      <c r="E793" s="5">
        <f>IF(D793="","",IFERROR(VLOOKUP(D793,'Items'!$A$2:$L$201,2,FALSE),"Item not found"))</f>
        <v/>
      </c>
      <c r="F793" s="9" t="n"/>
      <c r="G793" s="4" t="n"/>
      <c r="H793" s="10">
        <f>IF(OR(F793="",G793=""),"",IFERROR(F793*VLOOKUP(G793,'Units'!$A$2:$D$13,4,FALSE),""))</f>
        <v/>
      </c>
      <c r="I793" s="5">
        <f>IF(D793="","",IFERROR(VLOOKUP(D793,'Items'!$A$2:$L$201,4,FALSE),""))</f>
        <v/>
      </c>
      <c r="J793" s="10">
        <f>IF(D793="","",IFERROR(VLOOKUP(D793,'Items'!$A$2:$L$201,10,FALSE),""))</f>
        <v/>
      </c>
      <c r="K793" s="10">
        <f>IF(OR(H793="",J793=""),"",H793*J793)</f>
        <v/>
      </c>
      <c r="L793" s="5">
        <f>IF(AND(B793="",D793=""),"",IF(B793="","Missing product",IF(D793="","Missing item",IF(C793="Product not found","Product not found",IF(E793="Item not found","Item not found",IF(OR(F793="",G793=""),"Missing quantity/unit",IF(IFERROR(VLOOKUP(G793,'Units'!$A$2:$D$13,3,FALSE),"")&lt;&gt;I793,"Unit mismatch",IF(J793="","Enter item cost","OK"))))))))</f>
        <v/>
      </c>
      <c r="M793" s="4" t="n"/>
    </row>
    <row r="794">
      <c r="A794" s="5">
        <f>IF(AND(B794="",D794=""),"",ROW()-1)</f>
        <v/>
      </c>
      <c r="B794" s="4" t="n"/>
      <c r="C794" s="5">
        <f>IF(B794="","",IFERROR(VLOOKUP(B794,'Products'!$A$2:$F$201,2,FALSE),"Product not found"))</f>
        <v/>
      </c>
      <c r="D794" s="4" t="n"/>
      <c r="E794" s="5">
        <f>IF(D794="","",IFERROR(VLOOKUP(D794,'Items'!$A$2:$L$201,2,FALSE),"Item not found"))</f>
        <v/>
      </c>
      <c r="F794" s="9" t="n"/>
      <c r="G794" s="4" t="n"/>
      <c r="H794" s="10">
        <f>IF(OR(F794="",G794=""),"",IFERROR(F794*VLOOKUP(G794,'Units'!$A$2:$D$13,4,FALSE),""))</f>
        <v/>
      </c>
      <c r="I794" s="5">
        <f>IF(D794="","",IFERROR(VLOOKUP(D794,'Items'!$A$2:$L$201,4,FALSE),""))</f>
        <v/>
      </c>
      <c r="J794" s="10">
        <f>IF(D794="","",IFERROR(VLOOKUP(D794,'Items'!$A$2:$L$201,10,FALSE),""))</f>
        <v/>
      </c>
      <c r="K794" s="10">
        <f>IF(OR(H794="",J794=""),"",H794*J794)</f>
        <v/>
      </c>
      <c r="L794" s="5">
        <f>IF(AND(B794="",D794=""),"",IF(B794="","Missing product",IF(D794="","Missing item",IF(C794="Product not found","Product not found",IF(E794="Item not found","Item not found",IF(OR(F794="",G794=""),"Missing quantity/unit",IF(IFERROR(VLOOKUP(G794,'Units'!$A$2:$D$13,3,FALSE),"")&lt;&gt;I794,"Unit mismatch",IF(J794="","Enter item cost","OK"))))))))</f>
        <v/>
      </c>
      <c r="M794" s="4" t="n"/>
    </row>
    <row r="795">
      <c r="A795" s="5">
        <f>IF(AND(B795="",D795=""),"",ROW()-1)</f>
        <v/>
      </c>
      <c r="B795" s="4" t="n"/>
      <c r="C795" s="5">
        <f>IF(B795="","",IFERROR(VLOOKUP(B795,'Products'!$A$2:$F$201,2,FALSE),"Product not found"))</f>
        <v/>
      </c>
      <c r="D795" s="4" t="n"/>
      <c r="E795" s="5">
        <f>IF(D795="","",IFERROR(VLOOKUP(D795,'Items'!$A$2:$L$201,2,FALSE),"Item not found"))</f>
        <v/>
      </c>
      <c r="F795" s="9" t="n"/>
      <c r="G795" s="4" t="n"/>
      <c r="H795" s="10">
        <f>IF(OR(F795="",G795=""),"",IFERROR(F795*VLOOKUP(G795,'Units'!$A$2:$D$13,4,FALSE),""))</f>
        <v/>
      </c>
      <c r="I795" s="5">
        <f>IF(D795="","",IFERROR(VLOOKUP(D795,'Items'!$A$2:$L$201,4,FALSE),""))</f>
        <v/>
      </c>
      <c r="J795" s="10">
        <f>IF(D795="","",IFERROR(VLOOKUP(D795,'Items'!$A$2:$L$201,10,FALSE),""))</f>
        <v/>
      </c>
      <c r="K795" s="10">
        <f>IF(OR(H795="",J795=""),"",H795*J795)</f>
        <v/>
      </c>
      <c r="L795" s="5">
        <f>IF(AND(B795="",D795=""),"",IF(B795="","Missing product",IF(D795="","Missing item",IF(C795="Product not found","Product not found",IF(E795="Item not found","Item not found",IF(OR(F795="",G795=""),"Missing quantity/unit",IF(IFERROR(VLOOKUP(G795,'Units'!$A$2:$D$13,3,FALSE),"")&lt;&gt;I795,"Unit mismatch",IF(J795="","Enter item cost","OK"))))))))</f>
        <v/>
      </c>
      <c r="M795" s="4" t="n"/>
    </row>
    <row r="796">
      <c r="A796" s="5">
        <f>IF(AND(B796="",D796=""),"",ROW()-1)</f>
        <v/>
      </c>
      <c r="B796" s="4" t="n"/>
      <c r="C796" s="5">
        <f>IF(B796="","",IFERROR(VLOOKUP(B796,'Products'!$A$2:$F$201,2,FALSE),"Product not found"))</f>
        <v/>
      </c>
      <c r="D796" s="4" t="n"/>
      <c r="E796" s="5">
        <f>IF(D796="","",IFERROR(VLOOKUP(D796,'Items'!$A$2:$L$201,2,FALSE),"Item not found"))</f>
        <v/>
      </c>
      <c r="F796" s="9" t="n"/>
      <c r="G796" s="4" t="n"/>
      <c r="H796" s="10">
        <f>IF(OR(F796="",G796=""),"",IFERROR(F796*VLOOKUP(G796,'Units'!$A$2:$D$13,4,FALSE),""))</f>
        <v/>
      </c>
      <c r="I796" s="5">
        <f>IF(D796="","",IFERROR(VLOOKUP(D796,'Items'!$A$2:$L$201,4,FALSE),""))</f>
        <v/>
      </c>
      <c r="J796" s="10">
        <f>IF(D796="","",IFERROR(VLOOKUP(D796,'Items'!$A$2:$L$201,10,FALSE),""))</f>
        <v/>
      </c>
      <c r="K796" s="10">
        <f>IF(OR(H796="",J796=""),"",H796*J796)</f>
        <v/>
      </c>
      <c r="L796" s="5">
        <f>IF(AND(B796="",D796=""),"",IF(B796="","Missing product",IF(D796="","Missing item",IF(C796="Product not found","Product not found",IF(E796="Item not found","Item not found",IF(OR(F796="",G796=""),"Missing quantity/unit",IF(IFERROR(VLOOKUP(G796,'Units'!$A$2:$D$13,3,FALSE),"")&lt;&gt;I796,"Unit mismatch",IF(J796="","Enter item cost","OK"))))))))</f>
        <v/>
      </c>
      <c r="M796" s="4" t="n"/>
    </row>
    <row r="797">
      <c r="A797" s="5">
        <f>IF(AND(B797="",D797=""),"",ROW()-1)</f>
        <v/>
      </c>
      <c r="B797" s="4" t="n"/>
      <c r="C797" s="5">
        <f>IF(B797="","",IFERROR(VLOOKUP(B797,'Products'!$A$2:$F$201,2,FALSE),"Product not found"))</f>
        <v/>
      </c>
      <c r="D797" s="4" t="n"/>
      <c r="E797" s="5">
        <f>IF(D797="","",IFERROR(VLOOKUP(D797,'Items'!$A$2:$L$201,2,FALSE),"Item not found"))</f>
        <v/>
      </c>
      <c r="F797" s="9" t="n"/>
      <c r="G797" s="4" t="n"/>
      <c r="H797" s="10">
        <f>IF(OR(F797="",G797=""),"",IFERROR(F797*VLOOKUP(G797,'Units'!$A$2:$D$13,4,FALSE),""))</f>
        <v/>
      </c>
      <c r="I797" s="5">
        <f>IF(D797="","",IFERROR(VLOOKUP(D797,'Items'!$A$2:$L$201,4,FALSE),""))</f>
        <v/>
      </c>
      <c r="J797" s="10">
        <f>IF(D797="","",IFERROR(VLOOKUP(D797,'Items'!$A$2:$L$201,10,FALSE),""))</f>
        <v/>
      </c>
      <c r="K797" s="10">
        <f>IF(OR(H797="",J797=""),"",H797*J797)</f>
        <v/>
      </c>
      <c r="L797" s="5">
        <f>IF(AND(B797="",D797=""),"",IF(B797="","Missing product",IF(D797="","Missing item",IF(C797="Product not found","Product not found",IF(E797="Item not found","Item not found",IF(OR(F797="",G797=""),"Missing quantity/unit",IF(IFERROR(VLOOKUP(G797,'Units'!$A$2:$D$13,3,FALSE),"")&lt;&gt;I797,"Unit mismatch",IF(J797="","Enter item cost","OK"))))))))</f>
        <v/>
      </c>
      <c r="M797" s="4" t="n"/>
    </row>
    <row r="798">
      <c r="A798" s="5">
        <f>IF(AND(B798="",D798=""),"",ROW()-1)</f>
        <v/>
      </c>
      <c r="B798" s="4" t="n"/>
      <c r="C798" s="5">
        <f>IF(B798="","",IFERROR(VLOOKUP(B798,'Products'!$A$2:$F$201,2,FALSE),"Product not found"))</f>
        <v/>
      </c>
      <c r="D798" s="4" t="n"/>
      <c r="E798" s="5">
        <f>IF(D798="","",IFERROR(VLOOKUP(D798,'Items'!$A$2:$L$201,2,FALSE),"Item not found"))</f>
        <v/>
      </c>
      <c r="F798" s="9" t="n"/>
      <c r="G798" s="4" t="n"/>
      <c r="H798" s="10">
        <f>IF(OR(F798="",G798=""),"",IFERROR(F798*VLOOKUP(G798,'Units'!$A$2:$D$13,4,FALSE),""))</f>
        <v/>
      </c>
      <c r="I798" s="5">
        <f>IF(D798="","",IFERROR(VLOOKUP(D798,'Items'!$A$2:$L$201,4,FALSE),""))</f>
        <v/>
      </c>
      <c r="J798" s="10">
        <f>IF(D798="","",IFERROR(VLOOKUP(D798,'Items'!$A$2:$L$201,10,FALSE),""))</f>
        <v/>
      </c>
      <c r="K798" s="10">
        <f>IF(OR(H798="",J798=""),"",H798*J798)</f>
        <v/>
      </c>
      <c r="L798" s="5">
        <f>IF(AND(B798="",D798=""),"",IF(B798="","Missing product",IF(D798="","Missing item",IF(C798="Product not found","Product not found",IF(E798="Item not found","Item not found",IF(OR(F798="",G798=""),"Missing quantity/unit",IF(IFERROR(VLOOKUP(G798,'Units'!$A$2:$D$13,3,FALSE),"")&lt;&gt;I798,"Unit mismatch",IF(J798="","Enter item cost","OK"))))))))</f>
        <v/>
      </c>
      <c r="M798" s="4" t="n"/>
    </row>
    <row r="799">
      <c r="A799" s="5">
        <f>IF(AND(B799="",D799=""),"",ROW()-1)</f>
        <v/>
      </c>
      <c r="B799" s="4" t="n"/>
      <c r="C799" s="5">
        <f>IF(B799="","",IFERROR(VLOOKUP(B799,'Products'!$A$2:$F$201,2,FALSE),"Product not found"))</f>
        <v/>
      </c>
      <c r="D799" s="4" t="n"/>
      <c r="E799" s="5">
        <f>IF(D799="","",IFERROR(VLOOKUP(D799,'Items'!$A$2:$L$201,2,FALSE),"Item not found"))</f>
        <v/>
      </c>
      <c r="F799" s="9" t="n"/>
      <c r="G799" s="4" t="n"/>
      <c r="H799" s="10">
        <f>IF(OR(F799="",G799=""),"",IFERROR(F799*VLOOKUP(G799,'Units'!$A$2:$D$13,4,FALSE),""))</f>
        <v/>
      </c>
      <c r="I799" s="5">
        <f>IF(D799="","",IFERROR(VLOOKUP(D799,'Items'!$A$2:$L$201,4,FALSE),""))</f>
        <v/>
      </c>
      <c r="J799" s="10">
        <f>IF(D799="","",IFERROR(VLOOKUP(D799,'Items'!$A$2:$L$201,10,FALSE),""))</f>
        <v/>
      </c>
      <c r="K799" s="10">
        <f>IF(OR(H799="",J799=""),"",H799*J799)</f>
        <v/>
      </c>
      <c r="L799" s="5">
        <f>IF(AND(B799="",D799=""),"",IF(B799="","Missing product",IF(D799="","Missing item",IF(C799="Product not found","Product not found",IF(E799="Item not found","Item not found",IF(OR(F799="",G799=""),"Missing quantity/unit",IF(IFERROR(VLOOKUP(G799,'Units'!$A$2:$D$13,3,FALSE),"")&lt;&gt;I799,"Unit mismatch",IF(J799="","Enter item cost","OK"))))))))</f>
        <v/>
      </c>
      <c r="M799" s="4" t="n"/>
    </row>
    <row r="800">
      <c r="A800" s="5">
        <f>IF(AND(B800="",D800=""),"",ROW()-1)</f>
        <v/>
      </c>
      <c r="B800" s="4" t="n"/>
      <c r="C800" s="5">
        <f>IF(B800="","",IFERROR(VLOOKUP(B800,'Products'!$A$2:$F$201,2,FALSE),"Product not found"))</f>
        <v/>
      </c>
      <c r="D800" s="4" t="n"/>
      <c r="E800" s="5">
        <f>IF(D800="","",IFERROR(VLOOKUP(D800,'Items'!$A$2:$L$201,2,FALSE),"Item not found"))</f>
        <v/>
      </c>
      <c r="F800" s="9" t="n"/>
      <c r="G800" s="4" t="n"/>
      <c r="H800" s="10">
        <f>IF(OR(F800="",G800=""),"",IFERROR(F800*VLOOKUP(G800,'Units'!$A$2:$D$13,4,FALSE),""))</f>
        <v/>
      </c>
      <c r="I800" s="5">
        <f>IF(D800="","",IFERROR(VLOOKUP(D800,'Items'!$A$2:$L$201,4,FALSE),""))</f>
        <v/>
      </c>
      <c r="J800" s="10">
        <f>IF(D800="","",IFERROR(VLOOKUP(D800,'Items'!$A$2:$L$201,10,FALSE),""))</f>
        <v/>
      </c>
      <c r="K800" s="10">
        <f>IF(OR(H800="",J800=""),"",H800*J800)</f>
        <v/>
      </c>
      <c r="L800" s="5">
        <f>IF(AND(B800="",D800=""),"",IF(B800="","Missing product",IF(D800="","Missing item",IF(C800="Product not found","Product not found",IF(E800="Item not found","Item not found",IF(OR(F800="",G800=""),"Missing quantity/unit",IF(IFERROR(VLOOKUP(G800,'Units'!$A$2:$D$13,3,FALSE),"")&lt;&gt;I800,"Unit mismatch",IF(J800="","Enter item cost","OK"))))))))</f>
        <v/>
      </c>
      <c r="M800" s="4" t="n"/>
    </row>
    <row r="801">
      <c r="A801" s="5">
        <f>IF(AND(B801="",D801=""),"",ROW()-1)</f>
        <v/>
      </c>
      <c r="B801" s="4" t="n"/>
      <c r="C801" s="5">
        <f>IF(B801="","",IFERROR(VLOOKUP(B801,'Products'!$A$2:$F$201,2,FALSE),"Product not found"))</f>
        <v/>
      </c>
      <c r="D801" s="4" t="n"/>
      <c r="E801" s="5">
        <f>IF(D801="","",IFERROR(VLOOKUP(D801,'Items'!$A$2:$L$201,2,FALSE),"Item not found"))</f>
        <v/>
      </c>
      <c r="F801" s="9" t="n"/>
      <c r="G801" s="4" t="n"/>
      <c r="H801" s="10">
        <f>IF(OR(F801="",G801=""),"",IFERROR(F801*VLOOKUP(G801,'Units'!$A$2:$D$13,4,FALSE),""))</f>
        <v/>
      </c>
      <c r="I801" s="5">
        <f>IF(D801="","",IFERROR(VLOOKUP(D801,'Items'!$A$2:$L$201,4,FALSE),""))</f>
        <v/>
      </c>
      <c r="J801" s="10">
        <f>IF(D801="","",IFERROR(VLOOKUP(D801,'Items'!$A$2:$L$201,10,FALSE),""))</f>
        <v/>
      </c>
      <c r="K801" s="10">
        <f>IF(OR(H801="",J801=""),"",H801*J801)</f>
        <v/>
      </c>
      <c r="L801" s="5">
        <f>IF(AND(B801="",D801=""),"",IF(B801="","Missing product",IF(D801="","Missing item",IF(C801="Product not found","Product not found",IF(E801="Item not found","Item not found",IF(OR(F801="",G801=""),"Missing quantity/unit",IF(IFERROR(VLOOKUP(G801,'Units'!$A$2:$D$13,3,FALSE),"")&lt;&gt;I801,"Unit mismatch",IF(J801="","Enter item cost","OK"))))))))</f>
        <v/>
      </c>
      <c r="M801" s="4" t="n"/>
    </row>
    <row r="802">
      <c r="A802" s="5">
        <f>IF(AND(B802="",D802=""),"",ROW()-1)</f>
        <v/>
      </c>
      <c r="B802" s="4" t="n"/>
      <c r="C802" s="5">
        <f>IF(B802="","",IFERROR(VLOOKUP(B802,'Products'!$A$2:$F$201,2,FALSE),"Product not found"))</f>
        <v/>
      </c>
      <c r="D802" s="4" t="n"/>
      <c r="E802" s="5">
        <f>IF(D802="","",IFERROR(VLOOKUP(D802,'Items'!$A$2:$L$201,2,FALSE),"Item not found"))</f>
        <v/>
      </c>
      <c r="F802" s="9" t="n"/>
      <c r="G802" s="4" t="n"/>
      <c r="H802" s="10">
        <f>IF(OR(F802="",G802=""),"",IFERROR(F802*VLOOKUP(G802,'Units'!$A$2:$D$13,4,FALSE),""))</f>
        <v/>
      </c>
      <c r="I802" s="5">
        <f>IF(D802="","",IFERROR(VLOOKUP(D802,'Items'!$A$2:$L$201,4,FALSE),""))</f>
        <v/>
      </c>
      <c r="J802" s="10">
        <f>IF(D802="","",IFERROR(VLOOKUP(D802,'Items'!$A$2:$L$201,10,FALSE),""))</f>
        <v/>
      </c>
      <c r="K802" s="10">
        <f>IF(OR(H802="",J802=""),"",H802*J802)</f>
        <v/>
      </c>
      <c r="L802" s="5">
        <f>IF(AND(B802="",D802=""),"",IF(B802="","Missing product",IF(D802="","Missing item",IF(C802="Product not found","Product not found",IF(E802="Item not found","Item not found",IF(OR(F802="",G802=""),"Missing quantity/unit",IF(IFERROR(VLOOKUP(G802,'Units'!$A$2:$D$13,3,FALSE),"")&lt;&gt;I802,"Unit mismatch",IF(J802="","Enter item cost","OK"))))))))</f>
        <v/>
      </c>
      <c r="M802" s="4" t="n"/>
    </row>
    <row r="803">
      <c r="A803" s="5">
        <f>IF(AND(B803="",D803=""),"",ROW()-1)</f>
        <v/>
      </c>
      <c r="B803" s="4" t="n"/>
      <c r="C803" s="5">
        <f>IF(B803="","",IFERROR(VLOOKUP(B803,'Products'!$A$2:$F$201,2,FALSE),"Product not found"))</f>
        <v/>
      </c>
      <c r="D803" s="4" t="n"/>
      <c r="E803" s="5">
        <f>IF(D803="","",IFERROR(VLOOKUP(D803,'Items'!$A$2:$L$201,2,FALSE),"Item not found"))</f>
        <v/>
      </c>
      <c r="F803" s="9" t="n"/>
      <c r="G803" s="4" t="n"/>
      <c r="H803" s="10">
        <f>IF(OR(F803="",G803=""),"",IFERROR(F803*VLOOKUP(G803,'Units'!$A$2:$D$13,4,FALSE),""))</f>
        <v/>
      </c>
      <c r="I803" s="5">
        <f>IF(D803="","",IFERROR(VLOOKUP(D803,'Items'!$A$2:$L$201,4,FALSE),""))</f>
        <v/>
      </c>
      <c r="J803" s="10">
        <f>IF(D803="","",IFERROR(VLOOKUP(D803,'Items'!$A$2:$L$201,10,FALSE),""))</f>
        <v/>
      </c>
      <c r="K803" s="10">
        <f>IF(OR(H803="",J803=""),"",H803*J803)</f>
        <v/>
      </c>
      <c r="L803" s="5">
        <f>IF(AND(B803="",D803=""),"",IF(B803="","Missing product",IF(D803="","Missing item",IF(C803="Product not found","Product not found",IF(E803="Item not found","Item not found",IF(OR(F803="",G803=""),"Missing quantity/unit",IF(IFERROR(VLOOKUP(G803,'Units'!$A$2:$D$13,3,FALSE),"")&lt;&gt;I803,"Unit mismatch",IF(J803="","Enter item cost","OK"))))))))</f>
        <v/>
      </c>
      <c r="M803" s="4" t="n"/>
    </row>
    <row r="804">
      <c r="A804" s="5">
        <f>IF(AND(B804="",D804=""),"",ROW()-1)</f>
        <v/>
      </c>
      <c r="B804" s="4" t="n"/>
      <c r="C804" s="5">
        <f>IF(B804="","",IFERROR(VLOOKUP(B804,'Products'!$A$2:$F$201,2,FALSE),"Product not found"))</f>
        <v/>
      </c>
      <c r="D804" s="4" t="n"/>
      <c r="E804" s="5">
        <f>IF(D804="","",IFERROR(VLOOKUP(D804,'Items'!$A$2:$L$201,2,FALSE),"Item not found"))</f>
        <v/>
      </c>
      <c r="F804" s="9" t="n"/>
      <c r="G804" s="4" t="n"/>
      <c r="H804" s="10">
        <f>IF(OR(F804="",G804=""),"",IFERROR(F804*VLOOKUP(G804,'Units'!$A$2:$D$13,4,FALSE),""))</f>
        <v/>
      </c>
      <c r="I804" s="5">
        <f>IF(D804="","",IFERROR(VLOOKUP(D804,'Items'!$A$2:$L$201,4,FALSE),""))</f>
        <v/>
      </c>
      <c r="J804" s="10">
        <f>IF(D804="","",IFERROR(VLOOKUP(D804,'Items'!$A$2:$L$201,10,FALSE),""))</f>
        <v/>
      </c>
      <c r="K804" s="10">
        <f>IF(OR(H804="",J804=""),"",H804*J804)</f>
        <v/>
      </c>
      <c r="L804" s="5">
        <f>IF(AND(B804="",D804=""),"",IF(B804="","Missing product",IF(D804="","Missing item",IF(C804="Product not found","Product not found",IF(E804="Item not found","Item not found",IF(OR(F804="",G804=""),"Missing quantity/unit",IF(IFERROR(VLOOKUP(G804,'Units'!$A$2:$D$13,3,FALSE),"")&lt;&gt;I804,"Unit mismatch",IF(J804="","Enter item cost","OK"))))))))</f>
        <v/>
      </c>
      <c r="M804" s="4" t="n"/>
    </row>
    <row r="805">
      <c r="A805" s="5">
        <f>IF(AND(B805="",D805=""),"",ROW()-1)</f>
        <v/>
      </c>
      <c r="B805" s="4" t="n"/>
      <c r="C805" s="5">
        <f>IF(B805="","",IFERROR(VLOOKUP(B805,'Products'!$A$2:$F$201,2,FALSE),"Product not found"))</f>
        <v/>
      </c>
      <c r="D805" s="4" t="n"/>
      <c r="E805" s="5">
        <f>IF(D805="","",IFERROR(VLOOKUP(D805,'Items'!$A$2:$L$201,2,FALSE),"Item not found"))</f>
        <v/>
      </c>
      <c r="F805" s="9" t="n"/>
      <c r="G805" s="4" t="n"/>
      <c r="H805" s="10">
        <f>IF(OR(F805="",G805=""),"",IFERROR(F805*VLOOKUP(G805,'Units'!$A$2:$D$13,4,FALSE),""))</f>
        <v/>
      </c>
      <c r="I805" s="5">
        <f>IF(D805="","",IFERROR(VLOOKUP(D805,'Items'!$A$2:$L$201,4,FALSE),""))</f>
        <v/>
      </c>
      <c r="J805" s="10">
        <f>IF(D805="","",IFERROR(VLOOKUP(D805,'Items'!$A$2:$L$201,10,FALSE),""))</f>
        <v/>
      </c>
      <c r="K805" s="10">
        <f>IF(OR(H805="",J805=""),"",H805*J805)</f>
        <v/>
      </c>
      <c r="L805" s="5">
        <f>IF(AND(B805="",D805=""),"",IF(B805="","Missing product",IF(D805="","Missing item",IF(C805="Product not found","Product not found",IF(E805="Item not found","Item not found",IF(OR(F805="",G805=""),"Missing quantity/unit",IF(IFERROR(VLOOKUP(G805,'Units'!$A$2:$D$13,3,FALSE),"")&lt;&gt;I805,"Unit mismatch",IF(J805="","Enter item cost","OK"))))))))</f>
        <v/>
      </c>
      <c r="M805" s="4" t="n"/>
    </row>
    <row r="806">
      <c r="A806" s="5">
        <f>IF(AND(B806="",D806=""),"",ROW()-1)</f>
        <v/>
      </c>
      <c r="B806" s="4" t="n"/>
      <c r="C806" s="5">
        <f>IF(B806="","",IFERROR(VLOOKUP(B806,'Products'!$A$2:$F$201,2,FALSE),"Product not found"))</f>
        <v/>
      </c>
      <c r="D806" s="4" t="n"/>
      <c r="E806" s="5">
        <f>IF(D806="","",IFERROR(VLOOKUP(D806,'Items'!$A$2:$L$201,2,FALSE),"Item not found"))</f>
        <v/>
      </c>
      <c r="F806" s="9" t="n"/>
      <c r="G806" s="4" t="n"/>
      <c r="H806" s="10">
        <f>IF(OR(F806="",G806=""),"",IFERROR(F806*VLOOKUP(G806,'Units'!$A$2:$D$13,4,FALSE),""))</f>
        <v/>
      </c>
      <c r="I806" s="5">
        <f>IF(D806="","",IFERROR(VLOOKUP(D806,'Items'!$A$2:$L$201,4,FALSE),""))</f>
        <v/>
      </c>
      <c r="J806" s="10">
        <f>IF(D806="","",IFERROR(VLOOKUP(D806,'Items'!$A$2:$L$201,10,FALSE),""))</f>
        <v/>
      </c>
      <c r="K806" s="10">
        <f>IF(OR(H806="",J806=""),"",H806*J806)</f>
        <v/>
      </c>
      <c r="L806" s="5">
        <f>IF(AND(B806="",D806=""),"",IF(B806="","Missing product",IF(D806="","Missing item",IF(C806="Product not found","Product not found",IF(E806="Item not found","Item not found",IF(OR(F806="",G806=""),"Missing quantity/unit",IF(IFERROR(VLOOKUP(G806,'Units'!$A$2:$D$13,3,FALSE),"")&lt;&gt;I806,"Unit mismatch",IF(J806="","Enter item cost","OK"))))))))</f>
        <v/>
      </c>
      <c r="M806" s="4" t="n"/>
    </row>
    <row r="807">
      <c r="A807" s="5">
        <f>IF(AND(B807="",D807=""),"",ROW()-1)</f>
        <v/>
      </c>
      <c r="B807" s="4" t="n"/>
      <c r="C807" s="5">
        <f>IF(B807="","",IFERROR(VLOOKUP(B807,'Products'!$A$2:$F$201,2,FALSE),"Product not found"))</f>
        <v/>
      </c>
      <c r="D807" s="4" t="n"/>
      <c r="E807" s="5">
        <f>IF(D807="","",IFERROR(VLOOKUP(D807,'Items'!$A$2:$L$201,2,FALSE),"Item not found"))</f>
        <v/>
      </c>
      <c r="F807" s="9" t="n"/>
      <c r="G807" s="4" t="n"/>
      <c r="H807" s="10">
        <f>IF(OR(F807="",G807=""),"",IFERROR(F807*VLOOKUP(G807,'Units'!$A$2:$D$13,4,FALSE),""))</f>
        <v/>
      </c>
      <c r="I807" s="5">
        <f>IF(D807="","",IFERROR(VLOOKUP(D807,'Items'!$A$2:$L$201,4,FALSE),""))</f>
        <v/>
      </c>
      <c r="J807" s="10">
        <f>IF(D807="","",IFERROR(VLOOKUP(D807,'Items'!$A$2:$L$201,10,FALSE),""))</f>
        <v/>
      </c>
      <c r="K807" s="10">
        <f>IF(OR(H807="",J807=""),"",H807*J807)</f>
        <v/>
      </c>
      <c r="L807" s="5">
        <f>IF(AND(B807="",D807=""),"",IF(B807="","Missing product",IF(D807="","Missing item",IF(C807="Product not found","Product not found",IF(E807="Item not found","Item not found",IF(OR(F807="",G807=""),"Missing quantity/unit",IF(IFERROR(VLOOKUP(G807,'Units'!$A$2:$D$13,3,FALSE),"")&lt;&gt;I807,"Unit mismatch",IF(J807="","Enter item cost","OK"))))))))</f>
        <v/>
      </c>
      <c r="M807" s="4" t="n"/>
    </row>
    <row r="808">
      <c r="A808" s="5">
        <f>IF(AND(B808="",D808=""),"",ROW()-1)</f>
        <v/>
      </c>
      <c r="B808" s="4" t="n"/>
      <c r="C808" s="5">
        <f>IF(B808="","",IFERROR(VLOOKUP(B808,'Products'!$A$2:$F$201,2,FALSE),"Product not found"))</f>
        <v/>
      </c>
      <c r="D808" s="4" t="n"/>
      <c r="E808" s="5">
        <f>IF(D808="","",IFERROR(VLOOKUP(D808,'Items'!$A$2:$L$201,2,FALSE),"Item not found"))</f>
        <v/>
      </c>
      <c r="F808" s="9" t="n"/>
      <c r="G808" s="4" t="n"/>
      <c r="H808" s="10">
        <f>IF(OR(F808="",G808=""),"",IFERROR(F808*VLOOKUP(G808,'Units'!$A$2:$D$13,4,FALSE),""))</f>
        <v/>
      </c>
      <c r="I808" s="5">
        <f>IF(D808="","",IFERROR(VLOOKUP(D808,'Items'!$A$2:$L$201,4,FALSE),""))</f>
        <v/>
      </c>
      <c r="J808" s="10">
        <f>IF(D808="","",IFERROR(VLOOKUP(D808,'Items'!$A$2:$L$201,10,FALSE),""))</f>
        <v/>
      </c>
      <c r="K808" s="10">
        <f>IF(OR(H808="",J808=""),"",H808*J808)</f>
        <v/>
      </c>
      <c r="L808" s="5">
        <f>IF(AND(B808="",D808=""),"",IF(B808="","Missing product",IF(D808="","Missing item",IF(C808="Product not found","Product not found",IF(E808="Item not found","Item not found",IF(OR(F808="",G808=""),"Missing quantity/unit",IF(IFERROR(VLOOKUP(G808,'Units'!$A$2:$D$13,3,FALSE),"")&lt;&gt;I808,"Unit mismatch",IF(J808="","Enter item cost","OK"))))))))</f>
        <v/>
      </c>
      <c r="M808" s="4" t="n"/>
    </row>
    <row r="809">
      <c r="A809" s="5">
        <f>IF(AND(B809="",D809=""),"",ROW()-1)</f>
        <v/>
      </c>
      <c r="B809" s="4" t="n"/>
      <c r="C809" s="5">
        <f>IF(B809="","",IFERROR(VLOOKUP(B809,'Products'!$A$2:$F$201,2,FALSE),"Product not found"))</f>
        <v/>
      </c>
      <c r="D809" s="4" t="n"/>
      <c r="E809" s="5">
        <f>IF(D809="","",IFERROR(VLOOKUP(D809,'Items'!$A$2:$L$201,2,FALSE),"Item not found"))</f>
        <v/>
      </c>
      <c r="F809" s="9" t="n"/>
      <c r="G809" s="4" t="n"/>
      <c r="H809" s="10">
        <f>IF(OR(F809="",G809=""),"",IFERROR(F809*VLOOKUP(G809,'Units'!$A$2:$D$13,4,FALSE),""))</f>
        <v/>
      </c>
      <c r="I809" s="5">
        <f>IF(D809="","",IFERROR(VLOOKUP(D809,'Items'!$A$2:$L$201,4,FALSE),""))</f>
        <v/>
      </c>
      <c r="J809" s="10">
        <f>IF(D809="","",IFERROR(VLOOKUP(D809,'Items'!$A$2:$L$201,10,FALSE),""))</f>
        <v/>
      </c>
      <c r="K809" s="10">
        <f>IF(OR(H809="",J809=""),"",H809*J809)</f>
        <v/>
      </c>
      <c r="L809" s="5">
        <f>IF(AND(B809="",D809=""),"",IF(B809="","Missing product",IF(D809="","Missing item",IF(C809="Product not found","Product not found",IF(E809="Item not found","Item not found",IF(OR(F809="",G809=""),"Missing quantity/unit",IF(IFERROR(VLOOKUP(G809,'Units'!$A$2:$D$13,3,FALSE),"")&lt;&gt;I809,"Unit mismatch",IF(J809="","Enter item cost","OK"))))))))</f>
        <v/>
      </c>
      <c r="M809" s="4" t="n"/>
    </row>
    <row r="810">
      <c r="A810" s="5">
        <f>IF(AND(B810="",D810=""),"",ROW()-1)</f>
        <v/>
      </c>
      <c r="B810" s="4" t="n"/>
      <c r="C810" s="5">
        <f>IF(B810="","",IFERROR(VLOOKUP(B810,'Products'!$A$2:$F$201,2,FALSE),"Product not found"))</f>
        <v/>
      </c>
      <c r="D810" s="4" t="n"/>
      <c r="E810" s="5">
        <f>IF(D810="","",IFERROR(VLOOKUP(D810,'Items'!$A$2:$L$201,2,FALSE),"Item not found"))</f>
        <v/>
      </c>
      <c r="F810" s="9" t="n"/>
      <c r="G810" s="4" t="n"/>
      <c r="H810" s="10">
        <f>IF(OR(F810="",G810=""),"",IFERROR(F810*VLOOKUP(G810,'Units'!$A$2:$D$13,4,FALSE),""))</f>
        <v/>
      </c>
      <c r="I810" s="5">
        <f>IF(D810="","",IFERROR(VLOOKUP(D810,'Items'!$A$2:$L$201,4,FALSE),""))</f>
        <v/>
      </c>
      <c r="J810" s="10">
        <f>IF(D810="","",IFERROR(VLOOKUP(D810,'Items'!$A$2:$L$201,10,FALSE),""))</f>
        <v/>
      </c>
      <c r="K810" s="10">
        <f>IF(OR(H810="",J810=""),"",H810*J810)</f>
        <v/>
      </c>
      <c r="L810" s="5">
        <f>IF(AND(B810="",D810=""),"",IF(B810="","Missing product",IF(D810="","Missing item",IF(C810="Product not found","Product not found",IF(E810="Item not found","Item not found",IF(OR(F810="",G810=""),"Missing quantity/unit",IF(IFERROR(VLOOKUP(G810,'Units'!$A$2:$D$13,3,FALSE),"")&lt;&gt;I810,"Unit mismatch",IF(J810="","Enter item cost","OK"))))))))</f>
        <v/>
      </c>
      <c r="M810" s="4" t="n"/>
    </row>
    <row r="811">
      <c r="A811" s="5">
        <f>IF(AND(B811="",D811=""),"",ROW()-1)</f>
        <v/>
      </c>
      <c r="B811" s="4" t="n"/>
      <c r="C811" s="5">
        <f>IF(B811="","",IFERROR(VLOOKUP(B811,'Products'!$A$2:$F$201,2,FALSE),"Product not found"))</f>
        <v/>
      </c>
      <c r="D811" s="4" t="n"/>
      <c r="E811" s="5">
        <f>IF(D811="","",IFERROR(VLOOKUP(D811,'Items'!$A$2:$L$201,2,FALSE),"Item not found"))</f>
        <v/>
      </c>
      <c r="F811" s="9" t="n"/>
      <c r="G811" s="4" t="n"/>
      <c r="H811" s="10">
        <f>IF(OR(F811="",G811=""),"",IFERROR(F811*VLOOKUP(G811,'Units'!$A$2:$D$13,4,FALSE),""))</f>
        <v/>
      </c>
      <c r="I811" s="5">
        <f>IF(D811="","",IFERROR(VLOOKUP(D811,'Items'!$A$2:$L$201,4,FALSE),""))</f>
        <v/>
      </c>
      <c r="J811" s="10">
        <f>IF(D811="","",IFERROR(VLOOKUP(D811,'Items'!$A$2:$L$201,10,FALSE),""))</f>
        <v/>
      </c>
      <c r="K811" s="10">
        <f>IF(OR(H811="",J811=""),"",H811*J811)</f>
        <v/>
      </c>
      <c r="L811" s="5">
        <f>IF(AND(B811="",D811=""),"",IF(B811="","Missing product",IF(D811="","Missing item",IF(C811="Product not found","Product not found",IF(E811="Item not found","Item not found",IF(OR(F811="",G811=""),"Missing quantity/unit",IF(IFERROR(VLOOKUP(G811,'Units'!$A$2:$D$13,3,FALSE),"")&lt;&gt;I811,"Unit mismatch",IF(J811="","Enter item cost","OK"))))))))</f>
        <v/>
      </c>
      <c r="M811" s="4" t="n"/>
    </row>
    <row r="812">
      <c r="A812" s="5">
        <f>IF(AND(B812="",D812=""),"",ROW()-1)</f>
        <v/>
      </c>
      <c r="B812" s="4" t="n"/>
      <c r="C812" s="5">
        <f>IF(B812="","",IFERROR(VLOOKUP(B812,'Products'!$A$2:$F$201,2,FALSE),"Product not found"))</f>
        <v/>
      </c>
      <c r="D812" s="4" t="n"/>
      <c r="E812" s="5">
        <f>IF(D812="","",IFERROR(VLOOKUP(D812,'Items'!$A$2:$L$201,2,FALSE),"Item not found"))</f>
        <v/>
      </c>
      <c r="F812" s="9" t="n"/>
      <c r="G812" s="4" t="n"/>
      <c r="H812" s="10">
        <f>IF(OR(F812="",G812=""),"",IFERROR(F812*VLOOKUP(G812,'Units'!$A$2:$D$13,4,FALSE),""))</f>
        <v/>
      </c>
      <c r="I812" s="5">
        <f>IF(D812="","",IFERROR(VLOOKUP(D812,'Items'!$A$2:$L$201,4,FALSE),""))</f>
        <v/>
      </c>
      <c r="J812" s="10">
        <f>IF(D812="","",IFERROR(VLOOKUP(D812,'Items'!$A$2:$L$201,10,FALSE),""))</f>
        <v/>
      </c>
      <c r="K812" s="10">
        <f>IF(OR(H812="",J812=""),"",H812*J812)</f>
        <v/>
      </c>
      <c r="L812" s="5">
        <f>IF(AND(B812="",D812=""),"",IF(B812="","Missing product",IF(D812="","Missing item",IF(C812="Product not found","Product not found",IF(E812="Item not found","Item not found",IF(OR(F812="",G812=""),"Missing quantity/unit",IF(IFERROR(VLOOKUP(G812,'Units'!$A$2:$D$13,3,FALSE),"")&lt;&gt;I812,"Unit mismatch",IF(J812="","Enter item cost","OK"))))))))</f>
        <v/>
      </c>
      <c r="M812" s="4" t="n"/>
    </row>
    <row r="813">
      <c r="A813" s="5">
        <f>IF(AND(B813="",D813=""),"",ROW()-1)</f>
        <v/>
      </c>
      <c r="B813" s="4" t="n"/>
      <c r="C813" s="5">
        <f>IF(B813="","",IFERROR(VLOOKUP(B813,'Products'!$A$2:$F$201,2,FALSE),"Product not found"))</f>
        <v/>
      </c>
      <c r="D813" s="4" t="n"/>
      <c r="E813" s="5">
        <f>IF(D813="","",IFERROR(VLOOKUP(D813,'Items'!$A$2:$L$201,2,FALSE),"Item not found"))</f>
        <v/>
      </c>
      <c r="F813" s="9" t="n"/>
      <c r="G813" s="4" t="n"/>
      <c r="H813" s="10">
        <f>IF(OR(F813="",G813=""),"",IFERROR(F813*VLOOKUP(G813,'Units'!$A$2:$D$13,4,FALSE),""))</f>
        <v/>
      </c>
      <c r="I813" s="5">
        <f>IF(D813="","",IFERROR(VLOOKUP(D813,'Items'!$A$2:$L$201,4,FALSE),""))</f>
        <v/>
      </c>
      <c r="J813" s="10">
        <f>IF(D813="","",IFERROR(VLOOKUP(D813,'Items'!$A$2:$L$201,10,FALSE),""))</f>
        <v/>
      </c>
      <c r="K813" s="10">
        <f>IF(OR(H813="",J813=""),"",H813*J813)</f>
        <v/>
      </c>
      <c r="L813" s="5">
        <f>IF(AND(B813="",D813=""),"",IF(B813="","Missing product",IF(D813="","Missing item",IF(C813="Product not found","Product not found",IF(E813="Item not found","Item not found",IF(OR(F813="",G813=""),"Missing quantity/unit",IF(IFERROR(VLOOKUP(G813,'Units'!$A$2:$D$13,3,FALSE),"")&lt;&gt;I813,"Unit mismatch",IF(J813="","Enter item cost","OK"))))))))</f>
        <v/>
      </c>
      <c r="M813" s="4" t="n"/>
    </row>
    <row r="814">
      <c r="A814" s="5">
        <f>IF(AND(B814="",D814=""),"",ROW()-1)</f>
        <v/>
      </c>
      <c r="B814" s="4" t="n"/>
      <c r="C814" s="5">
        <f>IF(B814="","",IFERROR(VLOOKUP(B814,'Products'!$A$2:$F$201,2,FALSE),"Product not found"))</f>
        <v/>
      </c>
      <c r="D814" s="4" t="n"/>
      <c r="E814" s="5">
        <f>IF(D814="","",IFERROR(VLOOKUP(D814,'Items'!$A$2:$L$201,2,FALSE),"Item not found"))</f>
        <v/>
      </c>
      <c r="F814" s="9" t="n"/>
      <c r="G814" s="4" t="n"/>
      <c r="H814" s="10">
        <f>IF(OR(F814="",G814=""),"",IFERROR(F814*VLOOKUP(G814,'Units'!$A$2:$D$13,4,FALSE),""))</f>
        <v/>
      </c>
      <c r="I814" s="5">
        <f>IF(D814="","",IFERROR(VLOOKUP(D814,'Items'!$A$2:$L$201,4,FALSE),""))</f>
        <v/>
      </c>
      <c r="J814" s="10">
        <f>IF(D814="","",IFERROR(VLOOKUP(D814,'Items'!$A$2:$L$201,10,FALSE),""))</f>
        <v/>
      </c>
      <c r="K814" s="10">
        <f>IF(OR(H814="",J814=""),"",H814*J814)</f>
        <v/>
      </c>
      <c r="L814" s="5">
        <f>IF(AND(B814="",D814=""),"",IF(B814="","Missing product",IF(D814="","Missing item",IF(C814="Product not found","Product not found",IF(E814="Item not found","Item not found",IF(OR(F814="",G814=""),"Missing quantity/unit",IF(IFERROR(VLOOKUP(G814,'Units'!$A$2:$D$13,3,FALSE),"")&lt;&gt;I814,"Unit mismatch",IF(J814="","Enter item cost","OK"))))))))</f>
        <v/>
      </c>
      <c r="M814" s="4" t="n"/>
    </row>
    <row r="815">
      <c r="A815" s="5">
        <f>IF(AND(B815="",D815=""),"",ROW()-1)</f>
        <v/>
      </c>
      <c r="B815" s="4" t="n"/>
      <c r="C815" s="5">
        <f>IF(B815="","",IFERROR(VLOOKUP(B815,'Products'!$A$2:$F$201,2,FALSE),"Product not found"))</f>
        <v/>
      </c>
      <c r="D815" s="4" t="n"/>
      <c r="E815" s="5">
        <f>IF(D815="","",IFERROR(VLOOKUP(D815,'Items'!$A$2:$L$201,2,FALSE),"Item not found"))</f>
        <v/>
      </c>
      <c r="F815" s="9" t="n"/>
      <c r="G815" s="4" t="n"/>
      <c r="H815" s="10">
        <f>IF(OR(F815="",G815=""),"",IFERROR(F815*VLOOKUP(G815,'Units'!$A$2:$D$13,4,FALSE),""))</f>
        <v/>
      </c>
      <c r="I815" s="5">
        <f>IF(D815="","",IFERROR(VLOOKUP(D815,'Items'!$A$2:$L$201,4,FALSE),""))</f>
        <v/>
      </c>
      <c r="J815" s="10">
        <f>IF(D815="","",IFERROR(VLOOKUP(D815,'Items'!$A$2:$L$201,10,FALSE),""))</f>
        <v/>
      </c>
      <c r="K815" s="10">
        <f>IF(OR(H815="",J815=""),"",H815*J815)</f>
        <v/>
      </c>
      <c r="L815" s="5">
        <f>IF(AND(B815="",D815=""),"",IF(B815="","Missing product",IF(D815="","Missing item",IF(C815="Product not found","Product not found",IF(E815="Item not found","Item not found",IF(OR(F815="",G815=""),"Missing quantity/unit",IF(IFERROR(VLOOKUP(G815,'Units'!$A$2:$D$13,3,FALSE),"")&lt;&gt;I815,"Unit mismatch",IF(J815="","Enter item cost","OK"))))))))</f>
        <v/>
      </c>
      <c r="M815" s="4" t="n"/>
    </row>
    <row r="816">
      <c r="A816" s="5">
        <f>IF(AND(B816="",D816=""),"",ROW()-1)</f>
        <v/>
      </c>
      <c r="B816" s="4" t="n"/>
      <c r="C816" s="5">
        <f>IF(B816="","",IFERROR(VLOOKUP(B816,'Products'!$A$2:$F$201,2,FALSE),"Product not found"))</f>
        <v/>
      </c>
      <c r="D816" s="4" t="n"/>
      <c r="E816" s="5">
        <f>IF(D816="","",IFERROR(VLOOKUP(D816,'Items'!$A$2:$L$201,2,FALSE),"Item not found"))</f>
        <v/>
      </c>
      <c r="F816" s="9" t="n"/>
      <c r="G816" s="4" t="n"/>
      <c r="H816" s="10">
        <f>IF(OR(F816="",G816=""),"",IFERROR(F816*VLOOKUP(G816,'Units'!$A$2:$D$13,4,FALSE),""))</f>
        <v/>
      </c>
      <c r="I816" s="5">
        <f>IF(D816="","",IFERROR(VLOOKUP(D816,'Items'!$A$2:$L$201,4,FALSE),""))</f>
        <v/>
      </c>
      <c r="J816" s="10">
        <f>IF(D816="","",IFERROR(VLOOKUP(D816,'Items'!$A$2:$L$201,10,FALSE),""))</f>
        <v/>
      </c>
      <c r="K816" s="10">
        <f>IF(OR(H816="",J816=""),"",H816*J816)</f>
        <v/>
      </c>
      <c r="L816" s="5">
        <f>IF(AND(B816="",D816=""),"",IF(B816="","Missing product",IF(D816="","Missing item",IF(C816="Product not found","Product not found",IF(E816="Item not found","Item not found",IF(OR(F816="",G816=""),"Missing quantity/unit",IF(IFERROR(VLOOKUP(G816,'Units'!$A$2:$D$13,3,FALSE),"")&lt;&gt;I816,"Unit mismatch",IF(J816="","Enter item cost","OK"))))))))</f>
        <v/>
      </c>
      <c r="M816" s="4" t="n"/>
    </row>
    <row r="817">
      <c r="A817" s="5">
        <f>IF(AND(B817="",D817=""),"",ROW()-1)</f>
        <v/>
      </c>
      <c r="B817" s="4" t="n"/>
      <c r="C817" s="5">
        <f>IF(B817="","",IFERROR(VLOOKUP(B817,'Products'!$A$2:$F$201,2,FALSE),"Product not found"))</f>
        <v/>
      </c>
      <c r="D817" s="4" t="n"/>
      <c r="E817" s="5">
        <f>IF(D817="","",IFERROR(VLOOKUP(D817,'Items'!$A$2:$L$201,2,FALSE),"Item not found"))</f>
        <v/>
      </c>
      <c r="F817" s="9" t="n"/>
      <c r="G817" s="4" t="n"/>
      <c r="H817" s="10">
        <f>IF(OR(F817="",G817=""),"",IFERROR(F817*VLOOKUP(G817,'Units'!$A$2:$D$13,4,FALSE),""))</f>
        <v/>
      </c>
      <c r="I817" s="5">
        <f>IF(D817="","",IFERROR(VLOOKUP(D817,'Items'!$A$2:$L$201,4,FALSE),""))</f>
        <v/>
      </c>
      <c r="J817" s="10">
        <f>IF(D817="","",IFERROR(VLOOKUP(D817,'Items'!$A$2:$L$201,10,FALSE),""))</f>
        <v/>
      </c>
      <c r="K817" s="10">
        <f>IF(OR(H817="",J817=""),"",H817*J817)</f>
        <v/>
      </c>
      <c r="L817" s="5">
        <f>IF(AND(B817="",D817=""),"",IF(B817="","Missing product",IF(D817="","Missing item",IF(C817="Product not found","Product not found",IF(E817="Item not found","Item not found",IF(OR(F817="",G817=""),"Missing quantity/unit",IF(IFERROR(VLOOKUP(G817,'Units'!$A$2:$D$13,3,FALSE),"")&lt;&gt;I817,"Unit mismatch",IF(J817="","Enter item cost","OK"))))))))</f>
        <v/>
      </c>
      <c r="M817" s="4" t="n"/>
    </row>
    <row r="818">
      <c r="A818" s="5">
        <f>IF(AND(B818="",D818=""),"",ROW()-1)</f>
        <v/>
      </c>
      <c r="B818" s="4" t="n"/>
      <c r="C818" s="5">
        <f>IF(B818="","",IFERROR(VLOOKUP(B818,'Products'!$A$2:$F$201,2,FALSE),"Product not found"))</f>
        <v/>
      </c>
      <c r="D818" s="4" t="n"/>
      <c r="E818" s="5">
        <f>IF(D818="","",IFERROR(VLOOKUP(D818,'Items'!$A$2:$L$201,2,FALSE),"Item not found"))</f>
        <v/>
      </c>
      <c r="F818" s="9" t="n"/>
      <c r="G818" s="4" t="n"/>
      <c r="H818" s="10">
        <f>IF(OR(F818="",G818=""),"",IFERROR(F818*VLOOKUP(G818,'Units'!$A$2:$D$13,4,FALSE),""))</f>
        <v/>
      </c>
      <c r="I818" s="5">
        <f>IF(D818="","",IFERROR(VLOOKUP(D818,'Items'!$A$2:$L$201,4,FALSE),""))</f>
        <v/>
      </c>
      <c r="J818" s="10">
        <f>IF(D818="","",IFERROR(VLOOKUP(D818,'Items'!$A$2:$L$201,10,FALSE),""))</f>
        <v/>
      </c>
      <c r="K818" s="10">
        <f>IF(OR(H818="",J818=""),"",H818*J818)</f>
        <v/>
      </c>
      <c r="L818" s="5">
        <f>IF(AND(B818="",D818=""),"",IF(B818="","Missing product",IF(D818="","Missing item",IF(C818="Product not found","Product not found",IF(E818="Item not found","Item not found",IF(OR(F818="",G818=""),"Missing quantity/unit",IF(IFERROR(VLOOKUP(G818,'Units'!$A$2:$D$13,3,FALSE),"")&lt;&gt;I818,"Unit mismatch",IF(J818="","Enter item cost","OK"))))))))</f>
        <v/>
      </c>
      <c r="M818" s="4" t="n"/>
    </row>
    <row r="819">
      <c r="A819" s="5">
        <f>IF(AND(B819="",D819=""),"",ROW()-1)</f>
        <v/>
      </c>
      <c r="B819" s="4" t="n"/>
      <c r="C819" s="5">
        <f>IF(B819="","",IFERROR(VLOOKUP(B819,'Products'!$A$2:$F$201,2,FALSE),"Product not found"))</f>
        <v/>
      </c>
      <c r="D819" s="4" t="n"/>
      <c r="E819" s="5">
        <f>IF(D819="","",IFERROR(VLOOKUP(D819,'Items'!$A$2:$L$201,2,FALSE),"Item not found"))</f>
        <v/>
      </c>
      <c r="F819" s="9" t="n"/>
      <c r="G819" s="4" t="n"/>
      <c r="H819" s="10">
        <f>IF(OR(F819="",G819=""),"",IFERROR(F819*VLOOKUP(G819,'Units'!$A$2:$D$13,4,FALSE),""))</f>
        <v/>
      </c>
      <c r="I819" s="5">
        <f>IF(D819="","",IFERROR(VLOOKUP(D819,'Items'!$A$2:$L$201,4,FALSE),""))</f>
        <v/>
      </c>
      <c r="J819" s="10">
        <f>IF(D819="","",IFERROR(VLOOKUP(D819,'Items'!$A$2:$L$201,10,FALSE),""))</f>
        <v/>
      </c>
      <c r="K819" s="10">
        <f>IF(OR(H819="",J819=""),"",H819*J819)</f>
        <v/>
      </c>
      <c r="L819" s="5">
        <f>IF(AND(B819="",D819=""),"",IF(B819="","Missing product",IF(D819="","Missing item",IF(C819="Product not found","Product not found",IF(E819="Item not found","Item not found",IF(OR(F819="",G819=""),"Missing quantity/unit",IF(IFERROR(VLOOKUP(G819,'Units'!$A$2:$D$13,3,FALSE),"")&lt;&gt;I819,"Unit mismatch",IF(J819="","Enter item cost","OK"))))))))</f>
        <v/>
      </c>
      <c r="M819" s="4" t="n"/>
    </row>
    <row r="820">
      <c r="A820" s="5">
        <f>IF(AND(B820="",D820=""),"",ROW()-1)</f>
        <v/>
      </c>
      <c r="B820" s="4" t="n"/>
      <c r="C820" s="5">
        <f>IF(B820="","",IFERROR(VLOOKUP(B820,'Products'!$A$2:$F$201,2,FALSE),"Product not found"))</f>
        <v/>
      </c>
      <c r="D820" s="4" t="n"/>
      <c r="E820" s="5">
        <f>IF(D820="","",IFERROR(VLOOKUP(D820,'Items'!$A$2:$L$201,2,FALSE),"Item not found"))</f>
        <v/>
      </c>
      <c r="F820" s="9" t="n"/>
      <c r="G820" s="4" t="n"/>
      <c r="H820" s="10">
        <f>IF(OR(F820="",G820=""),"",IFERROR(F820*VLOOKUP(G820,'Units'!$A$2:$D$13,4,FALSE),""))</f>
        <v/>
      </c>
      <c r="I820" s="5">
        <f>IF(D820="","",IFERROR(VLOOKUP(D820,'Items'!$A$2:$L$201,4,FALSE),""))</f>
        <v/>
      </c>
      <c r="J820" s="10">
        <f>IF(D820="","",IFERROR(VLOOKUP(D820,'Items'!$A$2:$L$201,10,FALSE),""))</f>
        <v/>
      </c>
      <c r="K820" s="10">
        <f>IF(OR(H820="",J820=""),"",H820*J820)</f>
        <v/>
      </c>
      <c r="L820" s="5">
        <f>IF(AND(B820="",D820=""),"",IF(B820="","Missing product",IF(D820="","Missing item",IF(C820="Product not found","Product not found",IF(E820="Item not found","Item not found",IF(OR(F820="",G820=""),"Missing quantity/unit",IF(IFERROR(VLOOKUP(G820,'Units'!$A$2:$D$13,3,FALSE),"")&lt;&gt;I820,"Unit mismatch",IF(J820="","Enter item cost","OK"))))))))</f>
        <v/>
      </c>
      <c r="M820" s="4" t="n"/>
    </row>
    <row r="821">
      <c r="A821" s="5">
        <f>IF(AND(B821="",D821=""),"",ROW()-1)</f>
        <v/>
      </c>
      <c r="B821" s="4" t="n"/>
      <c r="C821" s="5">
        <f>IF(B821="","",IFERROR(VLOOKUP(B821,'Products'!$A$2:$F$201,2,FALSE),"Product not found"))</f>
        <v/>
      </c>
      <c r="D821" s="4" t="n"/>
      <c r="E821" s="5">
        <f>IF(D821="","",IFERROR(VLOOKUP(D821,'Items'!$A$2:$L$201,2,FALSE),"Item not found"))</f>
        <v/>
      </c>
      <c r="F821" s="9" t="n"/>
      <c r="G821" s="4" t="n"/>
      <c r="H821" s="10">
        <f>IF(OR(F821="",G821=""),"",IFERROR(F821*VLOOKUP(G821,'Units'!$A$2:$D$13,4,FALSE),""))</f>
        <v/>
      </c>
      <c r="I821" s="5">
        <f>IF(D821="","",IFERROR(VLOOKUP(D821,'Items'!$A$2:$L$201,4,FALSE),""))</f>
        <v/>
      </c>
      <c r="J821" s="10">
        <f>IF(D821="","",IFERROR(VLOOKUP(D821,'Items'!$A$2:$L$201,10,FALSE),""))</f>
        <v/>
      </c>
      <c r="K821" s="10">
        <f>IF(OR(H821="",J821=""),"",H821*J821)</f>
        <v/>
      </c>
      <c r="L821" s="5">
        <f>IF(AND(B821="",D821=""),"",IF(B821="","Missing product",IF(D821="","Missing item",IF(C821="Product not found","Product not found",IF(E821="Item not found","Item not found",IF(OR(F821="",G821=""),"Missing quantity/unit",IF(IFERROR(VLOOKUP(G821,'Units'!$A$2:$D$13,3,FALSE),"")&lt;&gt;I821,"Unit mismatch",IF(J821="","Enter item cost","OK"))))))))</f>
        <v/>
      </c>
      <c r="M821" s="4" t="n"/>
    </row>
    <row r="822">
      <c r="A822" s="5">
        <f>IF(AND(B822="",D822=""),"",ROW()-1)</f>
        <v/>
      </c>
      <c r="B822" s="4" t="n"/>
      <c r="C822" s="5">
        <f>IF(B822="","",IFERROR(VLOOKUP(B822,'Products'!$A$2:$F$201,2,FALSE),"Product not found"))</f>
        <v/>
      </c>
      <c r="D822" s="4" t="n"/>
      <c r="E822" s="5">
        <f>IF(D822="","",IFERROR(VLOOKUP(D822,'Items'!$A$2:$L$201,2,FALSE),"Item not found"))</f>
        <v/>
      </c>
      <c r="F822" s="9" t="n"/>
      <c r="G822" s="4" t="n"/>
      <c r="H822" s="10">
        <f>IF(OR(F822="",G822=""),"",IFERROR(F822*VLOOKUP(G822,'Units'!$A$2:$D$13,4,FALSE),""))</f>
        <v/>
      </c>
      <c r="I822" s="5">
        <f>IF(D822="","",IFERROR(VLOOKUP(D822,'Items'!$A$2:$L$201,4,FALSE),""))</f>
        <v/>
      </c>
      <c r="J822" s="10">
        <f>IF(D822="","",IFERROR(VLOOKUP(D822,'Items'!$A$2:$L$201,10,FALSE),""))</f>
        <v/>
      </c>
      <c r="K822" s="10">
        <f>IF(OR(H822="",J822=""),"",H822*J822)</f>
        <v/>
      </c>
      <c r="L822" s="5">
        <f>IF(AND(B822="",D822=""),"",IF(B822="","Missing product",IF(D822="","Missing item",IF(C822="Product not found","Product not found",IF(E822="Item not found","Item not found",IF(OR(F822="",G822=""),"Missing quantity/unit",IF(IFERROR(VLOOKUP(G822,'Units'!$A$2:$D$13,3,FALSE),"")&lt;&gt;I822,"Unit mismatch",IF(J822="","Enter item cost","OK"))))))))</f>
        <v/>
      </c>
      <c r="M822" s="4" t="n"/>
    </row>
    <row r="823">
      <c r="A823" s="5">
        <f>IF(AND(B823="",D823=""),"",ROW()-1)</f>
        <v/>
      </c>
      <c r="B823" s="4" t="n"/>
      <c r="C823" s="5">
        <f>IF(B823="","",IFERROR(VLOOKUP(B823,'Products'!$A$2:$F$201,2,FALSE),"Product not found"))</f>
        <v/>
      </c>
      <c r="D823" s="4" t="n"/>
      <c r="E823" s="5">
        <f>IF(D823="","",IFERROR(VLOOKUP(D823,'Items'!$A$2:$L$201,2,FALSE),"Item not found"))</f>
        <v/>
      </c>
      <c r="F823" s="9" t="n"/>
      <c r="G823" s="4" t="n"/>
      <c r="H823" s="10">
        <f>IF(OR(F823="",G823=""),"",IFERROR(F823*VLOOKUP(G823,'Units'!$A$2:$D$13,4,FALSE),""))</f>
        <v/>
      </c>
      <c r="I823" s="5">
        <f>IF(D823="","",IFERROR(VLOOKUP(D823,'Items'!$A$2:$L$201,4,FALSE),""))</f>
        <v/>
      </c>
      <c r="J823" s="10">
        <f>IF(D823="","",IFERROR(VLOOKUP(D823,'Items'!$A$2:$L$201,10,FALSE),""))</f>
        <v/>
      </c>
      <c r="K823" s="10">
        <f>IF(OR(H823="",J823=""),"",H823*J823)</f>
        <v/>
      </c>
      <c r="L823" s="5">
        <f>IF(AND(B823="",D823=""),"",IF(B823="","Missing product",IF(D823="","Missing item",IF(C823="Product not found","Product not found",IF(E823="Item not found","Item not found",IF(OR(F823="",G823=""),"Missing quantity/unit",IF(IFERROR(VLOOKUP(G823,'Units'!$A$2:$D$13,3,FALSE),"")&lt;&gt;I823,"Unit mismatch",IF(J823="","Enter item cost","OK"))))))))</f>
        <v/>
      </c>
      <c r="M823" s="4" t="n"/>
    </row>
    <row r="824">
      <c r="A824" s="5">
        <f>IF(AND(B824="",D824=""),"",ROW()-1)</f>
        <v/>
      </c>
      <c r="B824" s="4" t="n"/>
      <c r="C824" s="5">
        <f>IF(B824="","",IFERROR(VLOOKUP(B824,'Products'!$A$2:$F$201,2,FALSE),"Product not found"))</f>
        <v/>
      </c>
      <c r="D824" s="4" t="n"/>
      <c r="E824" s="5">
        <f>IF(D824="","",IFERROR(VLOOKUP(D824,'Items'!$A$2:$L$201,2,FALSE),"Item not found"))</f>
        <v/>
      </c>
      <c r="F824" s="9" t="n"/>
      <c r="G824" s="4" t="n"/>
      <c r="H824" s="10">
        <f>IF(OR(F824="",G824=""),"",IFERROR(F824*VLOOKUP(G824,'Units'!$A$2:$D$13,4,FALSE),""))</f>
        <v/>
      </c>
      <c r="I824" s="5">
        <f>IF(D824="","",IFERROR(VLOOKUP(D824,'Items'!$A$2:$L$201,4,FALSE),""))</f>
        <v/>
      </c>
      <c r="J824" s="10">
        <f>IF(D824="","",IFERROR(VLOOKUP(D824,'Items'!$A$2:$L$201,10,FALSE),""))</f>
        <v/>
      </c>
      <c r="K824" s="10">
        <f>IF(OR(H824="",J824=""),"",H824*J824)</f>
        <v/>
      </c>
      <c r="L824" s="5">
        <f>IF(AND(B824="",D824=""),"",IF(B824="","Missing product",IF(D824="","Missing item",IF(C824="Product not found","Product not found",IF(E824="Item not found","Item not found",IF(OR(F824="",G824=""),"Missing quantity/unit",IF(IFERROR(VLOOKUP(G824,'Units'!$A$2:$D$13,3,FALSE),"")&lt;&gt;I824,"Unit mismatch",IF(J824="","Enter item cost","OK"))))))))</f>
        <v/>
      </c>
      <c r="M824" s="4" t="n"/>
    </row>
    <row r="825">
      <c r="A825" s="5">
        <f>IF(AND(B825="",D825=""),"",ROW()-1)</f>
        <v/>
      </c>
      <c r="B825" s="4" t="n"/>
      <c r="C825" s="5">
        <f>IF(B825="","",IFERROR(VLOOKUP(B825,'Products'!$A$2:$F$201,2,FALSE),"Product not found"))</f>
        <v/>
      </c>
      <c r="D825" s="4" t="n"/>
      <c r="E825" s="5">
        <f>IF(D825="","",IFERROR(VLOOKUP(D825,'Items'!$A$2:$L$201,2,FALSE),"Item not found"))</f>
        <v/>
      </c>
      <c r="F825" s="9" t="n"/>
      <c r="G825" s="4" t="n"/>
      <c r="H825" s="10">
        <f>IF(OR(F825="",G825=""),"",IFERROR(F825*VLOOKUP(G825,'Units'!$A$2:$D$13,4,FALSE),""))</f>
        <v/>
      </c>
      <c r="I825" s="5">
        <f>IF(D825="","",IFERROR(VLOOKUP(D825,'Items'!$A$2:$L$201,4,FALSE),""))</f>
        <v/>
      </c>
      <c r="J825" s="10">
        <f>IF(D825="","",IFERROR(VLOOKUP(D825,'Items'!$A$2:$L$201,10,FALSE),""))</f>
        <v/>
      </c>
      <c r="K825" s="10">
        <f>IF(OR(H825="",J825=""),"",H825*J825)</f>
        <v/>
      </c>
      <c r="L825" s="5">
        <f>IF(AND(B825="",D825=""),"",IF(B825="","Missing product",IF(D825="","Missing item",IF(C825="Product not found","Product not found",IF(E825="Item not found","Item not found",IF(OR(F825="",G825=""),"Missing quantity/unit",IF(IFERROR(VLOOKUP(G825,'Units'!$A$2:$D$13,3,FALSE),"")&lt;&gt;I825,"Unit mismatch",IF(J825="","Enter item cost","OK"))))))))</f>
        <v/>
      </c>
      <c r="M825" s="4" t="n"/>
    </row>
    <row r="826">
      <c r="A826" s="5">
        <f>IF(AND(B826="",D826=""),"",ROW()-1)</f>
        <v/>
      </c>
      <c r="B826" s="4" t="n"/>
      <c r="C826" s="5">
        <f>IF(B826="","",IFERROR(VLOOKUP(B826,'Products'!$A$2:$F$201,2,FALSE),"Product not found"))</f>
        <v/>
      </c>
      <c r="D826" s="4" t="n"/>
      <c r="E826" s="5">
        <f>IF(D826="","",IFERROR(VLOOKUP(D826,'Items'!$A$2:$L$201,2,FALSE),"Item not found"))</f>
        <v/>
      </c>
      <c r="F826" s="9" t="n"/>
      <c r="G826" s="4" t="n"/>
      <c r="H826" s="10">
        <f>IF(OR(F826="",G826=""),"",IFERROR(F826*VLOOKUP(G826,'Units'!$A$2:$D$13,4,FALSE),""))</f>
        <v/>
      </c>
      <c r="I826" s="5">
        <f>IF(D826="","",IFERROR(VLOOKUP(D826,'Items'!$A$2:$L$201,4,FALSE),""))</f>
        <v/>
      </c>
      <c r="J826" s="10">
        <f>IF(D826="","",IFERROR(VLOOKUP(D826,'Items'!$A$2:$L$201,10,FALSE),""))</f>
        <v/>
      </c>
      <c r="K826" s="10">
        <f>IF(OR(H826="",J826=""),"",H826*J826)</f>
        <v/>
      </c>
      <c r="L826" s="5">
        <f>IF(AND(B826="",D826=""),"",IF(B826="","Missing product",IF(D826="","Missing item",IF(C826="Product not found","Product not found",IF(E826="Item not found","Item not found",IF(OR(F826="",G826=""),"Missing quantity/unit",IF(IFERROR(VLOOKUP(G826,'Units'!$A$2:$D$13,3,FALSE),"")&lt;&gt;I826,"Unit mismatch",IF(J826="","Enter item cost","OK"))))))))</f>
        <v/>
      </c>
      <c r="M826" s="4" t="n"/>
    </row>
    <row r="827">
      <c r="A827" s="5">
        <f>IF(AND(B827="",D827=""),"",ROW()-1)</f>
        <v/>
      </c>
      <c r="B827" s="4" t="n"/>
      <c r="C827" s="5">
        <f>IF(B827="","",IFERROR(VLOOKUP(B827,'Products'!$A$2:$F$201,2,FALSE),"Product not found"))</f>
        <v/>
      </c>
      <c r="D827" s="4" t="n"/>
      <c r="E827" s="5">
        <f>IF(D827="","",IFERROR(VLOOKUP(D827,'Items'!$A$2:$L$201,2,FALSE),"Item not found"))</f>
        <v/>
      </c>
      <c r="F827" s="9" t="n"/>
      <c r="G827" s="4" t="n"/>
      <c r="H827" s="10">
        <f>IF(OR(F827="",G827=""),"",IFERROR(F827*VLOOKUP(G827,'Units'!$A$2:$D$13,4,FALSE),""))</f>
        <v/>
      </c>
      <c r="I827" s="5">
        <f>IF(D827="","",IFERROR(VLOOKUP(D827,'Items'!$A$2:$L$201,4,FALSE),""))</f>
        <v/>
      </c>
      <c r="J827" s="10">
        <f>IF(D827="","",IFERROR(VLOOKUP(D827,'Items'!$A$2:$L$201,10,FALSE),""))</f>
        <v/>
      </c>
      <c r="K827" s="10">
        <f>IF(OR(H827="",J827=""),"",H827*J827)</f>
        <v/>
      </c>
      <c r="L827" s="5">
        <f>IF(AND(B827="",D827=""),"",IF(B827="","Missing product",IF(D827="","Missing item",IF(C827="Product not found","Product not found",IF(E827="Item not found","Item not found",IF(OR(F827="",G827=""),"Missing quantity/unit",IF(IFERROR(VLOOKUP(G827,'Units'!$A$2:$D$13,3,FALSE),"")&lt;&gt;I827,"Unit mismatch",IF(J827="","Enter item cost","OK"))))))))</f>
        <v/>
      </c>
      <c r="M827" s="4" t="n"/>
    </row>
    <row r="828">
      <c r="A828" s="5">
        <f>IF(AND(B828="",D828=""),"",ROW()-1)</f>
        <v/>
      </c>
      <c r="B828" s="4" t="n"/>
      <c r="C828" s="5">
        <f>IF(B828="","",IFERROR(VLOOKUP(B828,'Products'!$A$2:$F$201,2,FALSE),"Product not found"))</f>
        <v/>
      </c>
      <c r="D828" s="4" t="n"/>
      <c r="E828" s="5">
        <f>IF(D828="","",IFERROR(VLOOKUP(D828,'Items'!$A$2:$L$201,2,FALSE),"Item not found"))</f>
        <v/>
      </c>
      <c r="F828" s="9" t="n"/>
      <c r="G828" s="4" t="n"/>
      <c r="H828" s="10">
        <f>IF(OR(F828="",G828=""),"",IFERROR(F828*VLOOKUP(G828,'Units'!$A$2:$D$13,4,FALSE),""))</f>
        <v/>
      </c>
      <c r="I828" s="5">
        <f>IF(D828="","",IFERROR(VLOOKUP(D828,'Items'!$A$2:$L$201,4,FALSE),""))</f>
        <v/>
      </c>
      <c r="J828" s="10">
        <f>IF(D828="","",IFERROR(VLOOKUP(D828,'Items'!$A$2:$L$201,10,FALSE),""))</f>
        <v/>
      </c>
      <c r="K828" s="10">
        <f>IF(OR(H828="",J828=""),"",H828*J828)</f>
        <v/>
      </c>
      <c r="L828" s="5">
        <f>IF(AND(B828="",D828=""),"",IF(B828="","Missing product",IF(D828="","Missing item",IF(C828="Product not found","Product not found",IF(E828="Item not found","Item not found",IF(OR(F828="",G828=""),"Missing quantity/unit",IF(IFERROR(VLOOKUP(G828,'Units'!$A$2:$D$13,3,FALSE),"")&lt;&gt;I828,"Unit mismatch",IF(J828="","Enter item cost","OK"))))))))</f>
        <v/>
      </c>
      <c r="M828" s="4" t="n"/>
    </row>
    <row r="829">
      <c r="A829" s="5">
        <f>IF(AND(B829="",D829=""),"",ROW()-1)</f>
        <v/>
      </c>
      <c r="B829" s="4" t="n"/>
      <c r="C829" s="5">
        <f>IF(B829="","",IFERROR(VLOOKUP(B829,'Products'!$A$2:$F$201,2,FALSE),"Product not found"))</f>
        <v/>
      </c>
      <c r="D829" s="4" t="n"/>
      <c r="E829" s="5">
        <f>IF(D829="","",IFERROR(VLOOKUP(D829,'Items'!$A$2:$L$201,2,FALSE),"Item not found"))</f>
        <v/>
      </c>
      <c r="F829" s="9" t="n"/>
      <c r="G829" s="4" t="n"/>
      <c r="H829" s="10">
        <f>IF(OR(F829="",G829=""),"",IFERROR(F829*VLOOKUP(G829,'Units'!$A$2:$D$13,4,FALSE),""))</f>
        <v/>
      </c>
      <c r="I829" s="5">
        <f>IF(D829="","",IFERROR(VLOOKUP(D829,'Items'!$A$2:$L$201,4,FALSE),""))</f>
        <v/>
      </c>
      <c r="J829" s="10">
        <f>IF(D829="","",IFERROR(VLOOKUP(D829,'Items'!$A$2:$L$201,10,FALSE),""))</f>
        <v/>
      </c>
      <c r="K829" s="10">
        <f>IF(OR(H829="",J829=""),"",H829*J829)</f>
        <v/>
      </c>
      <c r="L829" s="5">
        <f>IF(AND(B829="",D829=""),"",IF(B829="","Missing product",IF(D829="","Missing item",IF(C829="Product not found","Product not found",IF(E829="Item not found","Item not found",IF(OR(F829="",G829=""),"Missing quantity/unit",IF(IFERROR(VLOOKUP(G829,'Units'!$A$2:$D$13,3,FALSE),"")&lt;&gt;I829,"Unit mismatch",IF(J829="","Enter item cost","OK"))))))))</f>
        <v/>
      </c>
      <c r="M829" s="4" t="n"/>
    </row>
    <row r="830">
      <c r="A830" s="5">
        <f>IF(AND(B830="",D830=""),"",ROW()-1)</f>
        <v/>
      </c>
      <c r="B830" s="4" t="n"/>
      <c r="C830" s="5">
        <f>IF(B830="","",IFERROR(VLOOKUP(B830,'Products'!$A$2:$F$201,2,FALSE),"Product not found"))</f>
        <v/>
      </c>
      <c r="D830" s="4" t="n"/>
      <c r="E830" s="5">
        <f>IF(D830="","",IFERROR(VLOOKUP(D830,'Items'!$A$2:$L$201,2,FALSE),"Item not found"))</f>
        <v/>
      </c>
      <c r="F830" s="9" t="n"/>
      <c r="G830" s="4" t="n"/>
      <c r="H830" s="10">
        <f>IF(OR(F830="",G830=""),"",IFERROR(F830*VLOOKUP(G830,'Units'!$A$2:$D$13,4,FALSE),""))</f>
        <v/>
      </c>
      <c r="I830" s="5">
        <f>IF(D830="","",IFERROR(VLOOKUP(D830,'Items'!$A$2:$L$201,4,FALSE),""))</f>
        <v/>
      </c>
      <c r="J830" s="10">
        <f>IF(D830="","",IFERROR(VLOOKUP(D830,'Items'!$A$2:$L$201,10,FALSE),""))</f>
        <v/>
      </c>
      <c r="K830" s="10">
        <f>IF(OR(H830="",J830=""),"",H830*J830)</f>
        <v/>
      </c>
      <c r="L830" s="5">
        <f>IF(AND(B830="",D830=""),"",IF(B830="","Missing product",IF(D830="","Missing item",IF(C830="Product not found","Product not found",IF(E830="Item not found","Item not found",IF(OR(F830="",G830=""),"Missing quantity/unit",IF(IFERROR(VLOOKUP(G830,'Units'!$A$2:$D$13,3,FALSE),"")&lt;&gt;I830,"Unit mismatch",IF(J830="","Enter item cost","OK"))))))))</f>
        <v/>
      </c>
      <c r="M830" s="4" t="n"/>
    </row>
    <row r="831">
      <c r="A831" s="5">
        <f>IF(AND(B831="",D831=""),"",ROW()-1)</f>
        <v/>
      </c>
      <c r="B831" s="4" t="n"/>
      <c r="C831" s="5">
        <f>IF(B831="","",IFERROR(VLOOKUP(B831,'Products'!$A$2:$F$201,2,FALSE),"Product not found"))</f>
        <v/>
      </c>
      <c r="D831" s="4" t="n"/>
      <c r="E831" s="5">
        <f>IF(D831="","",IFERROR(VLOOKUP(D831,'Items'!$A$2:$L$201,2,FALSE),"Item not found"))</f>
        <v/>
      </c>
      <c r="F831" s="9" t="n"/>
      <c r="G831" s="4" t="n"/>
      <c r="H831" s="10">
        <f>IF(OR(F831="",G831=""),"",IFERROR(F831*VLOOKUP(G831,'Units'!$A$2:$D$13,4,FALSE),""))</f>
        <v/>
      </c>
      <c r="I831" s="5">
        <f>IF(D831="","",IFERROR(VLOOKUP(D831,'Items'!$A$2:$L$201,4,FALSE),""))</f>
        <v/>
      </c>
      <c r="J831" s="10">
        <f>IF(D831="","",IFERROR(VLOOKUP(D831,'Items'!$A$2:$L$201,10,FALSE),""))</f>
        <v/>
      </c>
      <c r="K831" s="10">
        <f>IF(OR(H831="",J831=""),"",H831*J831)</f>
        <v/>
      </c>
      <c r="L831" s="5">
        <f>IF(AND(B831="",D831=""),"",IF(B831="","Missing product",IF(D831="","Missing item",IF(C831="Product not found","Product not found",IF(E831="Item not found","Item not found",IF(OR(F831="",G831=""),"Missing quantity/unit",IF(IFERROR(VLOOKUP(G831,'Units'!$A$2:$D$13,3,FALSE),"")&lt;&gt;I831,"Unit mismatch",IF(J831="","Enter item cost","OK"))))))))</f>
        <v/>
      </c>
      <c r="M831" s="4" t="n"/>
    </row>
    <row r="832">
      <c r="A832" s="5">
        <f>IF(AND(B832="",D832=""),"",ROW()-1)</f>
        <v/>
      </c>
      <c r="B832" s="4" t="n"/>
      <c r="C832" s="5">
        <f>IF(B832="","",IFERROR(VLOOKUP(B832,'Products'!$A$2:$F$201,2,FALSE),"Product not found"))</f>
        <v/>
      </c>
      <c r="D832" s="4" t="n"/>
      <c r="E832" s="5">
        <f>IF(D832="","",IFERROR(VLOOKUP(D832,'Items'!$A$2:$L$201,2,FALSE),"Item not found"))</f>
        <v/>
      </c>
      <c r="F832" s="9" t="n"/>
      <c r="G832" s="4" t="n"/>
      <c r="H832" s="10">
        <f>IF(OR(F832="",G832=""),"",IFERROR(F832*VLOOKUP(G832,'Units'!$A$2:$D$13,4,FALSE),""))</f>
        <v/>
      </c>
      <c r="I832" s="5">
        <f>IF(D832="","",IFERROR(VLOOKUP(D832,'Items'!$A$2:$L$201,4,FALSE),""))</f>
        <v/>
      </c>
      <c r="J832" s="10">
        <f>IF(D832="","",IFERROR(VLOOKUP(D832,'Items'!$A$2:$L$201,10,FALSE),""))</f>
        <v/>
      </c>
      <c r="K832" s="10">
        <f>IF(OR(H832="",J832=""),"",H832*J832)</f>
        <v/>
      </c>
      <c r="L832" s="5">
        <f>IF(AND(B832="",D832=""),"",IF(B832="","Missing product",IF(D832="","Missing item",IF(C832="Product not found","Product not found",IF(E832="Item not found","Item not found",IF(OR(F832="",G832=""),"Missing quantity/unit",IF(IFERROR(VLOOKUP(G832,'Units'!$A$2:$D$13,3,FALSE),"")&lt;&gt;I832,"Unit mismatch",IF(J832="","Enter item cost","OK"))))))))</f>
        <v/>
      </c>
      <c r="M832" s="4" t="n"/>
    </row>
    <row r="833">
      <c r="A833" s="5">
        <f>IF(AND(B833="",D833=""),"",ROW()-1)</f>
        <v/>
      </c>
      <c r="B833" s="4" t="n"/>
      <c r="C833" s="5">
        <f>IF(B833="","",IFERROR(VLOOKUP(B833,'Products'!$A$2:$F$201,2,FALSE),"Product not found"))</f>
        <v/>
      </c>
      <c r="D833" s="4" t="n"/>
      <c r="E833" s="5">
        <f>IF(D833="","",IFERROR(VLOOKUP(D833,'Items'!$A$2:$L$201,2,FALSE),"Item not found"))</f>
        <v/>
      </c>
      <c r="F833" s="9" t="n"/>
      <c r="G833" s="4" t="n"/>
      <c r="H833" s="10">
        <f>IF(OR(F833="",G833=""),"",IFERROR(F833*VLOOKUP(G833,'Units'!$A$2:$D$13,4,FALSE),""))</f>
        <v/>
      </c>
      <c r="I833" s="5">
        <f>IF(D833="","",IFERROR(VLOOKUP(D833,'Items'!$A$2:$L$201,4,FALSE),""))</f>
        <v/>
      </c>
      <c r="J833" s="10">
        <f>IF(D833="","",IFERROR(VLOOKUP(D833,'Items'!$A$2:$L$201,10,FALSE),""))</f>
        <v/>
      </c>
      <c r="K833" s="10">
        <f>IF(OR(H833="",J833=""),"",H833*J833)</f>
        <v/>
      </c>
      <c r="L833" s="5">
        <f>IF(AND(B833="",D833=""),"",IF(B833="","Missing product",IF(D833="","Missing item",IF(C833="Product not found","Product not found",IF(E833="Item not found","Item not found",IF(OR(F833="",G833=""),"Missing quantity/unit",IF(IFERROR(VLOOKUP(G833,'Units'!$A$2:$D$13,3,FALSE),"")&lt;&gt;I833,"Unit mismatch",IF(J833="","Enter item cost","OK"))))))))</f>
        <v/>
      </c>
      <c r="M833" s="4" t="n"/>
    </row>
    <row r="834">
      <c r="A834" s="5">
        <f>IF(AND(B834="",D834=""),"",ROW()-1)</f>
        <v/>
      </c>
      <c r="B834" s="4" t="n"/>
      <c r="C834" s="5">
        <f>IF(B834="","",IFERROR(VLOOKUP(B834,'Products'!$A$2:$F$201,2,FALSE),"Product not found"))</f>
        <v/>
      </c>
      <c r="D834" s="4" t="n"/>
      <c r="E834" s="5">
        <f>IF(D834="","",IFERROR(VLOOKUP(D834,'Items'!$A$2:$L$201,2,FALSE),"Item not found"))</f>
        <v/>
      </c>
      <c r="F834" s="9" t="n"/>
      <c r="G834" s="4" t="n"/>
      <c r="H834" s="10">
        <f>IF(OR(F834="",G834=""),"",IFERROR(F834*VLOOKUP(G834,'Units'!$A$2:$D$13,4,FALSE),""))</f>
        <v/>
      </c>
      <c r="I834" s="5">
        <f>IF(D834="","",IFERROR(VLOOKUP(D834,'Items'!$A$2:$L$201,4,FALSE),""))</f>
        <v/>
      </c>
      <c r="J834" s="10">
        <f>IF(D834="","",IFERROR(VLOOKUP(D834,'Items'!$A$2:$L$201,10,FALSE),""))</f>
        <v/>
      </c>
      <c r="K834" s="10">
        <f>IF(OR(H834="",J834=""),"",H834*J834)</f>
        <v/>
      </c>
      <c r="L834" s="5">
        <f>IF(AND(B834="",D834=""),"",IF(B834="","Missing product",IF(D834="","Missing item",IF(C834="Product not found","Product not found",IF(E834="Item not found","Item not found",IF(OR(F834="",G834=""),"Missing quantity/unit",IF(IFERROR(VLOOKUP(G834,'Units'!$A$2:$D$13,3,FALSE),"")&lt;&gt;I834,"Unit mismatch",IF(J834="","Enter item cost","OK"))))))))</f>
        <v/>
      </c>
      <c r="M834" s="4" t="n"/>
    </row>
    <row r="835">
      <c r="A835" s="5">
        <f>IF(AND(B835="",D835=""),"",ROW()-1)</f>
        <v/>
      </c>
      <c r="B835" s="4" t="n"/>
      <c r="C835" s="5">
        <f>IF(B835="","",IFERROR(VLOOKUP(B835,'Products'!$A$2:$F$201,2,FALSE),"Product not found"))</f>
        <v/>
      </c>
      <c r="D835" s="4" t="n"/>
      <c r="E835" s="5">
        <f>IF(D835="","",IFERROR(VLOOKUP(D835,'Items'!$A$2:$L$201,2,FALSE),"Item not found"))</f>
        <v/>
      </c>
      <c r="F835" s="9" t="n"/>
      <c r="G835" s="4" t="n"/>
      <c r="H835" s="10">
        <f>IF(OR(F835="",G835=""),"",IFERROR(F835*VLOOKUP(G835,'Units'!$A$2:$D$13,4,FALSE),""))</f>
        <v/>
      </c>
      <c r="I835" s="5">
        <f>IF(D835="","",IFERROR(VLOOKUP(D835,'Items'!$A$2:$L$201,4,FALSE),""))</f>
        <v/>
      </c>
      <c r="J835" s="10">
        <f>IF(D835="","",IFERROR(VLOOKUP(D835,'Items'!$A$2:$L$201,10,FALSE),""))</f>
        <v/>
      </c>
      <c r="K835" s="10">
        <f>IF(OR(H835="",J835=""),"",H835*J835)</f>
        <v/>
      </c>
      <c r="L835" s="5">
        <f>IF(AND(B835="",D835=""),"",IF(B835="","Missing product",IF(D835="","Missing item",IF(C835="Product not found","Product not found",IF(E835="Item not found","Item not found",IF(OR(F835="",G835=""),"Missing quantity/unit",IF(IFERROR(VLOOKUP(G835,'Units'!$A$2:$D$13,3,FALSE),"")&lt;&gt;I835,"Unit mismatch",IF(J835="","Enter item cost","OK"))))))))</f>
        <v/>
      </c>
      <c r="M835" s="4" t="n"/>
    </row>
    <row r="836">
      <c r="A836" s="5">
        <f>IF(AND(B836="",D836=""),"",ROW()-1)</f>
        <v/>
      </c>
      <c r="B836" s="4" t="n"/>
      <c r="C836" s="5">
        <f>IF(B836="","",IFERROR(VLOOKUP(B836,'Products'!$A$2:$F$201,2,FALSE),"Product not found"))</f>
        <v/>
      </c>
      <c r="D836" s="4" t="n"/>
      <c r="E836" s="5">
        <f>IF(D836="","",IFERROR(VLOOKUP(D836,'Items'!$A$2:$L$201,2,FALSE),"Item not found"))</f>
        <v/>
      </c>
      <c r="F836" s="9" t="n"/>
      <c r="G836" s="4" t="n"/>
      <c r="H836" s="10">
        <f>IF(OR(F836="",G836=""),"",IFERROR(F836*VLOOKUP(G836,'Units'!$A$2:$D$13,4,FALSE),""))</f>
        <v/>
      </c>
      <c r="I836" s="5">
        <f>IF(D836="","",IFERROR(VLOOKUP(D836,'Items'!$A$2:$L$201,4,FALSE),""))</f>
        <v/>
      </c>
      <c r="J836" s="10">
        <f>IF(D836="","",IFERROR(VLOOKUP(D836,'Items'!$A$2:$L$201,10,FALSE),""))</f>
        <v/>
      </c>
      <c r="K836" s="10">
        <f>IF(OR(H836="",J836=""),"",H836*J836)</f>
        <v/>
      </c>
      <c r="L836" s="5">
        <f>IF(AND(B836="",D836=""),"",IF(B836="","Missing product",IF(D836="","Missing item",IF(C836="Product not found","Product not found",IF(E836="Item not found","Item not found",IF(OR(F836="",G836=""),"Missing quantity/unit",IF(IFERROR(VLOOKUP(G836,'Units'!$A$2:$D$13,3,FALSE),"")&lt;&gt;I836,"Unit mismatch",IF(J836="","Enter item cost","OK"))))))))</f>
        <v/>
      </c>
      <c r="M836" s="4" t="n"/>
    </row>
    <row r="837">
      <c r="A837" s="5">
        <f>IF(AND(B837="",D837=""),"",ROW()-1)</f>
        <v/>
      </c>
      <c r="B837" s="4" t="n"/>
      <c r="C837" s="5">
        <f>IF(B837="","",IFERROR(VLOOKUP(B837,'Products'!$A$2:$F$201,2,FALSE),"Product not found"))</f>
        <v/>
      </c>
      <c r="D837" s="4" t="n"/>
      <c r="E837" s="5">
        <f>IF(D837="","",IFERROR(VLOOKUP(D837,'Items'!$A$2:$L$201,2,FALSE),"Item not found"))</f>
        <v/>
      </c>
      <c r="F837" s="9" t="n"/>
      <c r="G837" s="4" t="n"/>
      <c r="H837" s="10">
        <f>IF(OR(F837="",G837=""),"",IFERROR(F837*VLOOKUP(G837,'Units'!$A$2:$D$13,4,FALSE),""))</f>
        <v/>
      </c>
      <c r="I837" s="5">
        <f>IF(D837="","",IFERROR(VLOOKUP(D837,'Items'!$A$2:$L$201,4,FALSE),""))</f>
        <v/>
      </c>
      <c r="J837" s="10">
        <f>IF(D837="","",IFERROR(VLOOKUP(D837,'Items'!$A$2:$L$201,10,FALSE),""))</f>
        <v/>
      </c>
      <c r="K837" s="10">
        <f>IF(OR(H837="",J837=""),"",H837*J837)</f>
        <v/>
      </c>
      <c r="L837" s="5">
        <f>IF(AND(B837="",D837=""),"",IF(B837="","Missing product",IF(D837="","Missing item",IF(C837="Product not found","Product not found",IF(E837="Item not found","Item not found",IF(OR(F837="",G837=""),"Missing quantity/unit",IF(IFERROR(VLOOKUP(G837,'Units'!$A$2:$D$13,3,FALSE),"")&lt;&gt;I837,"Unit mismatch",IF(J837="","Enter item cost","OK"))))))))</f>
        <v/>
      </c>
      <c r="M837" s="4" t="n"/>
    </row>
    <row r="838">
      <c r="A838" s="5">
        <f>IF(AND(B838="",D838=""),"",ROW()-1)</f>
        <v/>
      </c>
      <c r="B838" s="4" t="n"/>
      <c r="C838" s="5">
        <f>IF(B838="","",IFERROR(VLOOKUP(B838,'Products'!$A$2:$F$201,2,FALSE),"Product not found"))</f>
        <v/>
      </c>
      <c r="D838" s="4" t="n"/>
      <c r="E838" s="5">
        <f>IF(D838="","",IFERROR(VLOOKUP(D838,'Items'!$A$2:$L$201,2,FALSE),"Item not found"))</f>
        <v/>
      </c>
      <c r="F838" s="9" t="n"/>
      <c r="G838" s="4" t="n"/>
      <c r="H838" s="10">
        <f>IF(OR(F838="",G838=""),"",IFERROR(F838*VLOOKUP(G838,'Units'!$A$2:$D$13,4,FALSE),""))</f>
        <v/>
      </c>
      <c r="I838" s="5">
        <f>IF(D838="","",IFERROR(VLOOKUP(D838,'Items'!$A$2:$L$201,4,FALSE),""))</f>
        <v/>
      </c>
      <c r="J838" s="10">
        <f>IF(D838="","",IFERROR(VLOOKUP(D838,'Items'!$A$2:$L$201,10,FALSE),""))</f>
        <v/>
      </c>
      <c r="K838" s="10">
        <f>IF(OR(H838="",J838=""),"",H838*J838)</f>
        <v/>
      </c>
      <c r="L838" s="5">
        <f>IF(AND(B838="",D838=""),"",IF(B838="","Missing product",IF(D838="","Missing item",IF(C838="Product not found","Product not found",IF(E838="Item not found","Item not found",IF(OR(F838="",G838=""),"Missing quantity/unit",IF(IFERROR(VLOOKUP(G838,'Units'!$A$2:$D$13,3,FALSE),"")&lt;&gt;I838,"Unit mismatch",IF(J838="","Enter item cost","OK"))))))))</f>
        <v/>
      </c>
      <c r="M838" s="4" t="n"/>
    </row>
    <row r="839">
      <c r="A839" s="5">
        <f>IF(AND(B839="",D839=""),"",ROW()-1)</f>
        <v/>
      </c>
      <c r="B839" s="4" t="n"/>
      <c r="C839" s="5">
        <f>IF(B839="","",IFERROR(VLOOKUP(B839,'Products'!$A$2:$F$201,2,FALSE),"Product not found"))</f>
        <v/>
      </c>
      <c r="D839" s="4" t="n"/>
      <c r="E839" s="5">
        <f>IF(D839="","",IFERROR(VLOOKUP(D839,'Items'!$A$2:$L$201,2,FALSE),"Item not found"))</f>
        <v/>
      </c>
      <c r="F839" s="9" t="n"/>
      <c r="G839" s="4" t="n"/>
      <c r="H839" s="10">
        <f>IF(OR(F839="",G839=""),"",IFERROR(F839*VLOOKUP(G839,'Units'!$A$2:$D$13,4,FALSE),""))</f>
        <v/>
      </c>
      <c r="I839" s="5">
        <f>IF(D839="","",IFERROR(VLOOKUP(D839,'Items'!$A$2:$L$201,4,FALSE),""))</f>
        <v/>
      </c>
      <c r="J839" s="10">
        <f>IF(D839="","",IFERROR(VLOOKUP(D839,'Items'!$A$2:$L$201,10,FALSE),""))</f>
        <v/>
      </c>
      <c r="K839" s="10">
        <f>IF(OR(H839="",J839=""),"",H839*J839)</f>
        <v/>
      </c>
      <c r="L839" s="5">
        <f>IF(AND(B839="",D839=""),"",IF(B839="","Missing product",IF(D839="","Missing item",IF(C839="Product not found","Product not found",IF(E839="Item not found","Item not found",IF(OR(F839="",G839=""),"Missing quantity/unit",IF(IFERROR(VLOOKUP(G839,'Units'!$A$2:$D$13,3,FALSE),"")&lt;&gt;I839,"Unit mismatch",IF(J839="","Enter item cost","OK"))))))))</f>
        <v/>
      </c>
      <c r="M839" s="4" t="n"/>
    </row>
    <row r="840">
      <c r="A840" s="5">
        <f>IF(AND(B840="",D840=""),"",ROW()-1)</f>
        <v/>
      </c>
      <c r="B840" s="4" t="n"/>
      <c r="C840" s="5">
        <f>IF(B840="","",IFERROR(VLOOKUP(B840,'Products'!$A$2:$F$201,2,FALSE),"Product not found"))</f>
        <v/>
      </c>
      <c r="D840" s="4" t="n"/>
      <c r="E840" s="5">
        <f>IF(D840="","",IFERROR(VLOOKUP(D840,'Items'!$A$2:$L$201,2,FALSE),"Item not found"))</f>
        <v/>
      </c>
      <c r="F840" s="9" t="n"/>
      <c r="G840" s="4" t="n"/>
      <c r="H840" s="10">
        <f>IF(OR(F840="",G840=""),"",IFERROR(F840*VLOOKUP(G840,'Units'!$A$2:$D$13,4,FALSE),""))</f>
        <v/>
      </c>
      <c r="I840" s="5">
        <f>IF(D840="","",IFERROR(VLOOKUP(D840,'Items'!$A$2:$L$201,4,FALSE),""))</f>
        <v/>
      </c>
      <c r="J840" s="10">
        <f>IF(D840="","",IFERROR(VLOOKUP(D840,'Items'!$A$2:$L$201,10,FALSE),""))</f>
        <v/>
      </c>
      <c r="K840" s="10">
        <f>IF(OR(H840="",J840=""),"",H840*J840)</f>
        <v/>
      </c>
      <c r="L840" s="5">
        <f>IF(AND(B840="",D840=""),"",IF(B840="","Missing product",IF(D840="","Missing item",IF(C840="Product not found","Product not found",IF(E840="Item not found","Item not found",IF(OR(F840="",G840=""),"Missing quantity/unit",IF(IFERROR(VLOOKUP(G840,'Units'!$A$2:$D$13,3,FALSE),"")&lt;&gt;I840,"Unit mismatch",IF(J840="","Enter item cost","OK"))))))))</f>
        <v/>
      </c>
      <c r="M840" s="4" t="n"/>
    </row>
    <row r="841">
      <c r="A841" s="5">
        <f>IF(AND(B841="",D841=""),"",ROW()-1)</f>
        <v/>
      </c>
      <c r="B841" s="4" t="n"/>
      <c r="C841" s="5">
        <f>IF(B841="","",IFERROR(VLOOKUP(B841,'Products'!$A$2:$F$201,2,FALSE),"Product not found"))</f>
        <v/>
      </c>
      <c r="D841" s="4" t="n"/>
      <c r="E841" s="5">
        <f>IF(D841="","",IFERROR(VLOOKUP(D841,'Items'!$A$2:$L$201,2,FALSE),"Item not found"))</f>
        <v/>
      </c>
      <c r="F841" s="9" t="n"/>
      <c r="G841" s="4" t="n"/>
      <c r="H841" s="10">
        <f>IF(OR(F841="",G841=""),"",IFERROR(F841*VLOOKUP(G841,'Units'!$A$2:$D$13,4,FALSE),""))</f>
        <v/>
      </c>
      <c r="I841" s="5">
        <f>IF(D841="","",IFERROR(VLOOKUP(D841,'Items'!$A$2:$L$201,4,FALSE),""))</f>
        <v/>
      </c>
      <c r="J841" s="10">
        <f>IF(D841="","",IFERROR(VLOOKUP(D841,'Items'!$A$2:$L$201,10,FALSE),""))</f>
        <v/>
      </c>
      <c r="K841" s="10">
        <f>IF(OR(H841="",J841=""),"",H841*J841)</f>
        <v/>
      </c>
      <c r="L841" s="5">
        <f>IF(AND(B841="",D841=""),"",IF(B841="","Missing product",IF(D841="","Missing item",IF(C841="Product not found","Product not found",IF(E841="Item not found","Item not found",IF(OR(F841="",G841=""),"Missing quantity/unit",IF(IFERROR(VLOOKUP(G841,'Units'!$A$2:$D$13,3,FALSE),"")&lt;&gt;I841,"Unit mismatch",IF(J841="","Enter item cost","OK"))))))))</f>
        <v/>
      </c>
      <c r="M841" s="4" t="n"/>
    </row>
    <row r="842">
      <c r="A842" s="5">
        <f>IF(AND(B842="",D842=""),"",ROW()-1)</f>
        <v/>
      </c>
      <c r="B842" s="4" t="n"/>
      <c r="C842" s="5">
        <f>IF(B842="","",IFERROR(VLOOKUP(B842,'Products'!$A$2:$F$201,2,FALSE),"Product not found"))</f>
        <v/>
      </c>
      <c r="D842" s="4" t="n"/>
      <c r="E842" s="5">
        <f>IF(D842="","",IFERROR(VLOOKUP(D842,'Items'!$A$2:$L$201,2,FALSE),"Item not found"))</f>
        <v/>
      </c>
      <c r="F842" s="9" t="n"/>
      <c r="G842" s="4" t="n"/>
      <c r="H842" s="10">
        <f>IF(OR(F842="",G842=""),"",IFERROR(F842*VLOOKUP(G842,'Units'!$A$2:$D$13,4,FALSE),""))</f>
        <v/>
      </c>
      <c r="I842" s="5">
        <f>IF(D842="","",IFERROR(VLOOKUP(D842,'Items'!$A$2:$L$201,4,FALSE),""))</f>
        <v/>
      </c>
      <c r="J842" s="10">
        <f>IF(D842="","",IFERROR(VLOOKUP(D842,'Items'!$A$2:$L$201,10,FALSE),""))</f>
        <v/>
      </c>
      <c r="K842" s="10">
        <f>IF(OR(H842="",J842=""),"",H842*J842)</f>
        <v/>
      </c>
      <c r="L842" s="5">
        <f>IF(AND(B842="",D842=""),"",IF(B842="","Missing product",IF(D842="","Missing item",IF(C842="Product not found","Product not found",IF(E842="Item not found","Item not found",IF(OR(F842="",G842=""),"Missing quantity/unit",IF(IFERROR(VLOOKUP(G842,'Units'!$A$2:$D$13,3,FALSE),"")&lt;&gt;I842,"Unit mismatch",IF(J842="","Enter item cost","OK"))))))))</f>
        <v/>
      </c>
      <c r="M842" s="4" t="n"/>
    </row>
    <row r="843">
      <c r="A843" s="5">
        <f>IF(AND(B843="",D843=""),"",ROW()-1)</f>
        <v/>
      </c>
      <c r="B843" s="4" t="n"/>
      <c r="C843" s="5">
        <f>IF(B843="","",IFERROR(VLOOKUP(B843,'Products'!$A$2:$F$201,2,FALSE),"Product not found"))</f>
        <v/>
      </c>
      <c r="D843" s="4" t="n"/>
      <c r="E843" s="5">
        <f>IF(D843="","",IFERROR(VLOOKUP(D843,'Items'!$A$2:$L$201,2,FALSE),"Item not found"))</f>
        <v/>
      </c>
      <c r="F843" s="9" t="n"/>
      <c r="G843" s="4" t="n"/>
      <c r="H843" s="10">
        <f>IF(OR(F843="",G843=""),"",IFERROR(F843*VLOOKUP(G843,'Units'!$A$2:$D$13,4,FALSE),""))</f>
        <v/>
      </c>
      <c r="I843" s="5">
        <f>IF(D843="","",IFERROR(VLOOKUP(D843,'Items'!$A$2:$L$201,4,FALSE),""))</f>
        <v/>
      </c>
      <c r="J843" s="10">
        <f>IF(D843="","",IFERROR(VLOOKUP(D843,'Items'!$A$2:$L$201,10,FALSE),""))</f>
        <v/>
      </c>
      <c r="K843" s="10">
        <f>IF(OR(H843="",J843=""),"",H843*J843)</f>
        <v/>
      </c>
      <c r="L843" s="5">
        <f>IF(AND(B843="",D843=""),"",IF(B843="","Missing product",IF(D843="","Missing item",IF(C843="Product not found","Product not found",IF(E843="Item not found","Item not found",IF(OR(F843="",G843=""),"Missing quantity/unit",IF(IFERROR(VLOOKUP(G843,'Units'!$A$2:$D$13,3,FALSE),"")&lt;&gt;I843,"Unit mismatch",IF(J843="","Enter item cost","OK"))))))))</f>
        <v/>
      </c>
      <c r="M843" s="4" t="n"/>
    </row>
    <row r="844">
      <c r="A844" s="5">
        <f>IF(AND(B844="",D844=""),"",ROW()-1)</f>
        <v/>
      </c>
      <c r="B844" s="4" t="n"/>
      <c r="C844" s="5">
        <f>IF(B844="","",IFERROR(VLOOKUP(B844,'Products'!$A$2:$F$201,2,FALSE),"Product not found"))</f>
        <v/>
      </c>
      <c r="D844" s="4" t="n"/>
      <c r="E844" s="5">
        <f>IF(D844="","",IFERROR(VLOOKUP(D844,'Items'!$A$2:$L$201,2,FALSE),"Item not found"))</f>
        <v/>
      </c>
      <c r="F844" s="9" t="n"/>
      <c r="G844" s="4" t="n"/>
      <c r="H844" s="10">
        <f>IF(OR(F844="",G844=""),"",IFERROR(F844*VLOOKUP(G844,'Units'!$A$2:$D$13,4,FALSE),""))</f>
        <v/>
      </c>
      <c r="I844" s="5">
        <f>IF(D844="","",IFERROR(VLOOKUP(D844,'Items'!$A$2:$L$201,4,FALSE),""))</f>
        <v/>
      </c>
      <c r="J844" s="10">
        <f>IF(D844="","",IFERROR(VLOOKUP(D844,'Items'!$A$2:$L$201,10,FALSE),""))</f>
        <v/>
      </c>
      <c r="K844" s="10">
        <f>IF(OR(H844="",J844=""),"",H844*J844)</f>
        <v/>
      </c>
      <c r="L844" s="5">
        <f>IF(AND(B844="",D844=""),"",IF(B844="","Missing product",IF(D844="","Missing item",IF(C844="Product not found","Product not found",IF(E844="Item not found","Item not found",IF(OR(F844="",G844=""),"Missing quantity/unit",IF(IFERROR(VLOOKUP(G844,'Units'!$A$2:$D$13,3,FALSE),"")&lt;&gt;I844,"Unit mismatch",IF(J844="","Enter item cost","OK"))))))))</f>
        <v/>
      </c>
      <c r="M844" s="4" t="n"/>
    </row>
    <row r="845">
      <c r="A845" s="5">
        <f>IF(AND(B845="",D845=""),"",ROW()-1)</f>
        <v/>
      </c>
      <c r="B845" s="4" t="n"/>
      <c r="C845" s="5">
        <f>IF(B845="","",IFERROR(VLOOKUP(B845,'Products'!$A$2:$F$201,2,FALSE),"Product not found"))</f>
        <v/>
      </c>
      <c r="D845" s="4" t="n"/>
      <c r="E845" s="5">
        <f>IF(D845="","",IFERROR(VLOOKUP(D845,'Items'!$A$2:$L$201,2,FALSE),"Item not found"))</f>
        <v/>
      </c>
      <c r="F845" s="9" t="n"/>
      <c r="G845" s="4" t="n"/>
      <c r="H845" s="10">
        <f>IF(OR(F845="",G845=""),"",IFERROR(F845*VLOOKUP(G845,'Units'!$A$2:$D$13,4,FALSE),""))</f>
        <v/>
      </c>
      <c r="I845" s="5">
        <f>IF(D845="","",IFERROR(VLOOKUP(D845,'Items'!$A$2:$L$201,4,FALSE),""))</f>
        <v/>
      </c>
      <c r="J845" s="10">
        <f>IF(D845="","",IFERROR(VLOOKUP(D845,'Items'!$A$2:$L$201,10,FALSE),""))</f>
        <v/>
      </c>
      <c r="K845" s="10">
        <f>IF(OR(H845="",J845=""),"",H845*J845)</f>
        <v/>
      </c>
      <c r="L845" s="5">
        <f>IF(AND(B845="",D845=""),"",IF(B845="","Missing product",IF(D845="","Missing item",IF(C845="Product not found","Product not found",IF(E845="Item not found","Item not found",IF(OR(F845="",G845=""),"Missing quantity/unit",IF(IFERROR(VLOOKUP(G845,'Units'!$A$2:$D$13,3,FALSE),"")&lt;&gt;I845,"Unit mismatch",IF(J845="","Enter item cost","OK"))))))))</f>
        <v/>
      </c>
      <c r="M845" s="4" t="n"/>
    </row>
    <row r="846">
      <c r="A846" s="5">
        <f>IF(AND(B846="",D846=""),"",ROW()-1)</f>
        <v/>
      </c>
      <c r="B846" s="4" t="n"/>
      <c r="C846" s="5">
        <f>IF(B846="","",IFERROR(VLOOKUP(B846,'Products'!$A$2:$F$201,2,FALSE),"Product not found"))</f>
        <v/>
      </c>
      <c r="D846" s="4" t="n"/>
      <c r="E846" s="5">
        <f>IF(D846="","",IFERROR(VLOOKUP(D846,'Items'!$A$2:$L$201,2,FALSE),"Item not found"))</f>
        <v/>
      </c>
      <c r="F846" s="9" t="n"/>
      <c r="G846" s="4" t="n"/>
      <c r="H846" s="10">
        <f>IF(OR(F846="",G846=""),"",IFERROR(F846*VLOOKUP(G846,'Units'!$A$2:$D$13,4,FALSE),""))</f>
        <v/>
      </c>
      <c r="I846" s="5">
        <f>IF(D846="","",IFERROR(VLOOKUP(D846,'Items'!$A$2:$L$201,4,FALSE),""))</f>
        <v/>
      </c>
      <c r="J846" s="10">
        <f>IF(D846="","",IFERROR(VLOOKUP(D846,'Items'!$A$2:$L$201,10,FALSE),""))</f>
        <v/>
      </c>
      <c r="K846" s="10">
        <f>IF(OR(H846="",J846=""),"",H846*J846)</f>
        <v/>
      </c>
      <c r="L846" s="5">
        <f>IF(AND(B846="",D846=""),"",IF(B846="","Missing product",IF(D846="","Missing item",IF(C846="Product not found","Product not found",IF(E846="Item not found","Item not found",IF(OR(F846="",G846=""),"Missing quantity/unit",IF(IFERROR(VLOOKUP(G846,'Units'!$A$2:$D$13,3,FALSE),"")&lt;&gt;I846,"Unit mismatch",IF(J846="","Enter item cost","OK"))))))))</f>
        <v/>
      </c>
      <c r="M846" s="4" t="n"/>
    </row>
    <row r="847">
      <c r="A847" s="5">
        <f>IF(AND(B847="",D847=""),"",ROW()-1)</f>
        <v/>
      </c>
      <c r="B847" s="4" t="n"/>
      <c r="C847" s="5">
        <f>IF(B847="","",IFERROR(VLOOKUP(B847,'Products'!$A$2:$F$201,2,FALSE),"Product not found"))</f>
        <v/>
      </c>
      <c r="D847" s="4" t="n"/>
      <c r="E847" s="5">
        <f>IF(D847="","",IFERROR(VLOOKUP(D847,'Items'!$A$2:$L$201,2,FALSE),"Item not found"))</f>
        <v/>
      </c>
      <c r="F847" s="9" t="n"/>
      <c r="G847" s="4" t="n"/>
      <c r="H847" s="10">
        <f>IF(OR(F847="",G847=""),"",IFERROR(F847*VLOOKUP(G847,'Units'!$A$2:$D$13,4,FALSE),""))</f>
        <v/>
      </c>
      <c r="I847" s="5">
        <f>IF(D847="","",IFERROR(VLOOKUP(D847,'Items'!$A$2:$L$201,4,FALSE),""))</f>
        <v/>
      </c>
      <c r="J847" s="10">
        <f>IF(D847="","",IFERROR(VLOOKUP(D847,'Items'!$A$2:$L$201,10,FALSE),""))</f>
        <v/>
      </c>
      <c r="K847" s="10">
        <f>IF(OR(H847="",J847=""),"",H847*J847)</f>
        <v/>
      </c>
      <c r="L847" s="5">
        <f>IF(AND(B847="",D847=""),"",IF(B847="","Missing product",IF(D847="","Missing item",IF(C847="Product not found","Product not found",IF(E847="Item not found","Item not found",IF(OR(F847="",G847=""),"Missing quantity/unit",IF(IFERROR(VLOOKUP(G847,'Units'!$A$2:$D$13,3,FALSE),"")&lt;&gt;I847,"Unit mismatch",IF(J847="","Enter item cost","OK"))))))))</f>
        <v/>
      </c>
      <c r="M847" s="4" t="n"/>
    </row>
    <row r="848">
      <c r="A848" s="5">
        <f>IF(AND(B848="",D848=""),"",ROW()-1)</f>
        <v/>
      </c>
      <c r="B848" s="4" t="n"/>
      <c r="C848" s="5">
        <f>IF(B848="","",IFERROR(VLOOKUP(B848,'Products'!$A$2:$F$201,2,FALSE),"Product not found"))</f>
        <v/>
      </c>
      <c r="D848" s="4" t="n"/>
      <c r="E848" s="5">
        <f>IF(D848="","",IFERROR(VLOOKUP(D848,'Items'!$A$2:$L$201,2,FALSE),"Item not found"))</f>
        <v/>
      </c>
      <c r="F848" s="9" t="n"/>
      <c r="G848" s="4" t="n"/>
      <c r="H848" s="10">
        <f>IF(OR(F848="",G848=""),"",IFERROR(F848*VLOOKUP(G848,'Units'!$A$2:$D$13,4,FALSE),""))</f>
        <v/>
      </c>
      <c r="I848" s="5">
        <f>IF(D848="","",IFERROR(VLOOKUP(D848,'Items'!$A$2:$L$201,4,FALSE),""))</f>
        <v/>
      </c>
      <c r="J848" s="10">
        <f>IF(D848="","",IFERROR(VLOOKUP(D848,'Items'!$A$2:$L$201,10,FALSE),""))</f>
        <v/>
      </c>
      <c r="K848" s="10">
        <f>IF(OR(H848="",J848=""),"",H848*J848)</f>
        <v/>
      </c>
      <c r="L848" s="5">
        <f>IF(AND(B848="",D848=""),"",IF(B848="","Missing product",IF(D848="","Missing item",IF(C848="Product not found","Product not found",IF(E848="Item not found","Item not found",IF(OR(F848="",G848=""),"Missing quantity/unit",IF(IFERROR(VLOOKUP(G848,'Units'!$A$2:$D$13,3,FALSE),"")&lt;&gt;I848,"Unit mismatch",IF(J848="","Enter item cost","OK"))))))))</f>
        <v/>
      </c>
      <c r="M848" s="4" t="n"/>
    </row>
    <row r="849">
      <c r="A849" s="5">
        <f>IF(AND(B849="",D849=""),"",ROW()-1)</f>
        <v/>
      </c>
      <c r="B849" s="4" t="n"/>
      <c r="C849" s="5">
        <f>IF(B849="","",IFERROR(VLOOKUP(B849,'Products'!$A$2:$F$201,2,FALSE),"Product not found"))</f>
        <v/>
      </c>
      <c r="D849" s="4" t="n"/>
      <c r="E849" s="5">
        <f>IF(D849="","",IFERROR(VLOOKUP(D849,'Items'!$A$2:$L$201,2,FALSE),"Item not found"))</f>
        <v/>
      </c>
      <c r="F849" s="9" t="n"/>
      <c r="G849" s="4" t="n"/>
      <c r="H849" s="10">
        <f>IF(OR(F849="",G849=""),"",IFERROR(F849*VLOOKUP(G849,'Units'!$A$2:$D$13,4,FALSE),""))</f>
        <v/>
      </c>
      <c r="I849" s="5">
        <f>IF(D849="","",IFERROR(VLOOKUP(D849,'Items'!$A$2:$L$201,4,FALSE),""))</f>
        <v/>
      </c>
      <c r="J849" s="10">
        <f>IF(D849="","",IFERROR(VLOOKUP(D849,'Items'!$A$2:$L$201,10,FALSE),""))</f>
        <v/>
      </c>
      <c r="K849" s="10">
        <f>IF(OR(H849="",J849=""),"",H849*J849)</f>
        <v/>
      </c>
      <c r="L849" s="5">
        <f>IF(AND(B849="",D849=""),"",IF(B849="","Missing product",IF(D849="","Missing item",IF(C849="Product not found","Product not found",IF(E849="Item not found","Item not found",IF(OR(F849="",G849=""),"Missing quantity/unit",IF(IFERROR(VLOOKUP(G849,'Units'!$A$2:$D$13,3,FALSE),"")&lt;&gt;I849,"Unit mismatch",IF(J849="","Enter item cost","OK"))))))))</f>
        <v/>
      </c>
      <c r="M849" s="4" t="n"/>
    </row>
    <row r="850">
      <c r="A850" s="5">
        <f>IF(AND(B850="",D850=""),"",ROW()-1)</f>
        <v/>
      </c>
      <c r="B850" s="4" t="n"/>
      <c r="C850" s="5">
        <f>IF(B850="","",IFERROR(VLOOKUP(B850,'Products'!$A$2:$F$201,2,FALSE),"Product not found"))</f>
        <v/>
      </c>
      <c r="D850" s="4" t="n"/>
      <c r="E850" s="5">
        <f>IF(D850="","",IFERROR(VLOOKUP(D850,'Items'!$A$2:$L$201,2,FALSE),"Item not found"))</f>
        <v/>
      </c>
      <c r="F850" s="9" t="n"/>
      <c r="G850" s="4" t="n"/>
      <c r="H850" s="10">
        <f>IF(OR(F850="",G850=""),"",IFERROR(F850*VLOOKUP(G850,'Units'!$A$2:$D$13,4,FALSE),""))</f>
        <v/>
      </c>
      <c r="I850" s="5">
        <f>IF(D850="","",IFERROR(VLOOKUP(D850,'Items'!$A$2:$L$201,4,FALSE),""))</f>
        <v/>
      </c>
      <c r="J850" s="10">
        <f>IF(D850="","",IFERROR(VLOOKUP(D850,'Items'!$A$2:$L$201,10,FALSE),""))</f>
        <v/>
      </c>
      <c r="K850" s="10">
        <f>IF(OR(H850="",J850=""),"",H850*J850)</f>
        <v/>
      </c>
      <c r="L850" s="5">
        <f>IF(AND(B850="",D850=""),"",IF(B850="","Missing product",IF(D850="","Missing item",IF(C850="Product not found","Product not found",IF(E850="Item not found","Item not found",IF(OR(F850="",G850=""),"Missing quantity/unit",IF(IFERROR(VLOOKUP(G850,'Units'!$A$2:$D$13,3,FALSE),"")&lt;&gt;I850,"Unit mismatch",IF(J850="","Enter item cost","OK"))))))))</f>
        <v/>
      </c>
      <c r="M850" s="4" t="n"/>
    </row>
    <row r="851">
      <c r="A851" s="5">
        <f>IF(AND(B851="",D851=""),"",ROW()-1)</f>
        <v/>
      </c>
      <c r="B851" s="4" t="n"/>
      <c r="C851" s="5">
        <f>IF(B851="","",IFERROR(VLOOKUP(B851,'Products'!$A$2:$F$201,2,FALSE),"Product not found"))</f>
        <v/>
      </c>
      <c r="D851" s="4" t="n"/>
      <c r="E851" s="5">
        <f>IF(D851="","",IFERROR(VLOOKUP(D851,'Items'!$A$2:$L$201,2,FALSE),"Item not found"))</f>
        <v/>
      </c>
      <c r="F851" s="9" t="n"/>
      <c r="G851" s="4" t="n"/>
      <c r="H851" s="10">
        <f>IF(OR(F851="",G851=""),"",IFERROR(F851*VLOOKUP(G851,'Units'!$A$2:$D$13,4,FALSE),""))</f>
        <v/>
      </c>
      <c r="I851" s="5">
        <f>IF(D851="","",IFERROR(VLOOKUP(D851,'Items'!$A$2:$L$201,4,FALSE),""))</f>
        <v/>
      </c>
      <c r="J851" s="10">
        <f>IF(D851="","",IFERROR(VLOOKUP(D851,'Items'!$A$2:$L$201,10,FALSE),""))</f>
        <v/>
      </c>
      <c r="K851" s="10">
        <f>IF(OR(H851="",J851=""),"",H851*J851)</f>
        <v/>
      </c>
      <c r="L851" s="5">
        <f>IF(AND(B851="",D851=""),"",IF(B851="","Missing product",IF(D851="","Missing item",IF(C851="Product not found","Product not found",IF(E851="Item not found","Item not found",IF(OR(F851="",G851=""),"Missing quantity/unit",IF(IFERROR(VLOOKUP(G851,'Units'!$A$2:$D$13,3,FALSE),"")&lt;&gt;I851,"Unit mismatch",IF(J851="","Enter item cost","OK"))))))))</f>
        <v/>
      </c>
      <c r="M851" s="4" t="n"/>
    </row>
    <row r="852">
      <c r="A852" s="5">
        <f>IF(AND(B852="",D852=""),"",ROW()-1)</f>
        <v/>
      </c>
      <c r="B852" s="4" t="n"/>
      <c r="C852" s="5">
        <f>IF(B852="","",IFERROR(VLOOKUP(B852,'Products'!$A$2:$F$201,2,FALSE),"Product not found"))</f>
        <v/>
      </c>
      <c r="D852" s="4" t="n"/>
      <c r="E852" s="5">
        <f>IF(D852="","",IFERROR(VLOOKUP(D852,'Items'!$A$2:$L$201,2,FALSE),"Item not found"))</f>
        <v/>
      </c>
      <c r="F852" s="9" t="n"/>
      <c r="G852" s="4" t="n"/>
      <c r="H852" s="10">
        <f>IF(OR(F852="",G852=""),"",IFERROR(F852*VLOOKUP(G852,'Units'!$A$2:$D$13,4,FALSE),""))</f>
        <v/>
      </c>
      <c r="I852" s="5">
        <f>IF(D852="","",IFERROR(VLOOKUP(D852,'Items'!$A$2:$L$201,4,FALSE),""))</f>
        <v/>
      </c>
      <c r="J852" s="10">
        <f>IF(D852="","",IFERROR(VLOOKUP(D852,'Items'!$A$2:$L$201,10,FALSE),""))</f>
        <v/>
      </c>
      <c r="K852" s="10">
        <f>IF(OR(H852="",J852=""),"",H852*J852)</f>
        <v/>
      </c>
      <c r="L852" s="5">
        <f>IF(AND(B852="",D852=""),"",IF(B852="","Missing product",IF(D852="","Missing item",IF(C852="Product not found","Product not found",IF(E852="Item not found","Item not found",IF(OR(F852="",G852=""),"Missing quantity/unit",IF(IFERROR(VLOOKUP(G852,'Units'!$A$2:$D$13,3,FALSE),"")&lt;&gt;I852,"Unit mismatch",IF(J852="","Enter item cost","OK"))))))))</f>
        <v/>
      </c>
      <c r="M852" s="4" t="n"/>
    </row>
    <row r="853">
      <c r="A853" s="5">
        <f>IF(AND(B853="",D853=""),"",ROW()-1)</f>
        <v/>
      </c>
      <c r="B853" s="4" t="n"/>
      <c r="C853" s="5">
        <f>IF(B853="","",IFERROR(VLOOKUP(B853,'Products'!$A$2:$F$201,2,FALSE),"Product not found"))</f>
        <v/>
      </c>
      <c r="D853" s="4" t="n"/>
      <c r="E853" s="5">
        <f>IF(D853="","",IFERROR(VLOOKUP(D853,'Items'!$A$2:$L$201,2,FALSE),"Item not found"))</f>
        <v/>
      </c>
      <c r="F853" s="9" t="n"/>
      <c r="G853" s="4" t="n"/>
      <c r="H853" s="10">
        <f>IF(OR(F853="",G853=""),"",IFERROR(F853*VLOOKUP(G853,'Units'!$A$2:$D$13,4,FALSE),""))</f>
        <v/>
      </c>
      <c r="I853" s="5">
        <f>IF(D853="","",IFERROR(VLOOKUP(D853,'Items'!$A$2:$L$201,4,FALSE),""))</f>
        <v/>
      </c>
      <c r="J853" s="10">
        <f>IF(D853="","",IFERROR(VLOOKUP(D853,'Items'!$A$2:$L$201,10,FALSE),""))</f>
        <v/>
      </c>
      <c r="K853" s="10">
        <f>IF(OR(H853="",J853=""),"",H853*J853)</f>
        <v/>
      </c>
      <c r="L853" s="5">
        <f>IF(AND(B853="",D853=""),"",IF(B853="","Missing product",IF(D853="","Missing item",IF(C853="Product not found","Product not found",IF(E853="Item not found","Item not found",IF(OR(F853="",G853=""),"Missing quantity/unit",IF(IFERROR(VLOOKUP(G853,'Units'!$A$2:$D$13,3,FALSE),"")&lt;&gt;I853,"Unit mismatch",IF(J853="","Enter item cost","OK"))))))))</f>
        <v/>
      </c>
      <c r="M853" s="4" t="n"/>
    </row>
    <row r="854">
      <c r="A854" s="5">
        <f>IF(AND(B854="",D854=""),"",ROW()-1)</f>
        <v/>
      </c>
      <c r="B854" s="4" t="n"/>
      <c r="C854" s="5">
        <f>IF(B854="","",IFERROR(VLOOKUP(B854,'Products'!$A$2:$F$201,2,FALSE),"Product not found"))</f>
        <v/>
      </c>
      <c r="D854" s="4" t="n"/>
      <c r="E854" s="5">
        <f>IF(D854="","",IFERROR(VLOOKUP(D854,'Items'!$A$2:$L$201,2,FALSE),"Item not found"))</f>
        <v/>
      </c>
      <c r="F854" s="9" t="n"/>
      <c r="G854" s="4" t="n"/>
      <c r="H854" s="10">
        <f>IF(OR(F854="",G854=""),"",IFERROR(F854*VLOOKUP(G854,'Units'!$A$2:$D$13,4,FALSE),""))</f>
        <v/>
      </c>
      <c r="I854" s="5">
        <f>IF(D854="","",IFERROR(VLOOKUP(D854,'Items'!$A$2:$L$201,4,FALSE),""))</f>
        <v/>
      </c>
      <c r="J854" s="10">
        <f>IF(D854="","",IFERROR(VLOOKUP(D854,'Items'!$A$2:$L$201,10,FALSE),""))</f>
        <v/>
      </c>
      <c r="K854" s="10">
        <f>IF(OR(H854="",J854=""),"",H854*J854)</f>
        <v/>
      </c>
      <c r="L854" s="5">
        <f>IF(AND(B854="",D854=""),"",IF(B854="","Missing product",IF(D854="","Missing item",IF(C854="Product not found","Product not found",IF(E854="Item not found","Item not found",IF(OR(F854="",G854=""),"Missing quantity/unit",IF(IFERROR(VLOOKUP(G854,'Units'!$A$2:$D$13,3,FALSE),"")&lt;&gt;I854,"Unit mismatch",IF(J854="","Enter item cost","OK"))))))))</f>
        <v/>
      </c>
      <c r="M854" s="4" t="n"/>
    </row>
    <row r="855">
      <c r="A855" s="5">
        <f>IF(AND(B855="",D855=""),"",ROW()-1)</f>
        <v/>
      </c>
      <c r="B855" s="4" t="n"/>
      <c r="C855" s="5">
        <f>IF(B855="","",IFERROR(VLOOKUP(B855,'Products'!$A$2:$F$201,2,FALSE),"Product not found"))</f>
        <v/>
      </c>
      <c r="D855" s="4" t="n"/>
      <c r="E855" s="5">
        <f>IF(D855="","",IFERROR(VLOOKUP(D855,'Items'!$A$2:$L$201,2,FALSE),"Item not found"))</f>
        <v/>
      </c>
      <c r="F855" s="9" t="n"/>
      <c r="G855" s="4" t="n"/>
      <c r="H855" s="10">
        <f>IF(OR(F855="",G855=""),"",IFERROR(F855*VLOOKUP(G855,'Units'!$A$2:$D$13,4,FALSE),""))</f>
        <v/>
      </c>
      <c r="I855" s="5">
        <f>IF(D855="","",IFERROR(VLOOKUP(D855,'Items'!$A$2:$L$201,4,FALSE),""))</f>
        <v/>
      </c>
      <c r="J855" s="10">
        <f>IF(D855="","",IFERROR(VLOOKUP(D855,'Items'!$A$2:$L$201,10,FALSE),""))</f>
        <v/>
      </c>
      <c r="K855" s="10">
        <f>IF(OR(H855="",J855=""),"",H855*J855)</f>
        <v/>
      </c>
      <c r="L855" s="5">
        <f>IF(AND(B855="",D855=""),"",IF(B855="","Missing product",IF(D855="","Missing item",IF(C855="Product not found","Product not found",IF(E855="Item not found","Item not found",IF(OR(F855="",G855=""),"Missing quantity/unit",IF(IFERROR(VLOOKUP(G855,'Units'!$A$2:$D$13,3,FALSE),"")&lt;&gt;I855,"Unit mismatch",IF(J855="","Enter item cost","OK"))))))))</f>
        <v/>
      </c>
      <c r="M855" s="4" t="n"/>
    </row>
    <row r="856">
      <c r="A856" s="5">
        <f>IF(AND(B856="",D856=""),"",ROW()-1)</f>
        <v/>
      </c>
      <c r="B856" s="4" t="n"/>
      <c r="C856" s="5">
        <f>IF(B856="","",IFERROR(VLOOKUP(B856,'Products'!$A$2:$F$201,2,FALSE),"Product not found"))</f>
        <v/>
      </c>
      <c r="D856" s="4" t="n"/>
      <c r="E856" s="5">
        <f>IF(D856="","",IFERROR(VLOOKUP(D856,'Items'!$A$2:$L$201,2,FALSE),"Item not found"))</f>
        <v/>
      </c>
      <c r="F856" s="9" t="n"/>
      <c r="G856" s="4" t="n"/>
      <c r="H856" s="10">
        <f>IF(OR(F856="",G856=""),"",IFERROR(F856*VLOOKUP(G856,'Units'!$A$2:$D$13,4,FALSE),""))</f>
        <v/>
      </c>
      <c r="I856" s="5">
        <f>IF(D856="","",IFERROR(VLOOKUP(D856,'Items'!$A$2:$L$201,4,FALSE),""))</f>
        <v/>
      </c>
      <c r="J856" s="10">
        <f>IF(D856="","",IFERROR(VLOOKUP(D856,'Items'!$A$2:$L$201,10,FALSE),""))</f>
        <v/>
      </c>
      <c r="K856" s="10">
        <f>IF(OR(H856="",J856=""),"",H856*J856)</f>
        <v/>
      </c>
      <c r="L856" s="5">
        <f>IF(AND(B856="",D856=""),"",IF(B856="","Missing product",IF(D856="","Missing item",IF(C856="Product not found","Product not found",IF(E856="Item not found","Item not found",IF(OR(F856="",G856=""),"Missing quantity/unit",IF(IFERROR(VLOOKUP(G856,'Units'!$A$2:$D$13,3,FALSE),"")&lt;&gt;I856,"Unit mismatch",IF(J856="","Enter item cost","OK"))))))))</f>
        <v/>
      </c>
      <c r="M856" s="4" t="n"/>
    </row>
    <row r="857">
      <c r="A857" s="5">
        <f>IF(AND(B857="",D857=""),"",ROW()-1)</f>
        <v/>
      </c>
      <c r="B857" s="4" t="n"/>
      <c r="C857" s="5">
        <f>IF(B857="","",IFERROR(VLOOKUP(B857,'Products'!$A$2:$F$201,2,FALSE),"Product not found"))</f>
        <v/>
      </c>
      <c r="D857" s="4" t="n"/>
      <c r="E857" s="5">
        <f>IF(D857="","",IFERROR(VLOOKUP(D857,'Items'!$A$2:$L$201,2,FALSE),"Item not found"))</f>
        <v/>
      </c>
      <c r="F857" s="9" t="n"/>
      <c r="G857" s="4" t="n"/>
      <c r="H857" s="10">
        <f>IF(OR(F857="",G857=""),"",IFERROR(F857*VLOOKUP(G857,'Units'!$A$2:$D$13,4,FALSE),""))</f>
        <v/>
      </c>
      <c r="I857" s="5">
        <f>IF(D857="","",IFERROR(VLOOKUP(D857,'Items'!$A$2:$L$201,4,FALSE),""))</f>
        <v/>
      </c>
      <c r="J857" s="10">
        <f>IF(D857="","",IFERROR(VLOOKUP(D857,'Items'!$A$2:$L$201,10,FALSE),""))</f>
        <v/>
      </c>
      <c r="K857" s="10">
        <f>IF(OR(H857="",J857=""),"",H857*J857)</f>
        <v/>
      </c>
      <c r="L857" s="5">
        <f>IF(AND(B857="",D857=""),"",IF(B857="","Missing product",IF(D857="","Missing item",IF(C857="Product not found","Product not found",IF(E857="Item not found","Item not found",IF(OR(F857="",G857=""),"Missing quantity/unit",IF(IFERROR(VLOOKUP(G857,'Units'!$A$2:$D$13,3,FALSE),"")&lt;&gt;I857,"Unit mismatch",IF(J857="","Enter item cost","OK"))))))))</f>
        <v/>
      </c>
      <c r="M857" s="4" t="n"/>
    </row>
    <row r="858">
      <c r="A858" s="5">
        <f>IF(AND(B858="",D858=""),"",ROW()-1)</f>
        <v/>
      </c>
      <c r="B858" s="4" t="n"/>
      <c r="C858" s="5">
        <f>IF(B858="","",IFERROR(VLOOKUP(B858,'Products'!$A$2:$F$201,2,FALSE),"Product not found"))</f>
        <v/>
      </c>
      <c r="D858" s="4" t="n"/>
      <c r="E858" s="5">
        <f>IF(D858="","",IFERROR(VLOOKUP(D858,'Items'!$A$2:$L$201,2,FALSE),"Item not found"))</f>
        <v/>
      </c>
      <c r="F858" s="9" t="n"/>
      <c r="G858" s="4" t="n"/>
      <c r="H858" s="10">
        <f>IF(OR(F858="",G858=""),"",IFERROR(F858*VLOOKUP(G858,'Units'!$A$2:$D$13,4,FALSE),""))</f>
        <v/>
      </c>
      <c r="I858" s="5">
        <f>IF(D858="","",IFERROR(VLOOKUP(D858,'Items'!$A$2:$L$201,4,FALSE),""))</f>
        <v/>
      </c>
      <c r="J858" s="10">
        <f>IF(D858="","",IFERROR(VLOOKUP(D858,'Items'!$A$2:$L$201,10,FALSE),""))</f>
        <v/>
      </c>
      <c r="K858" s="10">
        <f>IF(OR(H858="",J858=""),"",H858*J858)</f>
        <v/>
      </c>
      <c r="L858" s="5">
        <f>IF(AND(B858="",D858=""),"",IF(B858="","Missing product",IF(D858="","Missing item",IF(C858="Product not found","Product not found",IF(E858="Item not found","Item not found",IF(OR(F858="",G858=""),"Missing quantity/unit",IF(IFERROR(VLOOKUP(G858,'Units'!$A$2:$D$13,3,FALSE),"")&lt;&gt;I858,"Unit mismatch",IF(J858="","Enter item cost","OK"))))))))</f>
        <v/>
      </c>
      <c r="M858" s="4" t="n"/>
    </row>
    <row r="859">
      <c r="A859" s="5">
        <f>IF(AND(B859="",D859=""),"",ROW()-1)</f>
        <v/>
      </c>
      <c r="B859" s="4" t="n"/>
      <c r="C859" s="5">
        <f>IF(B859="","",IFERROR(VLOOKUP(B859,'Products'!$A$2:$F$201,2,FALSE),"Product not found"))</f>
        <v/>
      </c>
      <c r="D859" s="4" t="n"/>
      <c r="E859" s="5">
        <f>IF(D859="","",IFERROR(VLOOKUP(D859,'Items'!$A$2:$L$201,2,FALSE),"Item not found"))</f>
        <v/>
      </c>
      <c r="F859" s="9" t="n"/>
      <c r="G859" s="4" t="n"/>
      <c r="H859" s="10">
        <f>IF(OR(F859="",G859=""),"",IFERROR(F859*VLOOKUP(G859,'Units'!$A$2:$D$13,4,FALSE),""))</f>
        <v/>
      </c>
      <c r="I859" s="5">
        <f>IF(D859="","",IFERROR(VLOOKUP(D859,'Items'!$A$2:$L$201,4,FALSE),""))</f>
        <v/>
      </c>
      <c r="J859" s="10">
        <f>IF(D859="","",IFERROR(VLOOKUP(D859,'Items'!$A$2:$L$201,10,FALSE),""))</f>
        <v/>
      </c>
      <c r="K859" s="10">
        <f>IF(OR(H859="",J859=""),"",H859*J859)</f>
        <v/>
      </c>
      <c r="L859" s="5">
        <f>IF(AND(B859="",D859=""),"",IF(B859="","Missing product",IF(D859="","Missing item",IF(C859="Product not found","Product not found",IF(E859="Item not found","Item not found",IF(OR(F859="",G859=""),"Missing quantity/unit",IF(IFERROR(VLOOKUP(G859,'Units'!$A$2:$D$13,3,FALSE),"")&lt;&gt;I859,"Unit mismatch",IF(J859="","Enter item cost","OK"))))))))</f>
        <v/>
      </c>
      <c r="M859" s="4" t="n"/>
    </row>
    <row r="860">
      <c r="A860" s="5">
        <f>IF(AND(B860="",D860=""),"",ROW()-1)</f>
        <v/>
      </c>
      <c r="B860" s="4" t="n"/>
      <c r="C860" s="5">
        <f>IF(B860="","",IFERROR(VLOOKUP(B860,'Products'!$A$2:$F$201,2,FALSE),"Product not found"))</f>
        <v/>
      </c>
      <c r="D860" s="4" t="n"/>
      <c r="E860" s="5">
        <f>IF(D860="","",IFERROR(VLOOKUP(D860,'Items'!$A$2:$L$201,2,FALSE),"Item not found"))</f>
        <v/>
      </c>
      <c r="F860" s="9" t="n"/>
      <c r="G860" s="4" t="n"/>
      <c r="H860" s="10">
        <f>IF(OR(F860="",G860=""),"",IFERROR(F860*VLOOKUP(G860,'Units'!$A$2:$D$13,4,FALSE),""))</f>
        <v/>
      </c>
      <c r="I860" s="5">
        <f>IF(D860="","",IFERROR(VLOOKUP(D860,'Items'!$A$2:$L$201,4,FALSE),""))</f>
        <v/>
      </c>
      <c r="J860" s="10">
        <f>IF(D860="","",IFERROR(VLOOKUP(D860,'Items'!$A$2:$L$201,10,FALSE),""))</f>
        <v/>
      </c>
      <c r="K860" s="10">
        <f>IF(OR(H860="",J860=""),"",H860*J860)</f>
        <v/>
      </c>
      <c r="L860" s="5">
        <f>IF(AND(B860="",D860=""),"",IF(B860="","Missing product",IF(D860="","Missing item",IF(C860="Product not found","Product not found",IF(E860="Item not found","Item not found",IF(OR(F860="",G860=""),"Missing quantity/unit",IF(IFERROR(VLOOKUP(G860,'Units'!$A$2:$D$13,3,FALSE),"")&lt;&gt;I860,"Unit mismatch",IF(J860="","Enter item cost","OK"))))))))</f>
        <v/>
      </c>
      <c r="M860" s="4" t="n"/>
    </row>
    <row r="861">
      <c r="A861" s="5">
        <f>IF(AND(B861="",D861=""),"",ROW()-1)</f>
        <v/>
      </c>
      <c r="B861" s="4" t="n"/>
      <c r="C861" s="5">
        <f>IF(B861="","",IFERROR(VLOOKUP(B861,'Products'!$A$2:$F$201,2,FALSE),"Product not found"))</f>
        <v/>
      </c>
      <c r="D861" s="4" t="n"/>
      <c r="E861" s="5">
        <f>IF(D861="","",IFERROR(VLOOKUP(D861,'Items'!$A$2:$L$201,2,FALSE),"Item not found"))</f>
        <v/>
      </c>
      <c r="F861" s="9" t="n"/>
      <c r="G861" s="4" t="n"/>
      <c r="H861" s="10">
        <f>IF(OR(F861="",G861=""),"",IFERROR(F861*VLOOKUP(G861,'Units'!$A$2:$D$13,4,FALSE),""))</f>
        <v/>
      </c>
      <c r="I861" s="5">
        <f>IF(D861="","",IFERROR(VLOOKUP(D861,'Items'!$A$2:$L$201,4,FALSE),""))</f>
        <v/>
      </c>
      <c r="J861" s="10">
        <f>IF(D861="","",IFERROR(VLOOKUP(D861,'Items'!$A$2:$L$201,10,FALSE),""))</f>
        <v/>
      </c>
      <c r="K861" s="10">
        <f>IF(OR(H861="",J861=""),"",H861*J861)</f>
        <v/>
      </c>
      <c r="L861" s="5">
        <f>IF(AND(B861="",D861=""),"",IF(B861="","Missing product",IF(D861="","Missing item",IF(C861="Product not found","Product not found",IF(E861="Item not found","Item not found",IF(OR(F861="",G861=""),"Missing quantity/unit",IF(IFERROR(VLOOKUP(G861,'Units'!$A$2:$D$13,3,FALSE),"")&lt;&gt;I861,"Unit mismatch",IF(J861="","Enter item cost","OK"))))))))</f>
        <v/>
      </c>
      <c r="M861" s="4" t="n"/>
    </row>
    <row r="862">
      <c r="A862" s="5">
        <f>IF(AND(B862="",D862=""),"",ROW()-1)</f>
        <v/>
      </c>
      <c r="B862" s="4" t="n"/>
      <c r="C862" s="5">
        <f>IF(B862="","",IFERROR(VLOOKUP(B862,'Products'!$A$2:$F$201,2,FALSE),"Product not found"))</f>
        <v/>
      </c>
      <c r="D862" s="4" t="n"/>
      <c r="E862" s="5">
        <f>IF(D862="","",IFERROR(VLOOKUP(D862,'Items'!$A$2:$L$201,2,FALSE),"Item not found"))</f>
        <v/>
      </c>
      <c r="F862" s="9" t="n"/>
      <c r="G862" s="4" t="n"/>
      <c r="H862" s="10">
        <f>IF(OR(F862="",G862=""),"",IFERROR(F862*VLOOKUP(G862,'Units'!$A$2:$D$13,4,FALSE),""))</f>
        <v/>
      </c>
      <c r="I862" s="5">
        <f>IF(D862="","",IFERROR(VLOOKUP(D862,'Items'!$A$2:$L$201,4,FALSE),""))</f>
        <v/>
      </c>
      <c r="J862" s="10">
        <f>IF(D862="","",IFERROR(VLOOKUP(D862,'Items'!$A$2:$L$201,10,FALSE),""))</f>
        <v/>
      </c>
      <c r="K862" s="10">
        <f>IF(OR(H862="",J862=""),"",H862*J862)</f>
        <v/>
      </c>
      <c r="L862" s="5">
        <f>IF(AND(B862="",D862=""),"",IF(B862="","Missing product",IF(D862="","Missing item",IF(C862="Product not found","Product not found",IF(E862="Item not found","Item not found",IF(OR(F862="",G862=""),"Missing quantity/unit",IF(IFERROR(VLOOKUP(G862,'Units'!$A$2:$D$13,3,FALSE),"")&lt;&gt;I862,"Unit mismatch",IF(J862="","Enter item cost","OK"))))))))</f>
        <v/>
      </c>
      <c r="M862" s="4" t="n"/>
    </row>
    <row r="863">
      <c r="A863" s="5">
        <f>IF(AND(B863="",D863=""),"",ROW()-1)</f>
        <v/>
      </c>
      <c r="B863" s="4" t="n"/>
      <c r="C863" s="5">
        <f>IF(B863="","",IFERROR(VLOOKUP(B863,'Products'!$A$2:$F$201,2,FALSE),"Product not found"))</f>
        <v/>
      </c>
      <c r="D863" s="4" t="n"/>
      <c r="E863" s="5">
        <f>IF(D863="","",IFERROR(VLOOKUP(D863,'Items'!$A$2:$L$201,2,FALSE),"Item not found"))</f>
        <v/>
      </c>
      <c r="F863" s="9" t="n"/>
      <c r="G863" s="4" t="n"/>
      <c r="H863" s="10">
        <f>IF(OR(F863="",G863=""),"",IFERROR(F863*VLOOKUP(G863,'Units'!$A$2:$D$13,4,FALSE),""))</f>
        <v/>
      </c>
      <c r="I863" s="5">
        <f>IF(D863="","",IFERROR(VLOOKUP(D863,'Items'!$A$2:$L$201,4,FALSE),""))</f>
        <v/>
      </c>
      <c r="J863" s="10">
        <f>IF(D863="","",IFERROR(VLOOKUP(D863,'Items'!$A$2:$L$201,10,FALSE),""))</f>
        <v/>
      </c>
      <c r="K863" s="10">
        <f>IF(OR(H863="",J863=""),"",H863*J863)</f>
        <v/>
      </c>
      <c r="L863" s="5">
        <f>IF(AND(B863="",D863=""),"",IF(B863="","Missing product",IF(D863="","Missing item",IF(C863="Product not found","Product not found",IF(E863="Item not found","Item not found",IF(OR(F863="",G863=""),"Missing quantity/unit",IF(IFERROR(VLOOKUP(G863,'Units'!$A$2:$D$13,3,FALSE),"")&lt;&gt;I863,"Unit mismatch",IF(J863="","Enter item cost","OK"))))))))</f>
        <v/>
      </c>
      <c r="M863" s="4" t="n"/>
    </row>
    <row r="864">
      <c r="A864" s="5">
        <f>IF(AND(B864="",D864=""),"",ROW()-1)</f>
        <v/>
      </c>
      <c r="B864" s="4" t="n"/>
      <c r="C864" s="5">
        <f>IF(B864="","",IFERROR(VLOOKUP(B864,'Products'!$A$2:$F$201,2,FALSE),"Product not found"))</f>
        <v/>
      </c>
      <c r="D864" s="4" t="n"/>
      <c r="E864" s="5">
        <f>IF(D864="","",IFERROR(VLOOKUP(D864,'Items'!$A$2:$L$201,2,FALSE),"Item not found"))</f>
        <v/>
      </c>
      <c r="F864" s="9" t="n"/>
      <c r="G864" s="4" t="n"/>
      <c r="H864" s="10">
        <f>IF(OR(F864="",G864=""),"",IFERROR(F864*VLOOKUP(G864,'Units'!$A$2:$D$13,4,FALSE),""))</f>
        <v/>
      </c>
      <c r="I864" s="5">
        <f>IF(D864="","",IFERROR(VLOOKUP(D864,'Items'!$A$2:$L$201,4,FALSE),""))</f>
        <v/>
      </c>
      <c r="J864" s="10">
        <f>IF(D864="","",IFERROR(VLOOKUP(D864,'Items'!$A$2:$L$201,10,FALSE),""))</f>
        <v/>
      </c>
      <c r="K864" s="10">
        <f>IF(OR(H864="",J864=""),"",H864*J864)</f>
        <v/>
      </c>
      <c r="L864" s="5">
        <f>IF(AND(B864="",D864=""),"",IF(B864="","Missing product",IF(D864="","Missing item",IF(C864="Product not found","Product not found",IF(E864="Item not found","Item not found",IF(OR(F864="",G864=""),"Missing quantity/unit",IF(IFERROR(VLOOKUP(G864,'Units'!$A$2:$D$13,3,FALSE),"")&lt;&gt;I864,"Unit mismatch",IF(J864="","Enter item cost","OK"))))))))</f>
        <v/>
      </c>
      <c r="M864" s="4" t="n"/>
    </row>
    <row r="865">
      <c r="A865" s="5">
        <f>IF(AND(B865="",D865=""),"",ROW()-1)</f>
        <v/>
      </c>
      <c r="B865" s="4" t="n"/>
      <c r="C865" s="5">
        <f>IF(B865="","",IFERROR(VLOOKUP(B865,'Products'!$A$2:$F$201,2,FALSE),"Product not found"))</f>
        <v/>
      </c>
      <c r="D865" s="4" t="n"/>
      <c r="E865" s="5">
        <f>IF(D865="","",IFERROR(VLOOKUP(D865,'Items'!$A$2:$L$201,2,FALSE),"Item not found"))</f>
        <v/>
      </c>
      <c r="F865" s="9" t="n"/>
      <c r="G865" s="4" t="n"/>
      <c r="H865" s="10">
        <f>IF(OR(F865="",G865=""),"",IFERROR(F865*VLOOKUP(G865,'Units'!$A$2:$D$13,4,FALSE),""))</f>
        <v/>
      </c>
      <c r="I865" s="5">
        <f>IF(D865="","",IFERROR(VLOOKUP(D865,'Items'!$A$2:$L$201,4,FALSE),""))</f>
        <v/>
      </c>
      <c r="J865" s="10">
        <f>IF(D865="","",IFERROR(VLOOKUP(D865,'Items'!$A$2:$L$201,10,FALSE),""))</f>
        <v/>
      </c>
      <c r="K865" s="10">
        <f>IF(OR(H865="",J865=""),"",H865*J865)</f>
        <v/>
      </c>
      <c r="L865" s="5">
        <f>IF(AND(B865="",D865=""),"",IF(B865="","Missing product",IF(D865="","Missing item",IF(C865="Product not found","Product not found",IF(E865="Item not found","Item not found",IF(OR(F865="",G865=""),"Missing quantity/unit",IF(IFERROR(VLOOKUP(G865,'Units'!$A$2:$D$13,3,FALSE),"")&lt;&gt;I865,"Unit mismatch",IF(J865="","Enter item cost","OK"))))))))</f>
        <v/>
      </c>
      <c r="M865" s="4" t="n"/>
    </row>
    <row r="866">
      <c r="A866" s="5">
        <f>IF(AND(B866="",D866=""),"",ROW()-1)</f>
        <v/>
      </c>
      <c r="B866" s="4" t="n"/>
      <c r="C866" s="5">
        <f>IF(B866="","",IFERROR(VLOOKUP(B866,'Products'!$A$2:$F$201,2,FALSE),"Product not found"))</f>
        <v/>
      </c>
      <c r="D866" s="4" t="n"/>
      <c r="E866" s="5">
        <f>IF(D866="","",IFERROR(VLOOKUP(D866,'Items'!$A$2:$L$201,2,FALSE),"Item not found"))</f>
        <v/>
      </c>
      <c r="F866" s="9" t="n"/>
      <c r="G866" s="4" t="n"/>
      <c r="H866" s="10">
        <f>IF(OR(F866="",G866=""),"",IFERROR(F866*VLOOKUP(G866,'Units'!$A$2:$D$13,4,FALSE),""))</f>
        <v/>
      </c>
      <c r="I866" s="5">
        <f>IF(D866="","",IFERROR(VLOOKUP(D866,'Items'!$A$2:$L$201,4,FALSE),""))</f>
        <v/>
      </c>
      <c r="J866" s="10">
        <f>IF(D866="","",IFERROR(VLOOKUP(D866,'Items'!$A$2:$L$201,10,FALSE),""))</f>
        <v/>
      </c>
      <c r="K866" s="10">
        <f>IF(OR(H866="",J866=""),"",H866*J866)</f>
        <v/>
      </c>
      <c r="L866" s="5">
        <f>IF(AND(B866="",D866=""),"",IF(B866="","Missing product",IF(D866="","Missing item",IF(C866="Product not found","Product not found",IF(E866="Item not found","Item not found",IF(OR(F866="",G866=""),"Missing quantity/unit",IF(IFERROR(VLOOKUP(G866,'Units'!$A$2:$D$13,3,FALSE),"")&lt;&gt;I866,"Unit mismatch",IF(J866="","Enter item cost","OK"))))))))</f>
        <v/>
      </c>
      <c r="M866" s="4" t="n"/>
    </row>
    <row r="867">
      <c r="A867" s="5">
        <f>IF(AND(B867="",D867=""),"",ROW()-1)</f>
        <v/>
      </c>
      <c r="B867" s="4" t="n"/>
      <c r="C867" s="5">
        <f>IF(B867="","",IFERROR(VLOOKUP(B867,'Products'!$A$2:$F$201,2,FALSE),"Product not found"))</f>
        <v/>
      </c>
      <c r="D867" s="4" t="n"/>
      <c r="E867" s="5">
        <f>IF(D867="","",IFERROR(VLOOKUP(D867,'Items'!$A$2:$L$201,2,FALSE),"Item not found"))</f>
        <v/>
      </c>
      <c r="F867" s="9" t="n"/>
      <c r="G867" s="4" t="n"/>
      <c r="H867" s="10">
        <f>IF(OR(F867="",G867=""),"",IFERROR(F867*VLOOKUP(G867,'Units'!$A$2:$D$13,4,FALSE),""))</f>
        <v/>
      </c>
      <c r="I867" s="5">
        <f>IF(D867="","",IFERROR(VLOOKUP(D867,'Items'!$A$2:$L$201,4,FALSE),""))</f>
        <v/>
      </c>
      <c r="J867" s="10">
        <f>IF(D867="","",IFERROR(VLOOKUP(D867,'Items'!$A$2:$L$201,10,FALSE),""))</f>
        <v/>
      </c>
      <c r="K867" s="10">
        <f>IF(OR(H867="",J867=""),"",H867*J867)</f>
        <v/>
      </c>
      <c r="L867" s="5">
        <f>IF(AND(B867="",D867=""),"",IF(B867="","Missing product",IF(D867="","Missing item",IF(C867="Product not found","Product not found",IF(E867="Item not found","Item not found",IF(OR(F867="",G867=""),"Missing quantity/unit",IF(IFERROR(VLOOKUP(G867,'Units'!$A$2:$D$13,3,FALSE),"")&lt;&gt;I867,"Unit mismatch",IF(J867="","Enter item cost","OK"))))))))</f>
        <v/>
      </c>
      <c r="M867" s="4" t="n"/>
    </row>
    <row r="868">
      <c r="A868" s="5">
        <f>IF(AND(B868="",D868=""),"",ROW()-1)</f>
        <v/>
      </c>
      <c r="B868" s="4" t="n"/>
      <c r="C868" s="5">
        <f>IF(B868="","",IFERROR(VLOOKUP(B868,'Products'!$A$2:$F$201,2,FALSE),"Product not found"))</f>
        <v/>
      </c>
      <c r="D868" s="4" t="n"/>
      <c r="E868" s="5">
        <f>IF(D868="","",IFERROR(VLOOKUP(D868,'Items'!$A$2:$L$201,2,FALSE),"Item not found"))</f>
        <v/>
      </c>
      <c r="F868" s="9" t="n"/>
      <c r="G868" s="4" t="n"/>
      <c r="H868" s="10">
        <f>IF(OR(F868="",G868=""),"",IFERROR(F868*VLOOKUP(G868,'Units'!$A$2:$D$13,4,FALSE),""))</f>
        <v/>
      </c>
      <c r="I868" s="5">
        <f>IF(D868="","",IFERROR(VLOOKUP(D868,'Items'!$A$2:$L$201,4,FALSE),""))</f>
        <v/>
      </c>
      <c r="J868" s="10">
        <f>IF(D868="","",IFERROR(VLOOKUP(D868,'Items'!$A$2:$L$201,10,FALSE),""))</f>
        <v/>
      </c>
      <c r="K868" s="10">
        <f>IF(OR(H868="",J868=""),"",H868*J868)</f>
        <v/>
      </c>
      <c r="L868" s="5">
        <f>IF(AND(B868="",D868=""),"",IF(B868="","Missing product",IF(D868="","Missing item",IF(C868="Product not found","Product not found",IF(E868="Item not found","Item not found",IF(OR(F868="",G868=""),"Missing quantity/unit",IF(IFERROR(VLOOKUP(G868,'Units'!$A$2:$D$13,3,FALSE),"")&lt;&gt;I868,"Unit mismatch",IF(J868="","Enter item cost","OK"))))))))</f>
        <v/>
      </c>
      <c r="M868" s="4" t="n"/>
    </row>
    <row r="869">
      <c r="A869" s="5">
        <f>IF(AND(B869="",D869=""),"",ROW()-1)</f>
        <v/>
      </c>
      <c r="B869" s="4" t="n"/>
      <c r="C869" s="5">
        <f>IF(B869="","",IFERROR(VLOOKUP(B869,'Products'!$A$2:$F$201,2,FALSE),"Product not found"))</f>
        <v/>
      </c>
      <c r="D869" s="4" t="n"/>
      <c r="E869" s="5">
        <f>IF(D869="","",IFERROR(VLOOKUP(D869,'Items'!$A$2:$L$201,2,FALSE),"Item not found"))</f>
        <v/>
      </c>
      <c r="F869" s="9" t="n"/>
      <c r="G869" s="4" t="n"/>
      <c r="H869" s="10">
        <f>IF(OR(F869="",G869=""),"",IFERROR(F869*VLOOKUP(G869,'Units'!$A$2:$D$13,4,FALSE),""))</f>
        <v/>
      </c>
      <c r="I869" s="5">
        <f>IF(D869="","",IFERROR(VLOOKUP(D869,'Items'!$A$2:$L$201,4,FALSE),""))</f>
        <v/>
      </c>
      <c r="J869" s="10">
        <f>IF(D869="","",IFERROR(VLOOKUP(D869,'Items'!$A$2:$L$201,10,FALSE),""))</f>
        <v/>
      </c>
      <c r="K869" s="10">
        <f>IF(OR(H869="",J869=""),"",H869*J869)</f>
        <v/>
      </c>
      <c r="L869" s="5">
        <f>IF(AND(B869="",D869=""),"",IF(B869="","Missing product",IF(D869="","Missing item",IF(C869="Product not found","Product not found",IF(E869="Item not found","Item not found",IF(OR(F869="",G869=""),"Missing quantity/unit",IF(IFERROR(VLOOKUP(G869,'Units'!$A$2:$D$13,3,FALSE),"")&lt;&gt;I869,"Unit mismatch",IF(J869="","Enter item cost","OK"))))))))</f>
        <v/>
      </c>
      <c r="M869" s="4" t="n"/>
    </row>
    <row r="870">
      <c r="A870" s="5">
        <f>IF(AND(B870="",D870=""),"",ROW()-1)</f>
        <v/>
      </c>
      <c r="B870" s="4" t="n"/>
      <c r="C870" s="5">
        <f>IF(B870="","",IFERROR(VLOOKUP(B870,'Products'!$A$2:$F$201,2,FALSE),"Product not found"))</f>
        <v/>
      </c>
      <c r="D870" s="4" t="n"/>
      <c r="E870" s="5">
        <f>IF(D870="","",IFERROR(VLOOKUP(D870,'Items'!$A$2:$L$201,2,FALSE),"Item not found"))</f>
        <v/>
      </c>
      <c r="F870" s="9" t="n"/>
      <c r="G870" s="4" t="n"/>
      <c r="H870" s="10">
        <f>IF(OR(F870="",G870=""),"",IFERROR(F870*VLOOKUP(G870,'Units'!$A$2:$D$13,4,FALSE),""))</f>
        <v/>
      </c>
      <c r="I870" s="5">
        <f>IF(D870="","",IFERROR(VLOOKUP(D870,'Items'!$A$2:$L$201,4,FALSE),""))</f>
        <v/>
      </c>
      <c r="J870" s="10">
        <f>IF(D870="","",IFERROR(VLOOKUP(D870,'Items'!$A$2:$L$201,10,FALSE),""))</f>
        <v/>
      </c>
      <c r="K870" s="10">
        <f>IF(OR(H870="",J870=""),"",H870*J870)</f>
        <v/>
      </c>
      <c r="L870" s="5">
        <f>IF(AND(B870="",D870=""),"",IF(B870="","Missing product",IF(D870="","Missing item",IF(C870="Product not found","Product not found",IF(E870="Item not found","Item not found",IF(OR(F870="",G870=""),"Missing quantity/unit",IF(IFERROR(VLOOKUP(G870,'Units'!$A$2:$D$13,3,FALSE),"")&lt;&gt;I870,"Unit mismatch",IF(J870="","Enter item cost","OK"))))))))</f>
        <v/>
      </c>
      <c r="M870" s="4" t="n"/>
    </row>
    <row r="871">
      <c r="A871" s="5">
        <f>IF(AND(B871="",D871=""),"",ROW()-1)</f>
        <v/>
      </c>
      <c r="B871" s="4" t="n"/>
      <c r="C871" s="5">
        <f>IF(B871="","",IFERROR(VLOOKUP(B871,'Products'!$A$2:$F$201,2,FALSE),"Product not found"))</f>
        <v/>
      </c>
      <c r="D871" s="4" t="n"/>
      <c r="E871" s="5">
        <f>IF(D871="","",IFERROR(VLOOKUP(D871,'Items'!$A$2:$L$201,2,FALSE),"Item not found"))</f>
        <v/>
      </c>
      <c r="F871" s="9" t="n"/>
      <c r="G871" s="4" t="n"/>
      <c r="H871" s="10">
        <f>IF(OR(F871="",G871=""),"",IFERROR(F871*VLOOKUP(G871,'Units'!$A$2:$D$13,4,FALSE),""))</f>
        <v/>
      </c>
      <c r="I871" s="5">
        <f>IF(D871="","",IFERROR(VLOOKUP(D871,'Items'!$A$2:$L$201,4,FALSE),""))</f>
        <v/>
      </c>
      <c r="J871" s="10">
        <f>IF(D871="","",IFERROR(VLOOKUP(D871,'Items'!$A$2:$L$201,10,FALSE),""))</f>
        <v/>
      </c>
      <c r="K871" s="10">
        <f>IF(OR(H871="",J871=""),"",H871*J871)</f>
        <v/>
      </c>
      <c r="L871" s="5">
        <f>IF(AND(B871="",D871=""),"",IF(B871="","Missing product",IF(D871="","Missing item",IF(C871="Product not found","Product not found",IF(E871="Item not found","Item not found",IF(OR(F871="",G871=""),"Missing quantity/unit",IF(IFERROR(VLOOKUP(G871,'Units'!$A$2:$D$13,3,FALSE),"")&lt;&gt;I871,"Unit mismatch",IF(J871="","Enter item cost","OK"))))))))</f>
        <v/>
      </c>
      <c r="M871" s="4" t="n"/>
    </row>
    <row r="872">
      <c r="A872" s="5">
        <f>IF(AND(B872="",D872=""),"",ROW()-1)</f>
        <v/>
      </c>
      <c r="B872" s="4" t="n"/>
      <c r="C872" s="5">
        <f>IF(B872="","",IFERROR(VLOOKUP(B872,'Products'!$A$2:$F$201,2,FALSE),"Product not found"))</f>
        <v/>
      </c>
      <c r="D872" s="4" t="n"/>
      <c r="E872" s="5">
        <f>IF(D872="","",IFERROR(VLOOKUP(D872,'Items'!$A$2:$L$201,2,FALSE),"Item not found"))</f>
        <v/>
      </c>
      <c r="F872" s="9" t="n"/>
      <c r="G872" s="4" t="n"/>
      <c r="H872" s="10">
        <f>IF(OR(F872="",G872=""),"",IFERROR(F872*VLOOKUP(G872,'Units'!$A$2:$D$13,4,FALSE),""))</f>
        <v/>
      </c>
      <c r="I872" s="5">
        <f>IF(D872="","",IFERROR(VLOOKUP(D872,'Items'!$A$2:$L$201,4,FALSE),""))</f>
        <v/>
      </c>
      <c r="J872" s="10">
        <f>IF(D872="","",IFERROR(VLOOKUP(D872,'Items'!$A$2:$L$201,10,FALSE),""))</f>
        <v/>
      </c>
      <c r="K872" s="10">
        <f>IF(OR(H872="",J872=""),"",H872*J872)</f>
        <v/>
      </c>
      <c r="L872" s="5">
        <f>IF(AND(B872="",D872=""),"",IF(B872="","Missing product",IF(D872="","Missing item",IF(C872="Product not found","Product not found",IF(E872="Item not found","Item not found",IF(OR(F872="",G872=""),"Missing quantity/unit",IF(IFERROR(VLOOKUP(G872,'Units'!$A$2:$D$13,3,FALSE),"")&lt;&gt;I872,"Unit mismatch",IF(J872="","Enter item cost","OK"))))))))</f>
        <v/>
      </c>
      <c r="M872" s="4" t="n"/>
    </row>
    <row r="873">
      <c r="A873" s="5">
        <f>IF(AND(B873="",D873=""),"",ROW()-1)</f>
        <v/>
      </c>
      <c r="B873" s="4" t="n"/>
      <c r="C873" s="5">
        <f>IF(B873="","",IFERROR(VLOOKUP(B873,'Products'!$A$2:$F$201,2,FALSE),"Product not found"))</f>
        <v/>
      </c>
      <c r="D873" s="4" t="n"/>
      <c r="E873" s="5">
        <f>IF(D873="","",IFERROR(VLOOKUP(D873,'Items'!$A$2:$L$201,2,FALSE),"Item not found"))</f>
        <v/>
      </c>
      <c r="F873" s="9" t="n"/>
      <c r="G873" s="4" t="n"/>
      <c r="H873" s="10">
        <f>IF(OR(F873="",G873=""),"",IFERROR(F873*VLOOKUP(G873,'Units'!$A$2:$D$13,4,FALSE),""))</f>
        <v/>
      </c>
      <c r="I873" s="5">
        <f>IF(D873="","",IFERROR(VLOOKUP(D873,'Items'!$A$2:$L$201,4,FALSE),""))</f>
        <v/>
      </c>
      <c r="J873" s="10">
        <f>IF(D873="","",IFERROR(VLOOKUP(D873,'Items'!$A$2:$L$201,10,FALSE),""))</f>
        <v/>
      </c>
      <c r="K873" s="10">
        <f>IF(OR(H873="",J873=""),"",H873*J873)</f>
        <v/>
      </c>
      <c r="L873" s="5">
        <f>IF(AND(B873="",D873=""),"",IF(B873="","Missing product",IF(D873="","Missing item",IF(C873="Product not found","Product not found",IF(E873="Item not found","Item not found",IF(OR(F873="",G873=""),"Missing quantity/unit",IF(IFERROR(VLOOKUP(G873,'Units'!$A$2:$D$13,3,FALSE),"")&lt;&gt;I873,"Unit mismatch",IF(J873="","Enter item cost","OK"))))))))</f>
        <v/>
      </c>
      <c r="M873" s="4" t="n"/>
    </row>
    <row r="874">
      <c r="A874" s="5">
        <f>IF(AND(B874="",D874=""),"",ROW()-1)</f>
        <v/>
      </c>
      <c r="B874" s="4" t="n"/>
      <c r="C874" s="5">
        <f>IF(B874="","",IFERROR(VLOOKUP(B874,'Products'!$A$2:$F$201,2,FALSE),"Product not found"))</f>
        <v/>
      </c>
      <c r="D874" s="4" t="n"/>
      <c r="E874" s="5">
        <f>IF(D874="","",IFERROR(VLOOKUP(D874,'Items'!$A$2:$L$201,2,FALSE),"Item not found"))</f>
        <v/>
      </c>
      <c r="F874" s="9" t="n"/>
      <c r="G874" s="4" t="n"/>
      <c r="H874" s="10">
        <f>IF(OR(F874="",G874=""),"",IFERROR(F874*VLOOKUP(G874,'Units'!$A$2:$D$13,4,FALSE),""))</f>
        <v/>
      </c>
      <c r="I874" s="5">
        <f>IF(D874="","",IFERROR(VLOOKUP(D874,'Items'!$A$2:$L$201,4,FALSE),""))</f>
        <v/>
      </c>
      <c r="J874" s="10">
        <f>IF(D874="","",IFERROR(VLOOKUP(D874,'Items'!$A$2:$L$201,10,FALSE),""))</f>
        <v/>
      </c>
      <c r="K874" s="10">
        <f>IF(OR(H874="",J874=""),"",H874*J874)</f>
        <v/>
      </c>
      <c r="L874" s="5">
        <f>IF(AND(B874="",D874=""),"",IF(B874="","Missing product",IF(D874="","Missing item",IF(C874="Product not found","Product not found",IF(E874="Item not found","Item not found",IF(OR(F874="",G874=""),"Missing quantity/unit",IF(IFERROR(VLOOKUP(G874,'Units'!$A$2:$D$13,3,FALSE),"")&lt;&gt;I874,"Unit mismatch",IF(J874="","Enter item cost","OK"))))))))</f>
        <v/>
      </c>
      <c r="M874" s="4" t="n"/>
    </row>
    <row r="875">
      <c r="A875" s="5">
        <f>IF(AND(B875="",D875=""),"",ROW()-1)</f>
        <v/>
      </c>
      <c r="B875" s="4" t="n"/>
      <c r="C875" s="5">
        <f>IF(B875="","",IFERROR(VLOOKUP(B875,'Products'!$A$2:$F$201,2,FALSE),"Product not found"))</f>
        <v/>
      </c>
      <c r="D875" s="4" t="n"/>
      <c r="E875" s="5">
        <f>IF(D875="","",IFERROR(VLOOKUP(D875,'Items'!$A$2:$L$201,2,FALSE),"Item not found"))</f>
        <v/>
      </c>
      <c r="F875" s="9" t="n"/>
      <c r="G875" s="4" t="n"/>
      <c r="H875" s="10">
        <f>IF(OR(F875="",G875=""),"",IFERROR(F875*VLOOKUP(G875,'Units'!$A$2:$D$13,4,FALSE),""))</f>
        <v/>
      </c>
      <c r="I875" s="5">
        <f>IF(D875="","",IFERROR(VLOOKUP(D875,'Items'!$A$2:$L$201,4,FALSE),""))</f>
        <v/>
      </c>
      <c r="J875" s="10">
        <f>IF(D875="","",IFERROR(VLOOKUP(D875,'Items'!$A$2:$L$201,10,FALSE),""))</f>
        <v/>
      </c>
      <c r="K875" s="10">
        <f>IF(OR(H875="",J875=""),"",H875*J875)</f>
        <v/>
      </c>
      <c r="L875" s="5">
        <f>IF(AND(B875="",D875=""),"",IF(B875="","Missing product",IF(D875="","Missing item",IF(C875="Product not found","Product not found",IF(E875="Item not found","Item not found",IF(OR(F875="",G875=""),"Missing quantity/unit",IF(IFERROR(VLOOKUP(G875,'Units'!$A$2:$D$13,3,FALSE),"")&lt;&gt;I875,"Unit mismatch",IF(J875="","Enter item cost","OK"))))))))</f>
        <v/>
      </c>
      <c r="M875" s="4" t="n"/>
    </row>
    <row r="876">
      <c r="A876" s="5">
        <f>IF(AND(B876="",D876=""),"",ROW()-1)</f>
        <v/>
      </c>
      <c r="B876" s="4" t="n"/>
      <c r="C876" s="5">
        <f>IF(B876="","",IFERROR(VLOOKUP(B876,'Products'!$A$2:$F$201,2,FALSE),"Product not found"))</f>
        <v/>
      </c>
      <c r="D876" s="4" t="n"/>
      <c r="E876" s="5">
        <f>IF(D876="","",IFERROR(VLOOKUP(D876,'Items'!$A$2:$L$201,2,FALSE),"Item not found"))</f>
        <v/>
      </c>
      <c r="F876" s="9" t="n"/>
      <c r="G876" s="4" t="n"/>
      <c r="H876" s="10">
        <f>IF(OR(F876="",G876=""),"",IFERROR(F876*VLOOKUP(G876,'Units'!$A$2:$D$13,4,FALSE),""))</f>
        <v/>
      </c>
      <c r="I876" s="5">
        <f>IF(D876="","",IFERROR(VLOOKUP(D876,'Items'!$A$2:$L$201,4,FALSE),""))</f>
        <v/>
      </c>
      <c r="J876" s="10">
        <f>IF(D876="","",IFERROR(VLOOKUP(D876,'Items'!$A$2:$L$201,10,FALSE),""))</f>
        <v/>
      </c>
      <c r="K876" s="10">
        <f>IF(OR(H876="",J876=""),"",H876*J876)</f>
        <v/>
      </c>
      <c r="L876" s="5">
        <f>IF(AND(B876="",D876=""),"",IF(B876="","Missing product",IF(D876="","Missing item",IF(C876="Product not found","Product not found",IF(E876="Item not found","Item not found",IF(OR(F876="",G876=""),"Missing quantity/unit",IF(IFERROR(VLOOKUP(G876,'Units'!$A$2:$D$13,3,FALSE),"")&lt;&gt;I876,"Unit mismatch",IF(J876="","Enter item cost","OK"))))))))</f>
        <v/>
      </c>
      <c r="M876" s="4" t="n"/>
    </row>
    <row r="877">
      <c r="A877" s="5">
        <f>IF(AND(B877="",D877=""),"",ROW()-1)</f>
        <v/>
      </c>
      <c r="B877" s="4" t="n"/>
      <c r="C877" s="5">
        <f>IF(B877="","",IFERROR(VLOOKUP(B877,'Products'!$A$2:$F$201,2,FALSE),"Product not found"))</f>
        <v/>
      </c>
      <c r="D877" s="4" t="n"/>
      <c r="E877" s="5">
        <f>IF(D877="","",IFERROR(VLOOKUP(D877,'Items'!$A$2:$L$201,2,FALSE),"Item not found"))</f>
        <v/>
      </c>
      <c r="F877" s="9" t="n"/>
      <c r="G877" s="4" t="n"/>
      <c r="H877" s="10">
        <f>IF(OR(F877="",G877=""),"",IFERROR(F877*VLOOKUP(G877,'Units'!$A$2:$D$13,4,FALSE),""))</f>
        <v/>
      </c>
      <c r="I877" s="5">
        <f>IF(D877="","",IFERROR(VLOOKUP(D877,'Items'!$A$2:$L$201,4,FALSE),""))</f>
        <v/>
      </c>
      <c r="J877" s="10">
        <f>IF(D877="","",IFERROR(VLOOKUP(D877,'Items'!$A$2:$L$201,10,FALSE),""))</f>
        <v/>
      </c>
      <c r="K877" s="10">
        <f>IF(OR(H877="",J877=""),"",H877*J877)</f>
        <v/>
      </c>
      <c r="L877" s="5">
        <f>IF(AND(B877="",D877=""),"",IF(B877="","Missing product",IF(D877="","Missing item",IF(C877="Product not found","Product not found",IF(E877="Item not found","Item not found",IF(OR(F877="",G877=""),"Missing quantity/unit",IF(IFERROR(VLOOKUP(G877,'Units'!$A$2:$D$13,3,FALSE),"")&lt;&gt;I877,"Unit mismatch",IF(J877="","Enter item cost","OK"))))))))</f>
        <v/>
      </c>
      <c r="M877" s="4" t="n"/>
    </row>
    <row r="878">
      <c r="A878" s="5">
        <f>IF(AND(B878="",D878=""),"",ROW()-1)</f>
        <v/>
      </c>
      <c r="B878" s="4" t="n"/>
      <c r="C878" s="5">
        <f>IF(B878="","",IFERROR(VLOOKUP(B878,'Products'!$A$2:$F$201,2,FALSE),"Product not found"))</f>
        <v/>
      </c>
      <c r="D878" s="4" t="n"/>
      <c r="E878" s="5">
        <f>IF(D878="","",IFERROR(VLOOKUP(D878,'Items'!$A$2:$L$201,2,FALSE),"Item not found"))</f>
        <v/>
      </c>
      <c r="F878" s="9" t="n"/>
      <c r="G878" s="4" t="n"/>
      <c r="H878" s="10">
        <f>IF(OR(F878="",G878=""),"",IFERROR(F878*VLOOKUP(G878,'Units'!$A$2:$D$13,4,FALSE),""))</f>
        <v/>
      </c>
      <c r="I878" s="5">
        <f>IF(D878="","",IFERROR(VLOOKUP(D878,'Items'!$A$2:$L$201,4,FALSE),""))</f>
        <v/>
      </c>
      <c r="J878" s="10">
        <f>IF(D878="","",IFERROR(VLOOKUP(D878,'Items'!$A$2:$L$201,10,FALSE),""))</f>
        <v/>
      </c>
      <c r="K878" s="10">
        <f>IF(OR(H878="",J878=""),"",H878*J878)</f>
        <v/>
      </c>
      <c r="L878" s="5">
        <f>IF(AND(B878="",D878=""),"",IF(B878="","Missing product",IF(D878="","Missing item",IF(C878="Product not found","Product not found",IF(E878="Item not found","Item not found",IF(OR(F878="",G878=""),"Missing quantity/unit",IF(IFERROR(VLOOKUP(G878,'Units'!$A$2:$D$13,3,FALSE),"")&lt;&gt;I878,"Unit mismatch",IF(J878="","Enter item cost","OK"))))))))</f>
        <v/>
      </c>
      <c r="M878" s="4" t="n"/>
    </row>
    <row r="879">
      <c r="A879" s="5">
        <f>IF(AND(B879="",D879=""),"",ROW()-1)</f>
        <v/>
      </c>
      <c r="B879" s="4" t="n"/>
      <c r="C879" s="5">
        <f>IF(B879="","",IFERROR(VLOOKUP(B879,'Products'!$A$2:$F$201,2,FALSE),"Product not found"))</f>
        <v/>
      </c>
      <c r="D879" s="4" t="n"/>
      <c r="E879" s="5">
        <f>IF(D879="","",IFERROR(VLOOKUP(D879,'Items'!$A$2:$L$201,2,FALSE),"Item not found"))</f>
        <v/>
      </c>
      <c r="F879" s="9" t="n"/>
      <c r="G879" s="4" t="n"/>
      <c r="H879" s="10">
        <f>IF(OR(F879="",G879=""),"",IFERROR(F879*VLOOKUP(G879,'Units'!$A$2:$D$13,4,FALSE),""))</f>
        <v/>
      </c>
      <c r="I879" s="5">
        <f>IF(D879="","",IFERROR(VLOOKUP(D879,'Items'!$A$2:$L$201,4,FALSE),""))</f>
        <v/>
      </c>
      <c r="J879" s="10">
        <f>IF(D879="","",IFERROR(VLOOKUP(D879,'Items'!$A$2:$L$201,10,FALSE),""))</f>
        <v/>
      </c>
      <c r="K879" s="10">
        <f>IF(OR(H879="",J879=""),"",H879*J879)</f>
        <v/>
      </c>
      <c r="L879" s="5">
        <f>IF(AND(B879="",D879=""),"",IF(B879="","Missing product",IF(D879="","Missing item",IF(C879="Product not found","Product not found",IF(E879="Item not found","Item not found",IF(OR(F879="",G879=""),"Missing quantity/unit",IF(IFERROR(VLOOKUP(G879,'Units'!$A$2:$D$13,3,FALSE),"")&lt;&gt;I879,"Unit mismatch",IF(J879="","Enter item cost","OK"))))))))</f>
        <v/>
      </c>
      <c r="M879" s="4" t="n"/>
    </row>
    <row r="880">
      <c r="A880" s="5">
        <f>IF(AND(B880="",D880=""),"",ROW()-1)</f>
        <v/>
      </c>
      <c r="B880" s="4" t="n"/>
      <c r="C880" s="5">
        <f>IF(B880="","",IFERROR(VLOOKUP(B880,'Products'!$A$2:$F$201,2,FALSE),"Product not found"))</f>
        <v/>
      </c>
      <c r="D880" s="4" t="n"/>
      <c r="E880" s="5">
        <f>IF(D880="","",IFERROR(VLOOKUP(D880,'Items'!$A$2:$L$201,2,FALSE),"Item not found"))</f>
        <v/>
      </c>
      <c r="F880" s="9" t="n"/>
      <c r="G880" s="4" t="n"/>
      <c r="H880" s="10">
        <f>IF(OR(F880="",G880=""),"",IFERROR(F880*VLOOKUP(G880,'Units'!$A$2:$D$13,4,FALSE),""))</f>
        <v/>
      </c>
      <c r="I880" s="5">
        <f>IF(D880="","",IFERROR(VLOOKUP(D880,'Items'!$A$2:$L$201,4,FALSE),""))</f>
        <v/>
      </c>
      <c r="J880" s="10">
        <f>IF(D880="","",IFERROR(VLOOKUP(D880,'Items'!$A$2:$L$201,10,FALSE),""))</f>
        <v/>
      </c>
      <c r="K880" s="10">
        <f>IF(OR(H880="",J880=""),"",H880*J880)</f>
        <v/>
      </c>
      <c r="L880" s="5">
        <f>IF(AND(B880="",D880=""),"",IF(B880="","Missing product",IF(D880="","Missing item",IF(C880="Product not found","Product not found",IF(E880="Item not found","Item not found",IF(OR(F880="",G880=""),"Missing quantity/unit",IF(IFERROR(VLOOKUP(G880,'Units'!$A$2:$D$13,3,FALSE),"")&lt;&gt;I880,"Unit mismatch",IF(J880="","Enter item cost","OK"))))))))</f>
        <v/>
      </c>
      <c r="M880" s="4" t="n"/>
    </row>
    <row r="881">
      <c r="A881" s="5">
        <f>IF(AND(B881="",D881=""),"",ROW()-1)</f>
        <v/>
      </c>
      <c r="B881" s="4" t="n"/>
      <c r="C881" s="5">
        <f>IF(B881="","",IFERROR(VLOOKUP(B881,'Products'!$A$2:$F$201,2,FALSE),"Product not found"))</f>
        <v/>
      </c>
      <c r="D881" s="4" t="n"/>
      <c r="E881" s="5">
        <f>IF(D881="","",IFERROR(VLOOKUP(D881,'Items'!$A$2:$L$201,2,FALSE),"Item not found"))</f>
        <v/>
      </c>
      <c r="F881" s="9" t="n"/>
      <c r="G881" s="4" t="n"/>
      <c r="H881" s="10">
        <f>IF(OR(F881="",G881=""),"",IFERROR(F881*VLOOKUP(G881,'Units'!$A$2:$D$13,4,FALSE),""))</f>
        <v/>
      </c>
      <c r="I881" s="5">
        <f>IF(D881="","",IFERROR(VLOOKUP(D881,'Items'!$A$2:$L$201,4,FALSE),""))</f>
        <v/>
      </c>
      <c r="J881" s="10">
        <f>IF(D881="","",IFERROR(VLOOKUP(D881,'Items'!$A$2:$L$201,10,FALSE),""))</f>
        <v/>
      </c>
      <c r="K881" s="10">
        <f>IF(OR(H881="",J881=""),"",H881*J881)</f>
        <v/>
      </c>
      <c r="L881" s="5">
        <f>IF(AND(B881="",D881=""),"",IF(B881="","Missing product",IF(D881="","Missing item",IF(C881="Product not found","Product not found",IF(E881="Item not found","Item not found",IF(OR(F881="",G881=""),"Missing quantity/unit",IF(IFERROR(VLOOKUP(G881,'Units'!$A$2:$D$13,3,FALSE),"")&lt;&gt;I881,"Unit mismatch",IF(J881="","Enter item cost","OK"))))))))</f>
        <v/>
      </c>
      <c r="M881" s="4" t="n"/>
    </row>
    <row r="882">
      <c r="A882" s="5">
        <f>IF(AND(B882="",D882=""),"",ROW()-1)</f>
        <v/>
      </c>
      <c r="B882" s="4" t="n"/>
      <c r="C882" s="5">
        <f>IF(B882="","",IFERROR(VLOOKUP(B882,'Products'!$A$2:$F$201,2,FALSE),"Product not found"))</f>
        <v/>
      </c>
      <c r="D882" s="4" t="n"/>
      <c r="E882" s="5">
        <f>IF(D882="","",IFERROR(VLOOKUP(D882,'Items'!$A$2:$L$201,2,FALSE),"Item not found"))</f>
        <v/>
      </c>
      <c r="F882" s="9" t="n"/>
      <c r="G882" s="4" t="n"/>
      <c r="H882" s="10">
        <f>IF(OR(F882="",G882=""),"",IFERROR(F882*VLOOKUP(G882,'Units'!$A$2:$D$13,4,FALSE),""))</f>
        <v/>
      </c>
      <c r="I882" s="5">
        <f>IF(D882="","",IFERROR(VLOOKUP(D882,'Items'!$A$2:$L$201,4,FALSE),""))</f>
        <v/>
      </c>
      <c r="J882" s="10">
        <f>IF(D882="","",IFERROR(VLOOKUP(D882,'Items'!$A$2:$L$201,10,FALSE),""))</f>
        <v/>
      </c>
      <c r="K882" s="10">
        <f>IF(OR(H882="",J882=""),"",H882*J882)</f>
        <v/>
      </c>
      <c r="L882" s="5">
        <f>IF(AND(B882="",D882=""),"",IF(B882="","Missing product",IF(D882="","Missing item",IF(C882="Product not found","Product not found",IF(E882="Item not found","Item not found",IF(OR(F882="",G882=""),"Missing quantity/unit",IF(IFERROR(VLOOKUP(G882,'Units'!$A$2:$D$13,3,FALSE),"")&lt;&gt;I882,"Unit mismatch",IF(J882="","Enter item cost","OK"))))))))</f>
        <v/>
      </c>
      <c r="M882" s="4" t="n"/>
    </row>
    <row r="883">
      <c r="A883" s="5">
        <f>IF(AND(B883="",D883=""),"",ROW()-1)</f>
        <v/>
      </c>
      <c r="B883" s="4" t="n"/>
      <c r="C883" s="5">
        <f>IF(B883="","",IFERROR(VLOOKUP(B883,'Products'!$A$2:$F$201,2,FALSE),"Product not found"))</f>
        <v/>
      </c>
      <c r="D883" s="4" t="n"/>
      <c r="E883" s="5">
        <f>IF(D883="","",IFERROR(VLOOKUP(D883,'Items'!$A$2:$L$201,2,FALSE),"Item not found"))</f>
        <v/>
      </c>
      <c r="F883" s="9" t="n"/>
      <c r="G883" s="4" t="n"/>
      <c r="H883" s="10">
        <f>IF(OR(F883="",G883=""),"",IFERROR(F883*VLOOKUP(G883,'Units'!$A$2:$D$13,4,FALSE),""))</f>
        <v/>
      </c>
      <c r="I883" s="5">
        <f>IF(D883="","",IFERROR(VLOOKUP(D883,'Items'!$A$2:$L$201,4,FALSE),""))</f>
        <v/>
      </c>
      <c r="J883" s="10">
        <f>IF(D883="","",IFERROR(VLOOKUP(D883,'Items'!$A$2:$L$201,10,FALSE),""))</f>
        <v/>
      </c>
      <c r="K883" s="10">
        <f>IF(OR(H883="",J883=""),"",H883*J883)</f>
        <v/>
      </c>
      <c r="L883" s="5">
        <f>IF(AND(B883="",D883=""),"",IF(B883="","Missing product",IF(D883="","Missing item",IF(C883="Product not found","Product not found",IF(E883="Item not found","Item not found",IF(OR(F883="",G883=""),"Missing quantity/unit",IF(IFERROR(VLOOKUP(G883,'Units'!$A$2:$D$13,3,FALSE),"")&lt;&gt;I883,"Unit mismatch",IF(J883="","Enter item cost","OK"))))))))</f>
        <v/>
      </c>
      <c r="M883" s="4" t="n"/>
    </row>
    <row r="884">
      <c r="A884" s="5">
        <f>IF(AND(B884="",D884=""),"",ROW()-1)</f>
        <v/>
      </c>
      <c r="B884" s="4" t="n"/>
      <c r="C884" s="5">
        <f>IF(B884="","",IFERROR(VLOOKUP(B884,'Products'!$A$2:$F$201,2,FALSE),"Product not found"))</f>
        <v/>
      </c>
      <c r="D884" s="4" t="n"/>
      <c r="E884" s="5">
        <f>IF(D884="","",IFERROR(VLOOKUP(D884,'Items'!$A$2:$L$201,2,FALSE),"Item not found"))</f>
        <v/>
      </c>
      <c r="F884" s="9" t="n"/>
      <c r="G884" s="4" t="n"/>
      <c r="H884" s="10">
        <f>IF(OR(F884="",G884=""),"",IFERROR(F884*VLOOKUP(G884,'Units'!$A$2:$D$13,4,FALSE),""))</f>
        <v/>
      </c>
      <c r="I884" s="5">
        <f>IF(D884="","",IFERROR(VLOOKUP(D884,'Items'!$A$2:$L$201,4,FALSE),""))</f>
        <v/>
      </c>
      <c r="J884" s="10">
        <f>IF(D884="","",IFERROR(VLOOKUP(D884,'Items'!$A$2:$L$201,10,FALSE),""))</f>
        <v/>
      </c>
      <c r="K884" s="10">
        <f>IF(OR(H884="",J884=""),"",H884*J884)</f>
        <v/>
      </c>
      <c r="L884" s="5">
        <f>IF(AND(B884="",D884=""),"",IF(B884="","Missing product",IF(D884="","Missing item",IF(C884="Product not found","Product not found",IF(E884="Item not found","Item not found",IF(OR(F884="",G884=""),"Missing quantity/unit",IF(IFERROR(VLOOKUP(G884,'Units'!$A$2:$D$13,3,FALSE),"")&lt;&gt;I884,"Unit mismatch",IF(J884="","Enter item cost","OK"))))))))</f>
        <v/>
      </c>
      <c r="M884" s="4" t="n"/>
    </row>
    <row r="885">
      <c r="A885" s="5">
        <f>IF(AND(B885="",D885=""),"",ROW()-1)</f>
        <v/>
      </c>
      <c r="B885" s="4" t="n"/>
      <c r="C885" s="5">
        <f>IF(B885="","",IFERROR(VLOOKUP(B885,'Products'!$A$2:$F$201,2,FALSE),"Product not found"))</f>
        <v/>
      </c>
      <c r="D885" s="4" t="n"/>
      <c r="E885" s="5">
        <f>IF(D885="","",IFERROR(VLOOKUP(D885,'Items'!$A$2:$L$201,2,FALSE),"Item not found"))</f>
        <v/>
      </c>
      <c r="F885" s="9" t="n"/>
      <c r="G885" s="4" t="n"/>
      <c r="H885" s="10">
        <f>IF(OR(F885="",G885=""),"",IFERROR(F885*VLOOKUP(G885,'Units'!$A$2:$D$13,4,FALSE),""))</f>
        <v/>
      </c>
      <c r="I885" s="5">
        <f>IF(D885="","",IFERROR(VLOOKUP(D885,'Items'!$A$2:$L$201,4,FALSE),""))</f>
        <v/>
      </c>
      <c r="J885" s="10">
        <f>IF(D885="","",IFERROR(VLOOKUP(D885,'Items'!$A$2:$L$201,10,FALSE),""))</f>
        <v/>
      </c>
      <c r="K885" s="10">
        <f>IF(OR(H885="",J885=""),"",H885*J885)</f>
        <v/>
      </c>
      <c r="L885" s="5">
        <f>IF(AND(B885="",D885=""),"",IF(B885="","Missing product",IF(D885="","Missing item",IF(C885="Product not found","Product not found",IF(E885="Item not found","Item not found",IF(OR(F885="",G885=""),"Missing quantity/unit",IF(IFERROR(VLOOKUP(G885,'Units'!$A$2:$D$13,3,FALSE),"")&lt;&gt;I885,"Unit mismatch",IF(J885="","Enter item cost","OK"))))))))</f>
        <v/>
      </c>
      <c r="M885" s="4" t="n"/>
    </row>
    <row r="886">
      <c r="A886" s="5">
        <f>IF(AND(B886="",D886=""),"",ROW()-1)</f>
        <v/>
      </c>
      <c r="B886" s="4" t="n"/>
      <c r="C886" s="5">
        <f>IF(B886="","",IFERROR(VLOOKUP(B886,'Products'!$A$2:$F$201,2,FALSE),"Product not found"))</f>
        <v/>
      </c>
      <c r="D886" s="4" t="n"/>
      <c r="E886" s="5">
        <f>IF(D886="","",IFERROR(VLOOKUP(D886,'Items'!$A$2:$L$201,2,FALSE),"Item not found"))</f>
        <v/>
      </c>
      <c r="F886" s="9" t="n"/>
      <c r="G886" s="4" t="n"/>
      <c r="H886" s="10">
        <f>IF(OR(F886="",G886=""),"",IFERROR(F886*VLOOKUP(G886,'Units'!$A$2:$D$13,4,FALSE),""))</f>
        <v/>
      </c>
      <c r="I886" s="5">
        <f>IF(D886="","",IFERROR(VLOOKUP(D886,'Items'!$A$2:$L$201,4,FALSE),""))</f>
        <v/>
      </c>
      <c r="J886" s="10">
        <f>IF(D886="","",IFERROR(VLOOKUP(D886,'Items'!$A$2:$L$201,10,FALSE),""))</f>
        <v/>
      </c>
      <c r="K886" s="10">
        <f>IF(OR(H886="",J886=""),"",H886*J886)</f>
        <v/>
      </c>
      <c r="L886" s="5">
        <f>IF(AND(B886="",D886=""),"",IF(B886="","Missing product",IF(D886="","Missing item",IF(C886="Product not found","Product not found",IF(E886="Item not found","Item not found",IF(OR(F886="",G886=""),"Missing quantity/unit",IF(IFERROR(VLOOKUP(G886,'Units'!$A$2:$D$13,3,FALSE),"")&lt;&gt;I886,"Unit mismatch",IF(J886="","Enter item cost","OK"))))))))</f>
        <v/>
      </c>
      <c r="M886" s="4" t="n"/>
    </row>
    <row r="887">
      <c r="A887" s="5">
        <f>IF(AND(B887="",D887=""),"",ROW()-1)</f>
        <v/>
      </c>
      <c r="B887" s="4" t="n"/>
      <c r="C887" s="5">
        <f>IF(B887="","",IFERROR(VLOOKUP(B887,'Products'!$A$2:$F$201,2,FALSE),"Product not found"))</f>
        <v/>
      </c>
      <c r="D887" s="4" t="n"/>
      <c r="E887" s="5">
        <f>IF(D887="","",IFERROR(VLOOKUP(D887,'Items'!$A$2:$L$201,2,FALSE),"Item not found"))</f>
        <v/>
      </c>
      <c r="F887" s="9" t="n"/>
      <c r="G887" s="4" t="n"/>
      <c r="H887" s="10">
        <f>IF(OR(F887="",G887=""),"",IFERROR(F887*VLOOKUP(G887,'Units'!$A$2:$D$13,4,FALSE),""))</f>
        <v/>
      </c>
      <c r="I887" s="5">
        <f>IF(D887="","",IFERROR(VLOOKUP(D887,'Items'!$A$2:$L$201,4,FALSE),""))</f>
        <v/>
      </c>
      <c r="J887" s="10">
        <f>IF(D887="","",IFERROR(VLOOKUP(D887,'Items'!$A$2:$L$201,10,FALSE),""))</f>
        <v/>
      </c>
      <c r="K887" s="10">
        <f>IF(OR(H887="",J887=""),"",H887*J887)</f>
        <v/>
      </c>
      <c r="L887" s="5">
        <f>IF(AND(B887="",D887=""),"",IF(B887="","Missing product",IF(D887="","Missing item",IF(C887="Product not found","Product not found",IF(E887="Item not found","Item not found",IF(OR(F887="",G887=""),"Missing quantity/unit",IF(IFERROR(VLOOKUP(G887,'Units'!$A$2:$D$13,3,FALSE),"")&lt;&gt;I887,"Unit mismatch",IF(J887="","Enter item cost","OK"))))))))</f>
        <v/>
      </c>
      <c r="M887" s="4" t="n"/>
    </row>
    <row r="888">
      <c r="A888" s="5">
        <f>IF(AND(B888="",D888=""),"",ROW()-1)</f>
        <v/>
      </c>
      <c r="B888" s="4" t="n"/>
      <c r="C888" s="5">
        <f>IF(B888="","",IFERROR(VLOOKUP(B888,'Products'!$A$2:$F$201,2,FALSE),"Product not found"))</f>
        <v/>
      </c>
      <c r="D888" s="4" t="n"/>
      <c r="E888" s="5">
        <f>IF(D888="","",IFERROR(VLOOKUP(D888,'Items'!$A$2:$L$201,2,FALSE),"Item not found"))</f>
        <v/>
      </c>
      <c r="F888" s="9" t="n"/>
      <c r="G888" s="4" t="n"/>
      <c r="H888" s="10">
        <f>IF(OR(F888="",G888=""),"",IFERROR(F888*VLOOKUP(G888,'Units'!$A$2:$D$13,4,FALSE),""))</f>
        <v/>
      </c>
      <c r="I888" s="5">
        <f>IF(D888="","",IFERROR(VLOOKUP(D888,'Items'!$A$2:$L$201,4,FALSE),""))</f>
        <v/>
      </c>
      <c r="J888" s="10">
        <f>IF(D888="","",IFERROR(VLOOKUP(D888,'Items'!$A$2:$L$201,10,FALSE),""))</f>
        <v/>
      </c>
      <c r="K888" s="10">
        <f>IF(OR(H888="",J888=""),"",H888*J888)</f>
        <v/>
      </c>
      <c r="L888" s="5">
        <f>IF(AND(B888="",D888=""),"",IF(B888="","Missing product",IF(D888="","Missing item",IF(C888="Product not found","Product not found",IF(E888="Item not found","Item not found",IF(OR(F888="",G888=""),"Missing quantity/unit",IF(IFERROR(VLOOKUP(G888,'Units'!$A$2:$D$13,3,FALSE),"")&lt;&gt;I888,"Unit mismatch",IF(J888="","Enter item cost","OK"))))))))</f>
        <v/>
      </c>
      <c r="M888" s="4" t="n"/>
    </row>
    <row r="889">
      <c r="A889" s="5">
        <f>IF(AND(B889="",D889=""),"",ROW()-1)</f>
        <v/>
      </c>
      <c r="B889" s="4" t="n"/>
      <c r="C889" s="5">
        <f>IF(B889="","",IFERROR(VLOOKUP(B889,'Products'!$A$2:$F$201,2,FALSE),"Product not found"))</f>
        <v/>
      </c>
      <c r="D889" s="4" t="n"/>
      <c r="E889" s="5">
        <f>IF(D889="","",IFERROR(VLOOKUP(D889,'Items'!$A$2:$L$201,2,FALSE),"Item not found"))</f>
        <v/>
      </c>
      <c r="F889" s="9" t="n"/>
      <c r="G889" s="4" t="n"/>
      <c r="H889" s="10">
        <f>IF(OR(F889="",G889=""),"",IFERROR(F889*VLOOKUP(G889,'Units'!$A$2:$D$13,4,FALSE),""))</f>
        <v/>
      </c>
      <c r="I889" s="5">
        <f>IF(D889="","",IFERROR(VLOOKUP(D889,'Items'!$A$2:$L$201,4,FALSE),""))</f>
        <v/>
      </c>
      <c r="J889" s="10">
        <f>IF(D889="","",IFERROR(VLOOKUP(D889,'Items'!$A$2:$L$201,10,FALSE),""))</f>
        <v/>
      </c>
      <c r="K889" s="10">
        <f>IF(OR(H889="",J889=""),"",H889*J889)</f>
        <v/>
      </c>
      <c r="L889" s="5">
        <f>IF(AND(B889="",D889=""),"",IF(B889="","Missing product",IF(D889="","Missing item",IF(C889="Product not found","Product not found",IF(E889="Item not found","Item not found",IF(OR(F889="",G889=""),"Missing quantity/unit",IF(IFERROR(VLOOKUP(G889,'Units'!$A$2:$D$13,3,FALSE),"")&lt;&gt;I889,"Unit mismatch",IF(J889="","Enter item cost","OK"))))))))</f>
        <v/>
      </c>
      <c r="M889" s="4" t="n"/>
    </row>
    <row r="890">
      <c r="A890" s="5">
        <f>IF(AND(B890="",D890=""),"",ROW()-1)</f>
        <v/>
      </c>
      <c r="B890" s="4" t="n"/>
      <c r="C890" s="5">
        <f>IF(B890="","",IFERROR(VLOOKUP(B890,'Products'!$A$2:$F$201,2,FALSE),"Product not found"))</f>
        <v/>
      </c>
      <c r="D890" s="4" t="n"/>
      <c r="E890" s="5">
        <f>IF(D890="","",IFERROR(VLOOKUP(D890,'Items'!$A$2:$L$201,2,FALSE),"Item not found"))</f>
        <v/>
      </c>
      <c r="F890" s="9" t="n"/>
      <c r="G890" s="4" t="n"/>
      <c r="H890" s="10">
        <f>IF(OR(F890="",G890=""),"",IFERROR(F890*VLOOKUP(G890,'Units'!$A$2:$D$13,4,FALSE),""))</f>
        <v/>
      </c>
      <c r="I890" s="5">
        <f>IF(D890="","",IFERROR(VLOOKUP(D890,'Items'!$A$2:$L$201,4,FALSE),""))</f>
        <v/>
      </c>
      <c r="J890" s="10">
        <f>IF(D890="","",IFERROR(VLOOKUP(D890,'Items'!$A$2:$L$201,10,FALSE),""))</f>
        <v/>
      </c>
      <c r="K890" s="10">
        <f>IF(OR(H890="",J890=""),"",H890*J890)</f>
        <v/>
      </c>
      <c r="L890" s="5">
        <f>IF(AND(B890="",D890=""),"",IF(B890="","Missing product",IF(D890="","Missing item",IF(C890="Product not found","Product not found",IF(E890="Item not found","Item not found",IF(OR(F890="",G890=""),"Missing quantity/unit",IF(IFERROR(VLOOKUP(G890,'Units'!$A$2:$D$13,3,FALSE),"")&lt;&gt;I890,"Unit mismatch",IF(J890="","Enter item cost","OK"))))))))</f>
        <v/>
      </c>
      <c r="M890" s="4" t="n"/>
    </row>
    <row r="891">
      <c r="A891" s="5">
        <f>IF(AND(B891="",D891=""),"",ROW()-1)</f>
        <v/>
      </c>
      <c r="B891" s="4" t="n"/>
      <c r="C891" s="5">
        <f>IF(B891="","",IFERROR(VLOOKUP(B891,'Products'!$A$2:$F$201,2,FALSE),"Product not found"))</f>
        <v/>
      </c>
      <c r="D891" s="4" t="n"/>
      <c r="E891" s="5">
        <f>IF(D891="","",IFERROR(VLOOKUP(D891,'Items'!$A$2:$L$201,2,FALSE),"Item not found"))</f>
        <v/>
      </c>
      <c r="F891" s="9" t="n"/>
      <c r="G891" s="4" t="n"/>
      <c r="H891" s="10">
        <f>IF(OR(F891="",G891=""),"",IFERROR(F891*VLOOKUP(G891,'Units'!$A$2:$D$13,4,FALSE),""))</f>
        <v/>
      </c>
      <c r="I891" s="5">
        <f>IF(D891="","",IFERROR(VLOOKUP(D891,'Items'!$A$2:$L$201,4,FALSE),""))</f>
        <v/>
      </c>
      <c r="J891" s="10">
        <f>IF(D891="","",IFERROR(VLOOKUP(D891,'Items'!$A$2:$L$201,10,FALSE),""))</f>
        <v/>
      </c>
      <c r="K891" s="10">
        <f>IF(OR(H891="",J891=""),"",H891*J891)</f>
        <v/>
      </c>
      <c r="L891" s="5">
        <f>IF(AND(B891="",D891=""),"",IF(B891="","Missing product",IF(D891="","Missing item",IF(C891="Product not found","Product not found",IF(E891="Item not found","Item not found",IF(OR(F891="",G891=""),"Missing quantity/unit",IF(IFERROR(VLOOKUP(G891,'Units'!$A$2:$D$13,3,FALSE),"")&lt;&gt;I891,"Unit mismatch",IF(J891="","Enter item cost","OK"))))))))</f>
        <v/>
      </c>
      <c r="M891" s="4" t="n"/>
    </row>
    <row r="892">
      <c r="A892" s="5">
        <f>IF(AND(B892="",D892=""),"",ROW()-1)</f>
        <v/>
      </c>
      <c r="B892" s="4" t="n"/>
      <c r="C892" s="5">
        <f>IF(B892="","",IFERROR(VLOOKUP(B892,'Products'!$A$2:$F$201,2,FALSE),"Product not found"))</f>
        <v/>
      </c>
      <c r="D892" s="4" t="n"/>
      <c r="E892" s="5">
        <f>IF(D892="","",IFERROR(VLOOKUP(D892,'Items'!$A$2:$L$201,2,FALSE),"Item not found"))</f>
        <v/>
      </c>
      <c r="F892" s="9" t="n"/>
      <c r="G892" s="4" t="n"/>
      <c r="H892" s="10">
        <f>IF(OR(F892="",G892=""),"",IFERROR(F892*VLOOKUP(G892,'Units'!$A$2:$D$13,4,FALSE),""))</f>
        <v/>
      </c>
      <c r="I892" s="5">
        <f>IF(D892="","",IFERROR(VLOOKUP(D892,'Items'!$A$2:$L$201,4,FALSE),""))</f>
        <v/>
      </c>
      <c r="J892" s="10">
        <f>IF(D892="","",IFERROR(VLOOKUP(D892,'Items'!$A$2:$L$201,10,FALSE),""))</f>
        <v/>
      </c>
      <c r="K892" s="10">
        <f>IF(OR(H892="",J892=""),"",H892*J892)</f>
        <v/>
      </c>
      <c r="L892" s="5">
        <f>IF(AND(B892="",D892=""),"",IF(B892="","Missing product",IF(D892="","Missing item",IF(C892="Product not found","Product not found",IF(E892="Item not found","Item not found",IF(OR(F892="",G892=""),"Missing quantity/unit",IF(IFERROR(VLOOKUP(G892,'Units'!$A$2:$D$13,3,FALSE),"")&lt;&gt;I892,"Unit mismatch",IF(J892="","Enter item cost","OK"))))))))</f>
        <v/>
      </c>
      <c r="M892" s="4" t="n"/>
    </row>
    <row r="893">
      <c r="A893" s="5">
        <f>IF(AND(B893="",D893=""),"",ROW()-1)</f>
        <v/>
      </c>
      <c r="B893" s="4" t="n"/>
      <c r="C893" s="5">
        <f>IF(B893="","",IFERROR(VLOOKUP(B893,'Products'!$A$2:$F$201,2,FALSE),"Product not found"))</f>
        <v/>
      </c>
      <c r="D893" s="4" t="n"/>
      <c r="E893" s="5">
        <f>IF(D893="","",IFERROR(VLOOKUP(D893,'Items'!$A$2:$L$201,2,FALSE),"Item not found"))</f>
        <v/>
      </c>
      <c r="F893" s="9" t="n"/>
      <c r="G893" s="4" t="n"/>
      <c r="H893" s="10">
        <f>IF(OR(F893="",G893=""),"",IFERROR(F893*VLOOKUP(G893,'Units'!$A$2:$D$13,4,FALSE),""))</f>
        <v/>
      </c>
      <c r="I893" s="5">
        <f>IF(D893="","",IFERROR(VLOOKUP(D893,'Items'!$A$2:$L$201,4,FALSE),""))</f>
        <v/>
      </c>
      <c r="J893" s="10">
        <f>IF(D893="","",IFERROR(VLOOKUP(D893,'Items'!$A$2:$L$201,10,FALSE),""))</f>
        <v/>
      </c>
      <c r="K893" s="10">
        <f>IF(OR(H893="",J893=""),"",H893*J893)</f>
        <v/>
      </c>
      <c r="L893" s="5">
        <f>IF(AND(B893="",D893=""),"",IF(B893="","Missing product",IF(D893="","Missing item",IF(C893="Product not found","Product not found",IF(E893="Item not found","Item not found",IF(OR(F893="",G893=""),"Missing quantity/unit",IF(IFERROR(VLOOKUP(G893,'Units'!$A$2:$D$13,3,FALSE),"")&lt;&gt;I893,"Unit mismatch",IF(J893="","Enter item cost","OK"))))))))</f>
        <v/>
      </c>
      <c r="M893" s="4" t="n"/>
    </row>
    <row r="894">
      <c r="A894" s="5">
        <f>IF(AND(B894="",D894=""),"",ROW()-1)</f>
        <v/>
      </c>
      <c r="B894" s="4" t="n"/>
      <c r="C894" s="5">
        <f>IF(B894="","",IFERROR(VLOOKUP(B894,'Products'!$A$2:$F$201,2,FALSE),"Product not found"))</f>
        <v/>
      </c>
      <c r="D894" s="4" t="n"/>
      <c r="E894" s="5">
        <f>IF(D894="","",IFERROR(VLOOKUP(D894,'Items'!$A$2:$L$201,2,FALSE),"Item not found"))</f>
        <v/>
      </c>
      <c r="F894" s="9" t="n"/>
      <c r="G894" s="4" t="n"/>
      <c r="H894" s="10">
        <f>IF(OR(F894="",G894=""),"",IFERROR(F894*VLOOKUP(G894,'Units'!$A$2:$D$13,4,FALSE),""))</f>
        <v/>
      </c>
      <c r="I894" s="5">
        <f>IF(D894="","",IFERROR(VLOOKUP(D894,'Items'!$A$2:$L$201,4,FALSE),""))</f>
        <v/>
      </c>
      <c r="J894" s="10">
        <f>IF(D894="","",IFERROR(VLOOKUP(D894,'Items'!$A$2:$L$201,10,FALSE),""))</f>
        <v/>
      </c>
      <c r="K894" s="10">
        <f>IF(OR(H894="",J894=""),"",H894*J894)</f>
        <v/>
      </c>
      <c r="L894" s="5">
        <f>IF(AND(B894="",D894=""),"",IF(B894="","Missing product",IF(D894="","Missing item",IF(C894="Product not found","Product not found",IF(E894="Item not found","Item not found",IF(OR(F894="",G894=""),"Missing quantity/unit",IF(IFERROR(VLOOKUP(G894,'Units'!$A$2:$D$13,3,FALSE),"")&lt;&gt;I894,"Unit mismatch",IF(J894="","Enter item cost","OK"))))))))</f>
        <v/>
      </c>
      <c r="M894" s="4" t="n"/>
    </row>
    <row r="895">
      <c r="A895" s="5">
        <f>IF(AND(B895="",D895=""),"",ROW()-1)</f>
        <v/>
      </c>
      <c r="B895" s="4" t="n"/>
      <c r="C895" s="5">
        <f>IF(B895="","",IFERROR(VLOOKUP(B895,'Products'!$A$2:$F$201,2,FALSE),"Product not found"))</f>
        <v/>
      </c>
      <c r="D895" s="4" t="n"/>
      <c r="E895" s="5">
        <f>IF(D895="","",IFERROR(VLOOKUP(D895,'Items'!$A$2:$L$201,2,FALSE),"Item not found"))</f>
        <v/>
      </c>
      <c r="F895" s="9" t="n"/>
      <c r="G895" s="4" t="n"/>
      <c r="H895" s="10">
        <f>IF(OR(F895="",G895=""),"",IFERROR(F895*VLOOKUP(G895,'Units'!$A$2:$D$13,4,FALSE),""))</f>
        <v/>
      </c>
      <c r="I895" s="5">
        <f>IF(D895="","",IFERROR(VLOOKUP(D895,'Items'!$A$2:$L$201,4,FALSE),""))</f>
        <v/>
      </c>
      <c r="J895" s="10">
        <f>IF(D895="","",IFERROR(VLOOKUP(D895,'Items'!$A$2:$L$201,10,FALSE),""))</f>
        <v/>
      </c>
      <c r="K895" s="10">
        <f>IF(OR(H895="",J895=""),"",H895*J895)</f>
        <v/>
      </c>
      <c r="L895" s="5">
        <f>IF(AND(B895="",D895=""),"",IF(B895="","Missing product",IF(D895="","Missing item",IF(C895="Product not found","Product not found",IF(E895="Item not found","Item not found",IF(OR(F895="",G895=""),"Missing quantity/unit",IF(IFERROR(VLOOKUP(G895,'Units'!$A$2:$D$13,3,FALSE),"")&lt;&gt;I895,"Unit mismatch",IF(J895="","Enter item cost","OK"))))))))</f>
        <v/>
      </c>
      <c r="M895" s="4" t="n"/>
    </row>
    <row r="896">
      <c r="A896" s="5">
        <f>IF(AND(B896="",D896=""),"",ROW()-1)</f>
        <v/>
      </c>
      <c r="B896" s="4" t="n"/>
      <c r="C896" s="5">
        <f>IF(B896="","",IFERROR(VLOOKUP(B896,'Products'!$A$2:$F$201,2,FALSE),"Product not found"))</f>
        <v/>
      </c>
      <c r="D896" s="4" t="n"/>
      <c r="E896" s="5">
        <f>IF(D896="","",IFERROR(VLOOKUP(D896,'Items'!$A$2:$L$201,2,FALSE),"Item not found"))</f>
        <v/>
      </c>
      <c r="F896" s="9" t="n"/>
      <c r="G896" s="4" t="n"/>
      <c r="H896" s="10">
        <f>IF(OR(F896="",G896=""),"",IFERROR(F896*VLOOKUP(G896,'Units'!$A$2:$D$13,4,FALSE),""))</f>
        <v/>
      </c>
      <c r="I896" s="5">
        <f>IF(D896="","",IFERROR(VLOOKUP(D896,'Items'!$A$2:$L$201,4,FALSE),""))</f>
        <v/>
      </c>
      <c r="J896" s="10">
        <f>IF(D896="","",IFERROR(VLOOKUP(D896,'Items'!$A$2:$L$201,10,FALSE),""))</f>
        <v/>
      </c>
      <c r="K896" s="10">
        <f>IF(OR(H896="",J896=""),"",H896*J896)</f>
        <v/>
      </c>
      <c r="L896" s="5">
        <f>IF(AND(B896="",D896=""),"",IF(B896="","Missing product",IF(D896="","Missing item",IF(C896="Product not found","Product not found",IF(E896="Item not found","Item not found",IF(OR(F896="",G896=""),"Missing quantity/unit",IF(IFERROR(VLOOKUP(G896,'Units'!$A$2:$D$13,3,FALSE),"")&lt;&gt;I896,"Unit mismatch",IF(J896="","Enter item cost","OK"))))))))</f>
        <v/>
      </c>
      <c r="M896" s="4" t="n"/>
    </row>
    <row r="897">
      <c r="A897" s="5">
        <f>IF(AND(B897="",D897=""),"",ROW()-1)</f>
        <v/>
      </c>
      <c r="B897" s="4" t="n"/>
      <c r="C897" s="5">
        <f>IF(B897="","",IFERROR(VLOOKUP(B897,'Products'!$A$2:$F$201,2,FALSE),"Product not found"))</f>
        <v/>
      </c>
      <c r="D897" s="4" t="n"/>
      <c r="E897" s="5">
        <f>IF(D897="","",IFERROR(VLOOKUP(D897,'Items'!$A$2:$L$201,2,FALSE),"Item not found"))</f>
        <v/>
      </c>
      <c r="F897" s="9" t="n"/>
      <c r="G897" s="4" t="n"/>
      <c r="H897" s="10">
        <f>IF(OR(F897="",G897=""),"",IFERROR(F897*VLOOKUP(G897,'Units'!$A$2:$D$13,4,FALSE),""))</f>
        <v/>
      </c>
      <c r="I897" s="5">
        <f>IF(D897="","",IFERROR(VLOOKUP(D897,'Items'!$A$2:$L$201,4,FALSE),""))</f>
        <v/>
      </c>
      <c r="J897" s="10">
        <f>IF(D897="","",IFERROR(VLOOKUP(D897,'Items'!$A$2:$L$201,10,FALSE),""))</f>
        <v/>
      </c>
      <c r="K897" s="10">
        <f>IF(OR(H897="",J897=""),"",H897*J897)</f>
        <v/>
      </c>
      <c r="L897" s="5">
        <f>IF(AND(B897="",D897=""),"",IF(B897="","Missing product",IF(D897="","Missing item",IF(C897="Product not found","Product not found",IF(E897="Item not found","Item not found",IF(OR(F897="",G897=""),"Missing quantity/unit",IF(IFERROR(VLOOKUP(G897,'Units'!$A$2:$D$13,3,FALSE),"")&lt;&gt;I897,"Unit mismatch",IF(J897="","Enter item cost","OK"))))))))</f>
        <v/>
      </c>
      <c r="M897" s="4" t="n"/>
    </row>
    <row r="898">
      <c r="A898" s="5">
        <f>IF(AND(B898="",D898=""),"",ROW()-1)</f>
        <v/>
      </c>
      <c r="B898" s="4" t="n"/>
      <c r="C898" s="5">
        <f>IF(B898="","",IFERROR(VLOOKUP(B898,'Products'!$A$2:$F$201,2,FALSE),"Product not found"))</f>
        <v/>
      </c>
      <c r="D898" s="4" t="n"/>
      <c r="E898" s="5">
        <f>IF(D898="","",IFERROR(VLOOKUP(D898,'Items'!$A$2:$L$201,2,FALSE),"Item not found"))</f>
        <v/>
      </c>
      <c r="F898" s="9" t="n"/>
      <c r="G898" s="4" t="n"/>
      <c r="H898" s="10">
        <f>IF(OR(F898="",G898=""),"",IFERROR(F898*VLOOKUP(G898,'Units'!$A$2:$D$13,4,FALSE),""))</f>
        <v/>
      </c>
      <c r="I898" s="5">
        <f>IF(D898="","",IFERROR(VLOOKUP(D898,'Items'!$A$2:$L$201,4,FALSE),""))</f>
        <v/>
      </c>
      <c r="J898" s="10">
        <f>IF(D898="","",IFERROR(VLOOKUP(D898,'Items'!$A$2:$L$201,10,FALSE),""))</f>
        <v/>
      </c>
      <c r="K898" s="10">
        <f>IF(OR(H898="",J898=""),"",H898*J898)</f>
        <v/>
      </c>
      <c r="L898" s="5">
        <f>IF(AND(B898="",D898=""),"",IF(B898="","Missing product",IF(D898="","Missing item",IF(C898="Product not found","Product not found",IF(E898="Item not found","Item not found",IF(OR(F898="",G898=""),"Missing quantity/unit",IF(IFERROR(VLOOKUP(G898,'Units'!$A$2:$D$13,3,FALSE),"")&lt;&gt;I898,"Unit mismatch",IF(J898="","Enter item cost","OK"))))))))</f>
        <v/>
      </c>
      <c r="M898" s="4" t="n"/>
    </row>
    <row r="899">
      <c r="A899" s="5">
        <f>IF(AND(B899="",D899=""),"",ROW()-1)</f>
        <v/>
      </c>
      <c r="B899" s="4" t="n"/>
      <c r="C899" s="5">
        <f>IF(B899="","",IFERROR(VLOOKUP(B899,'Products'!$A$2:$F$201,2,FALSE),"Product not found"))</f>
        <v/>
      </c>
      <c r="D899" s="4" t="n"/>
      <c r="E899" s="5">
        <f>IF(D899="","",IFERROR(VLOOKUP(D899,'Items'!$A$2:$L$201,2,FALSE),"Item not found"))</f>
        <v/>
      </c>
      <c r="F899" s="9" t="n"/>
      <c r="G899" s="4" t="n"/>
      <c r="H899" s="10">
        <f>IF(OR(F899="",G899=""),"",IFERROR(F899*VLOOKUP(G899,'Units'!$A$2:$D$13,4,FALSE),""))</f>
        <v/>
      </c>
      <c r="I899" s="5">
        <f>IF(D899="","",IFERROR(VLOOKUP(D899,'Items'!$A$2:$L$201,4,FALSE),""))</f>
        <v/>
      </c>
      <c r="J899" s="10">
        <f>IF(D899="","",IFERROR(VLOOKUP(D899,'Items'!$A$2:$L$201,10,FALSE),""))</f>
        <v/>
      </c>
      <c r="K899" s="10">
        <f>IF(OR(H899="",J899=""),"",H899*J899)</f>
        <v/>
      </c>
      <c r="L899" s="5">
        <f>IF(AND(B899="",D899=""),"",IF(B899="","Missing product",IF(D899="","Missing item",IF(C899="Product not found","Product not found",IF(E899="Item not found","Item not found",IF(OR(F899="",G899=""),"Missing quantity/unit",IF(IFERROR(VLOOKUP(G899,'Units'!$A$2:$D$13,3,FALSE),"")&lt;&gt;I899,"Unit mismatch",IF(J899="","Enter item cost","OK"))))))))</f>
        <v/>
      </c>
      <c r="M899" s="4" t="n"/>
    </row>
    <row r="900">
      <c r="A900" s="5">
        <f>IF(AND(B900="",D900=""),"",ROW()-1)</f>
        <v/>
      </c>
      <c r="B900" s="4" t="n"/>
      <c r="C900" s="5">
        <f>IF(B900="","",IFERROR(VLOOKUP(B900,'Products'!$A$2:$F$201,2,FALSE),"Product not found"))</f>
        <v/>
      </c>
      <c r="D900" s="4" t="n"/>
      <c r="E900" s="5">
        <f>IF(D900="","",IFERROR(VLOOKUP(D900,'Items'!$A$2:$L$201,2,FALSE),"Item not found"))</f>
        <v/>
      </c>
      <c r="F900" s="9" t="n"/>
      <c r="G900" s="4" t="n"/>
      <c r="H900" s="10">
        <f>IF(OR(F900="",G900=""),"",IFERROR(F900*VLOOKUP(G900,'Units'!$A$2:$D$13,4,FALSE),""))</f>
        <v/>
      </c>
      <c r="I900" s="5">
        <f>IF(D900="","",IFERROR(VLOOKUP(D900,'Items'!$A$2:$L$201,4,FALSE),""))</f>
        <v/>
      </c>
      <c r="J900" s="10">
        <f>IF(D900="","",IFERROR(VLOOKUP(D900,'Items'!$A$2:$L$201,10,FALSE),""))</f>
        <v/>
      </c>
      <c r="K900" s="10">
        <f>IF(OR(H900="",J900=""),"",H900*J900)</f>
        <v/>
      </c>
      <c r="L900" s="5">
        <f>IF(AND(B900="",D900=""),"",IF(B900="","Missing product",IF(D900="","Missing item",IF(C900="Product not found","Product not found",IF(E900="Item not found","Item not found",IF(OR(F900="",G900=""),"Missing quantity/unit",IF(IFERROR(VLOOKUP(G900,'Units'!$A$2:$D$13,3,FALSE),"")&lt;&gt;I900,"Unit mismatch",IF(J900="","Enter item cost","OK"))))))))</f>
        <v/>
      </c>
      <c r="M900" s="4" t="n"/>
    </row>
    <row r="901">
      <c r="A901" s="5">
        <f>IF(AND(B901="",D901=""),"",ROW()-1)</f>
        <v/>
      </c>
      <c r="B901" s="4" t="n"/>
      <c r="C901" s="5">
        <f>IF(B901="","",IFERROR(VLOOKUP(B901,'Products'!$A$2:$F$201,2,FALSE),"Product not found"))</f>
        <v/>
      </c>
      <c r="D901" s="4" t="n"/>
      <c r="E901" s="5">
        <f>IF(D901="","",IFERROR(VLOOKUP(D901,'Items'!$A$2:$L$201,2,FALSE),"Item not found"))</f>
        <v/>
      </c>
      <c r="F901" s="9" t="n"/>
      <c r="G901" s="4" t="n"/>
      <c r="H901" s="10">
        <f>IF(OR(F901="",G901=""),"",IFERROR(F901*VLOOKUP(G901,'Units'!$A$2:$D$13,4,FALSE),""))</f>
        <v/>
      </c>
      <c r="I901" s="5">
        <f>IF(D901="","",IFERROR(VLOOKUP(D901,'Items'!$A$2:$L$201,4,FALSE),""))</f>
        <v/>
      </c>
      <c r="J901" s="10">
        <f>IF(D901="","",IFERROR(VLOOKUP(D901,'Items'!$A$2:$L$201,10,FALSE),""))</f>
        <v/>
      </c>
      <c r="K901" s="10">
        <f>IF(OR(H901="",J901=""),"",H901*J901)</f>
        <v/>
      </c>
      <c r="L901" s="5">
        <f>IF(AND(B901="",D901=""),"",IF(B901="","Missing product",IF(D901="","Missing item",IF(C901="Product not found","Product not found",IF(E901="Item not found","Item not found",IF(OR(F901="",G901=""),"Missing quantity/unit",IF(IFERROR(VLOOKUP(G901,'Units'!$A$2:$D$13,3,FALSE),"")&lt;&gt;I901,"Unit mismatch",IF(J901="","Enter item cost","OK"))))))))</f>
        <v/>
      </c>
      <c r="M901" s="4" t="n"/>
    </row>
    <row r="902">
      <c r="A902" s="5">
        <f>IF(AND(B902="",D902=""),"",ROW()-1)</f>
        <v/>
      </c>
      <c r="B902" s="4" t="n"/>
      <c r="C902" s="5">
        <f>IF(B902="","",IFERROR(VLOOKUP(B902,'Products'!$A$2:$F$201,2,FALSE),"Product not found"))</f>
        <v/>
      </c>
      <c r="D902" s="4" t="n"/>
      <c r="E902" s="5">
        <f>IF(D902="","",IFERROR(VLOOKUP(D902,'Items'!$A$2:$L$201,2,FALSE),"Item not found"))</f>
        <v/>
      </c>
      <c r="F902" s="9" t="n"/>
      <c r="G902" s="4" t="n"/>
      <c r="H902" s="10">
        <f>IF(OR(F902="",G902=""),"",IFERROR(F902*VLOOKUP(G902,'Units'!$A$2:$D$13,4,FALSE),""))</f>
        <v/>
      </c>
      <c r="I902" s="5">
        <f>IF(D902="","",IFERROR(VLOOKUP(D902,'Items'!$A$2:$L$201,4,FALSE),""))</f>
        <v/>
      </c>
      <c r="J902" s="10">
        <f>IF(D902="","",IFERROR(VLOOKUP(D902,'Items'!$A$2:$L$201,10,FALSE),""))</f>
        <v/>
      </c>
      <c r="K902" s="10">
        <f>IF(OR(H902="",J902=""),"",H902*J902)</f>
        <v/>
      </c>
      <c r="L902" s="5">
        <f>IF(AND(B902="",D902=""),"",IF(B902="","Missing product",IF(D902="","Missing item",IF(C902="Product not found","Product not found",IF(E902="Item not found","Item not found",IF(OR(F902="",G902=""),"Missing quantity/unit",IF(IFERROR(VLOOKUP(G902,'Units'!$A$2:$D$13,3,FALSE),"")&lt;&gt;I902,"Unit mismatch",IF(J902="","Enter item cost","OK"))))))))</f>
        <v/>
      </c>
      <c r="M902" s="4" t="n"/>
    </row>
    <row r="903">
      <c r="A903" s="5">
        <f>IF(AND(B903="",D903=""),"",ROW()-1)</f>
        <v/>
      </c>
      <c r="B903" s="4" t="n"/>
      <c r="C903" s="5">
        <f>IF(B903="","",IFERROR(VLOOKUP(B903,'Products'!$A$2:$F$201,2,FALSE),"Product not found"))</f>
        <v/>
      </c>
      <c r="D903" s="4" t="n"/>
      <c r="E903" s="5">
        <f>IF(D903="","",IFERROR(VLOOKUP(D903,'Items'!$A$2:$L$201,2,FALSE),"Item not found"))</f>
        <v/>
      </c>
      <c r="F903" s="9" t="n"/>
      <c r="G903" s="4" t="n"/>
      <c r="H903" s="10">
        <f>IF(OR(F903="",G903=""),"",IFERROR(F903*VLOOKUP(G903,'Units'!$A$2:$D$13,4,FALSE),""))</f>
        <v/>
      </c>
      <c r="I903" s="5">
        <f>IF(D903="","",IFERROR(VLOOKUP(D903,'Items'!$A$2:$L$201,4,FALSE),""))</f>
        <v/>
      </c>
      <c r="J903" s="10">
        <f>IF(D903="","",IFERROR(VLOOKUP(D903,'Items'!$A$2:$L$201,10,FALSE),""))</f>
        <v/>
      </c>
      <c r="K903" s="10">
        <f>IF(OR(H903="",J903=""),"",H903*J903)</f>
        <v/>
      </c>
      <c r="L903" s="5">
        <f>IF(AND(B903="",D903=""),"",IF(B903="","Missing product",IF(D903="","Missing item",IF(C903="Product not found","Product not found",IF(E903="Item not found","Item not found",IF(OR(F903="",G903=""),"Missing quantity/unit",IF(IFERROR(VLOOKUP(G903,'Units'!$A$2:$D$13,3,FALSE),"")&lt;&gt;I903,"Unit mismatch",IF(J903="","Enter item cost","OK"))))))))</f>
        <v/>
      </c>
      <c r="M903" s="4" t="n"/>
    </row>
    <row r="904">
      <c r="A904" s="5">
        <f>IF(AND(B904="",D904=""),"",ROW()-1)</f>
        <v/>
      </c>
      <c r="B904" s="4" t="n"/>
      <c r="C904" s="5">
        <f>IF(B904="","",IFERROR(VLOOKUP(B904,'Products'!$A$2:$F$201,2,FALSE),"Product not found"))</f>
        <v/>
      </c>
      <c r="D904" s="4" t="n"/>
      <c r="E904" s="5">
        <f>IF(D904="","",IFERROR(VLOOKUP(D904,'Items'!$A$2:$L$201,2,FALSE),"Item not found"))</f>
        <v/>
      </c>
      <c r="F904" s="9" t="n"/>
      <c r="G904" s="4" t="n"/>
      <c r="H904" s="10">
        <f>IF(OR(F904="",G904=""),"",IFERROR(F904*VLOOKUP(G904,'Units'!$A$2:$D$13,4,FALSE),""))</f>
        <v/>
      </c>
      <c r="I904" s="5">
        <f>IF(D904="","",IFERROR(VLOOKUP(D904,'Items'!$A$2:$L$201,4,FALSE),""))</f>
        <v/>
      </c>
      <c r="J904" s="10">
        <f>IF(D904="","",IFERROR(VLOOKUP(D904,'Items'!$A$2:$L$201,10,FALSE),""))</f>
        <v/>
      </c>
      <c r="K904" s="10">
        <f>IF(OR(H904="",J904=""),"",H904*J904)</f>
        <v/>
      </c>
      <c r="L904" s="5">
        <f>IF(AND(B904="",D904=""),"",IF(B904="","Missing product",IF(D904="","Missing item",IF(C904="Product not found","Product not found",IF(E904="Item not found","Item not found",IF(OR(F904="",G904=""),"Missing quantity/unit",IF(IFERROR(VLOOKUP(G904,'Units'!$A$2:$D$13,3,FALSE),"")&lt;&gt;I904,"Unit mismatch",IF(J904="","Enter item cost","OK"))))))))</f>
        <v/>
      </c>
      <c r="M904" s="4" t="n"/>
    </row>
    <row r="905">
      <c r="A905" s="5">
        <f>IF(AND(B905="",D905=""),"",ROW()-1)</f>
        <v/>
      </c>
      <c r="B905" s="4" t="n"/>
      <c r="C905" s="5">
        <f>IF(B905="","",IFERROR(VLOOKUP(B905,'Products'!$A$2:$F$201,2,FALSE),"Product not found"))</f>
        <v/>
      </c>
      <c r="D905" s="4" t="n"/>
      <c r="E905" s="5">
        <f>IF(D905="","",IFERROR(VLOOKUP(D905,'Items'!$A$2:$L$201,2,FALSE),"Item not found"))</f>
        <v/>
      </c>
      <c r="F905" s="9" t="n"/>
      <c r="G905" s="4" t="n"/>
      <c r="H905" s="10">
        <f>IF(OR(F905="",G905=""),"",IFERROR(F905*VLOOKUP(G905,'Units'!$A$2:$D$13,4,FALSE),""))</f>
        <v/>
      </c>
      <c r="I905" s="5">
        <f>IF(D905="","",IFERROR(VLOOKUP(D905,'Items'!$A$2:$L$201,4,FALSE),""))</f>
        <v/>
      </c>
      <c r="J905" s="10">
        <f>IF(D905="","",IFERROR(VLOOKUP(D905,'Items'!$A$2:$L$201,10,FALSE),""))</f>
        <v/>
      </c>
      <c r="K905" s="10">
        <f>IF(OR(H905="",J905=""),"",H905*J905)</f>
        <v/>
      </c>
      <c r="L905" s="5">
        <f>IF(AND(B905="",D905=""),"",IF(B905="","Missing product",IF(D905="","Missing item",IF(C905="Product not found","Product not found",IF(E905="Item not found","Item not found",IF(OR(F905="",G905=""),"Missing quantity/unit",IF(IFERROR(VLOOKUP(G905,'Units'!$A$2:$D$13,3,FALSE),"")&lt;&gt;I905,"Unit mismatch",IF(J905="","Enter item cost","OK"))))))))</f>
        <v/>
      </c>
      <c r="M905" s="4" t="n"/>
    </row>
    <row r="906">
      <c r="A906" s="5">
        <f>IF(AND(B906="",D906=""),"",ROW()-1)</f>
        <v/>
      </c>
      <c r="B906" s="4" t="n"/>
      <c r="C906" s="5">
        <f>IF(B906="","",IFERROR(VLOOKUP(B906,'Products'!$A$2:$F$201,2,FALSE),"Product not found"))</f>
        <v/>
      </c>
      <c r="D906" s="4" t="n"/>
      <c r="E906" s="5">
        <f>IF(D906="","",IFERROR(VLOOKUP(D906,'Items'!$A$2:$L$201,2,FALSE),"Item not found"))</f>
        <v/>
      </c>
      <c r="F906" s="9" t="n"/>
      <c r="G906" s="4" t="n"/>
      <c r="H906" s="10">
        <f>IF(OR(F906="",G906=""),"",IFERROR(F906*VLOOKUP(G906,'Units'!$A$2:$D$13,4,FALSE),""))</f>
        <v/>
      </c>
      <c r="I906" s="5">
        <f>IF(D906="","",IFERROR(VLOOKUP(D906,'Items'!$A$2:$L$201,4,FALSE),""))</f>
        <v/>
      </c>
      <c r="J906" s="10">
        <f>IF(D906="","",IFERROR(VLOOKUP(D906,'Items'!$A$2:$L$201,10,FALSE),""))</f>
        <v/>
      </c>
      <c r="K906" s="10">
        <f>IF(OR(H906="",J906=""),"",H906*J906)</f>
        <v/>
      </c>
      <c r="L906" s="5">
        <f>IF(AND(B906="",D906=""),"",IF(B906="","Missing product",IF(D906="","Missing item",IF(C906="Product not found","Product not found",IF(E906="Item not found","Item not found",IF(OR(F906="",G906=""),"Missing quantity/unit",IF(IFERROR(VLOOKUP(G906,'Units'!$A$2:$D$13,3,FALSE),"")&lt;&gt;I906,"Unit mismatch",IF(J906="","Enter item cost","OK"))))))))</f>
        <v/>
      </c>
      <c r="M906" s="4" t="n"/>
    </row>
    <row r="907">
      <c r="A907" s="5">
        <f>IF(AND(B907="",D907=""),"",ROW()-1)</f>
        <v/>
      </c>
      <c r="B907" s="4" t="n"/>
      <c r="C907" s="5">
        <f>IF(B907="","",IFERROR(VLOOKUP(B907,'Products'!$A$2:$F$201,2,FALSE),"Product not found"))</f>
        <v/>
      </c>
      <c r="D907" s="4" t="n"/>
      <c r="E907" s="5">
        <f>IF(D907="","",IFERROR(VLOOKUP(D907,'Items'!$A$2:$L$201,2,FALSE),"Item not found"))</f>
        <v/>
      </c>
      <c r="F907" s="9" t="n"/>
      <c r="G907" s="4" t="n"/>
      <c r="H907" s="10">
        <f>IF(OR(F907="",G907=""),"",IFERROR(F907*VLOOKUP(G907,'Units'!$A$2:$D$13,4,FALSE),""))</f>
        <v/>
      </c>
      <c r="I907" s="5">
        <f>IF(D907="","",IFERROR(VLOOKUP(D907,'Items'!$A$2:$L$201,4,FALSE),""))</f>
        <v/>
      </c>
      <c r="J907" s="10">
        <f>IF(D907="","",IFERROR(VLOOKUP(D907,'Items'!$A$2:$L$201,10,FALSE),""))</f>
        <v/>
      </c>
      <c r="K907" s="10">
        <f>IF(OR(H907="",J907=""),"",H907*J907)</f>
        <v/>
      </c>
      <c r="L907" s="5">
        <f>IF(AND(B907="",D907=""),"",IF(B907="","Missing product",IF(D907="","Missing item",IF(C907="Product not found","Product not found",IF(E907="Item not found","Item not found",IF(OR(F907="",G907=""),"Missing quantity/unit",IF(IFERROR(VLOOKUP(G907,'Units'!$A$2:$D$13,3,FALSE),"")&lt;&gt;I907,"Unit mismatch",IF(J907="","Enter item cost","OK"))))))))</f>
        <v/>
      </c>
      <c r="M907" s="4" t="n"/>
    </row>
    <row r="908">
      <c r="A908" s="5">
        <f>IF(AND(B908="",D908=""),"",ROW()-1)</f>
        <v/>
      </c>
      <c r="B908" s="4" t="n"/>
      <c r="C908" s="5">
        <f>IF(B908="","",IFERROR(VLOOKUP(B908,'Products'!$A$2:$F$201,2,FALSE),"Product not found"))</f>
        <v/>
      </c>
      <c r="D908" s="4" t="n"/>
      <c r="E908" s="5">
        <f>IF(D908="","",IFERROR(VLOOKUP(D908,'Items'!$A$2:$L$201,2,FALSE),"Item not found"))</f>
        <v/>
      </c>
      <c r="F908" s="9" t="n"/>
      <c r="G908" s="4" t="n"/>
      <c r="H908" s="10">
        <f>IF(OR(F908="",G908=""),"",IFERROR(F908*VLOOKUP(G908,'Units'!$A$2:$D$13,4,FALSE),""))</f>
        <v/>
      </c>
      <c r="I908" s="5">
        <f>IF(D908="","",IFERROR(VLOOKUP(D908,'Items'!$A$2:$L$201,4,FALSE),""))</f>
        <v/>
      </c>
      <c r="J908" s="10">
        <f>IF(D908="","",IFERROR(VLOOKUP(D908,'Items'!$A$2:$L$201,10,FALSE),""))</f>
        <v/>
      </c>
      <c r="K908" s="10">
        <f>IF(OR(H908="",J908=""),"",H908*J908)</f>
        <v/>
      </c>
      <c r="L908" s="5">
        <f>IF(AND(B908="",D908=""),"",IF(B908="","Missing product",IF(D908="","Missing item",IF(C908="Product not found","Product not found",IF(E908="Item not found","Item not found",IF(OR(F908="",G908=""),"Missing quantity/unit",IF(IFERROR(VLOOKUP(G908,'Units'!$A$2:$D$13,3,FALSE),"")&lt;&gt;I908,"Unit mismatch",IF(J908="","Enter item cost","OK"))))))))</f>
        <v/>
      </c>
      <c r="M908" s="4" t="n"/>
    </row>
    <row r="909">
      <c r="A909" s="5">
        <f>IF(AND(B909="",D909=""),"",ROW()-1)</f>
        <v/>
      </c>
      <c r="B909" s="4" t="n"/>
      <c r="C909" s="5">
        <f>IF(B909="","",IFERROR(VLOOKUP(B909,'Products'!$A$2:$F$201,2,FALSE),"Product not found"))</f>
        <v/>
      </c>
      <c r="D909" s="4" t="n"/>
      <c r="E909" s="5">
        <f>IF(D909="","",IFERROR(VLOOKUP(D909,'Items'!$A$2:$L$201,2,FALSE),"Item not found"))</f>
        <v/>
      </c>
      <c r="F909" s="9" t="n"/>
      <c r="G909" s="4" t="n"/>
      <c r="H909" s="10">
        <f>IF(OR(F909="",G909=""),"",IFERROR(F909*VLOOKUP(G909,'Units'!$A$2:$D$13,4,FALSE),""))</f>
        <v/>
      </c>
      <c r="I909" s="5">
        <f>IF(D909="","",IFERROR(VLOOKUP(D909,'Items'!$A$2:$L$201,4,FALSE),""))</f>
        <v/>
      </c>
      <c r="J909" s="10">
        <f>IF(D909="","",IFERROR(VLOOKUP(D909,'Items'!$A$2:$L$201,10,FALSE),""))</f>
        <v/>
      </c>
      <c r="K909" s="10">
        <f>IF(OR(H909="",J909=""),"",H909*J909)</f>
        <v/>
      </c>
      <c r="L909" s="5">
        <f>IF(AND(B909="",D909=""),"",IF(B909="","Missing product",IF(D909="","Missing item",IF(C909="Product not found","Product not found",IF(E909="Item not found","Item not found",IF(OR(F909="",G909=""),"Missing quantity/unit",IF(IFERROR(VLOOKUP(G909,'Units'!$A$2:$D$13,3,FALSE),"")&lt;&gt;I909,"Unit mismatch",IF(J909="","Enter item cost","OK"))))))))</f>
        <v/>
      </c>
      <c r="M909" s="4" t="n"/>
    </row>
    <row r="910">
      <c r="A910" s="5">
        <f>IF(AND(B910="",D910=""),"",ROW()-1)</f>
        <v/>
      </c>
      <c r="B910" s="4" t="n"/>
      <c r="C910" s="5">
        <f>IF(B910="","",IFERROR(VLOOKUP(B910,'Products'!$A$2:$F$201,2,FALSE),"Product not found"))</f>
        <v/>
      </c>
      <c r="D910" s="4" t="n"/>
      <c r="E910" s="5">
        <f>IF(D910="","",IFERROR(VLOOKUP(D910,'Items'!$A$2:$L$201,2,FALSE),"Item not found"))</f>
        <v/>
      </c>
      <c r="F910" s="9" t="n"/>
      <c r="G910" s="4" t="n"/>
      <c r="H910" s="10">
        <f>IF(OR(F910="",G910=""),"",IFERROR(F910*VLOOKUP(G910,'Units'!$A$2:$D$13,4,FALSE),""))</f>
        <v/>
      </c>
      <c r="I910" s="5">
        <f>IF(D910="","",IFERROR(VLOOKUP(D910,'Items'!$A$2:$L$201,4,FALSE),""))</f>
        <v/>
      </c>
      <c r="J910" s="10">
        <f>IF(D910="","",IFERROR(VLOOKUP(D910,'Items'!$A$2:$L$201,10,FALSE),""))</f>
        <v/>
      </c>
      <c r="K910" s="10">
        <f>IF(OR(H910="",J910=""),"",H910*J910)</f>
        <v/>
      </c>
      <c r="L910" s="5">
        <f>IF(AND(B910="",D910=""),"",IF(B910="","Missing product",IF(D910="","Missing item",IF(C910="Product not found","Product not found",IF(E910="Item not found","Item not found",IF(OR(F910="",G910=""),"Missing quantity/unit",IF(IFERROR(VLOOKUP(G910,'Units'!$A$2:$D$13,3,FALSE),"")&lt;&gt;I910,"Unit mismatch",IF(J910="","Enter item cost","OK"))))))))</f>
        <v/>
      </c>
      <c r="M910" s="4" t="n"/>
    </row>
    <row r="911">
      <c r="A911" s="5">
        <f>IF(AND(B911="",D911=""),"",ROW()-1)</f>
        <v/>
      </c>
      <c r="B911" s="4" t="n"/>
      <c r="C911" s="5">
        <f>IF(B911="","",IFERROR(VLOOKUP(B911,'Products'!$A$2:$F$201,2,FALSE),"Product not found"))</f>
        <v/>
      </c>
      <c r="D911" s="4" t="n"/>
      <c r="E911" s="5">
        <f>IF(D911="","",IFERROR(VLOOKUP(D911,'Items'!$A$2:$L$201,2,FALSE),"Item not found"))</f>
        <v/>
      </c>
      <c r="F911" s="9" t="n"/>
      <c r="G911" s="4" t="n"/>
      <c r="H911" s="10">
        <f>IF(OR(F911="",G911=""),"",IFERROR(F911*VLOOKUP(G911,'Units'!$A$2:$D$13,4,FALSE),""))</f>
        <v/>
      </c>
      <c r="I911" s="5">
        <f>IF(D911="","",IFERROR(VLOOKUP(D911,'Items'!$A$2:$L$201,4,FALSE),""))</f>
        <v/>
      </c>
      <c r="J911" s="10">
        <f>IF(D911="","",IFERROR(VLOOKUP(D911,'Items'!$A$2:$L$201,10,FALSE),""))</f>
        <v/>
      </c>
      <c r="K911" s="10">
        <f>IF(OR(H911="",J911=""),"",H911*J911)</f>
        <v/>
      </c>
      <c r="L911" s="5">
        <f>IF(AND(B911="",D911=""),"",IF(B911="","Missing product",IF(D911="","Missing item",IF(C911="Product not found","Product not found",IF(E911="Item not found","Item not found",IF(OR(F911="",G911=""),"Missing quantity/unit",IF(IFERROR(VLOOKUP(G911,'Units'!$A$2:$D$13,3,FALSE),"")&lt;&gt;I911,"Unit mismatch",IF(J911="","Enter item cost","OK"))))))))</f>
        <v/>
      </c>
      <c r="M911" s="4" t="n"/>
    </row>
    <row r="912">
      <c r="A912" s="5">
        <f>IF(AND(B912="",D912=""),"",ROW()-1)</f>
        <v/>
      </c>
      <c r="B912" s="4" t="n"/>
      <c r="C912" s="5">
        <f>IF(B912="","",IFERROR(VLOOKUP(B912,'Products'!$A$2:$F$201,2,FALSE),"Product not found"))</f>
        <v/>
      </c>
      <c r="D912" s="4" t="n"/>
      <c r="E912" s="5">
        <f>IF(D912="","",IFERROR(VLOOKUP(D912,'Items'!$A$2:$L$201,2,FALSE),"Item not found"))</f>
        <v/>
      </c>
      <c r="F912" s="9" t="n"/>
      <c r="G912" s="4" t="n"/>
      <c r="H912" s="10">
        <f>IF(OR(F912="",G912=""),"",IFERROR(F912*VLOOKUP(G912,'Units'!$A$2:$D$13,4,FALSE),""))</f>
        <v/>
      </c>
      <c r="I912" s="5">
        <f>IF(D912="","",IFERROR(VLOOKUP(D912,'Items'!$A$2:$L$201,4,FALSE),""))</f>
        <v/>
      </c>
      <c r="J912" s="10">
        <f>IF(D912="","",IFERROR(VLOOKUP(D912,'Items'!$A$2:$L$201,10,FALSE),""))</f>
        <v/>
      </c>
      <c r="K912" s="10">
        <f>IF(OR(H912="",J912=""),"",H912*J912)</f>
        <v/>
      </c>
      <c r="L912" s="5">
        <f>IF(AND(B912="",D912=""),"",IF(B912="","Missing product",IF(D912="","Missing item",IF(C912="Product not found","Product not found",IF(E912="Item not found","Item not found",IF(OR(F912="",G912=""),"Missing quantity/unit",IF(IFERROR(VLOOKUP(G912,'Units'!$A$2:$D$13,3,FALSE),"")&lt;&gt;I912,"Unit mismatch",IF(J912="","Enter item cost","OK"))))))))</f>
        <v/>
      </c>
      <c r="M912" s="4" t="n"/>
    </row>
    <row r="913">
      <c r="A913" s="5">
        <f>IF(AND(B913="",D913=""),"",ROW()-1)</f>
        <v/>
      </c>
      <c r="B913" s="4" t="n"/>
      <c r="C913" s="5">
        <f>IF(B913="","",IFERROR(VLOOKUP(B913,'Products'!$A$2:$F$201,2,FALSE),"Product not found"))</f>
        <v/>
      </c>
      <c r="D913" s="4" t="n"/>
      <c r="E913" s="5">
        <f>IF(D913="","",IFERROR(VLOOKUP(D913,'Items'!$A$2:$L$201,2,FALSE),"Item not found"))</f>
        <v/>
      </c>
      <c r="F913" s="9" t="n"/>
      <c r="G913" s="4" t="n"/>
      <c r="H913" s="10">
        <f>IF(OR(F913="",G913=""),"",IFERROR(F913*VLOOKUP(G913,'Units'!$A$2:$D$13,4,FALSE),""))</f>
        <v/>
      </c>
      <c r="I913" s="5">
        <f>IF(D913="","",IFERROR(VLOOKUP(D913,'Items'!$A$2:$L$201,4,FALSE),""))</f>
        <v/>
      </c>
      <c r="J913" s="10">
        <f>IF(D913="","",IFERROR(VLOOKUP(D913,'Items'!$A$2:$L$201,10,FALSE),""))</f>
        <v/>
      </c>
      <c r="K913" s="10">
        <f>IF(OR(H913="",J913=""),"",H913*J913)</f>
        <v/>
      </c>
      <c r="L913" s="5">
        <f>IF(AND(B913="",D913=""),"",IF(B913="","Missing product",IF(D913="","Missing item",IF(C913="Product not found","Product not found",IF(E913="Item not found","Item not found",IF(OR(F913="",G913=""),"Missing quantity/unit",IF(IFERROR(VLOOKUP(G913,'Units'!$A$2:$D$13,3,FALSE),"")&lt;&gt;I913,"Unit mismatch",IF(J913="","Enter item cost","OK"))))))))</f>
        <v/>
      </c>
      <c r="M913" s="4" t="n"/>
    </row>
    <row r="914">
      <c r="A914" s="5">
        <f>IF(AND(B914="",D914=""),"",ROW()-1)</f>
        <v/>
      </c>
      <c r="B914" s="4" t="n"/>
      <c r="C914" s="5">
        <f>IF(B914="","",IFERROR(VLOOKUP(B914,'Products'!$A$2:$F$201,2,FALSE),"Product not found"))</f>
        <v/>
      </c>
      <c r="D914" s="4" t="n"/>
      <c r="E914" s="5">
        <f>IF(D914="","",IFERROR(VLOOKUP(D914,'Items'!$A$2:$L$201,2,FALSE),"Item not found"))</f>
        <v/>
      </c>
      <c r="F914" s="9" t="n"/>
      <c r="G914" s="4" t="n"/>
      <c r="H914" s="10">
        <f>IF(OR(F914="",G914=""),"",IFERROR(F914*VLOOKUP(G914,'Units'!$A$2:$D$13,4,FALSE),""))</f>
        <v/>
      </c>
      <c r="I914" s="5">
        <f>IF(D914="","",IFERROR(VLOOKUP(D914,'Items'!$A$2:$L$201,4,FALSE),""))</f>
        <v/>
      </c>
      <c r="J914" s="10">
        <f>IF(D914="","",IFERROR(VLOOKUP(D914,'Items'!$A$2:$L$201,10,FALSE),""))</f>
        <v/>
      </c>
      <c r="K914" s="10">
        <f>IF(OR(H914="",J914=""),"",H914*J914)</f>
        <v/>
      </c>
      <c r="L914" s="5">
        <f>IF(AND(B914="",D914=""),"",IF(B914="","Missing product",IF(D914="","Missing item",IF(C914="Product not found","Product not found",IF(E914="Item not found","Item not found",IF(OR(F914="",G914=""),"Missing quantity/unit",IF(IFERROR(VLOOKUP(G914,'Units'!$A$2:$D$13,3,FALSE),"")&lt;&gt;I914,"Unit mismatch",IF(J914="","Enter item cost","OK"))))))))</f>
        <v/>
      </c>
      <c r="M914" s="4" t="n"/>
    </row>
    <row r="915">
      <c r="A915" s="5">
        <f>IF(AND(B915="",D915=""),"",ROW()-1)</f>
        <v/>
      </c>
      <c r="B915" s="4" t="n"/>
      <c r="C915" s="5">
        <f>IF(B915="","",IFERROR(VLOOKUP(B915,'Products'!$A$2:$F$201,2,FALSE),"Product not found"))</f>
        <v/>
      </c>
      <c r="D915" s="4" t="n"/>
      <c r="E915" s="5">
        <f>IF(D915="","",IFERROR(VLOOKUP(D915,'Items'!$A$2:$L$201,2,FALSE),"Item not found"))</f>
        <v/>
      </c>
      <c r="F915" s="9" t="n"/>
      <c r="G915" s="4" t="n"/>
      <c r="H915" s="10">
        <f>IF(OR(F915="",G915=""),"",IFERROR(F915*VLOOKUP(G915,'Units'!$A$2:$D$13,4,FALSE),""))</f>
        <v/>
      </c>
      <c r="I915" s="5">
        <f>IF(D915="","",IFERROR(VLOOKUP(D915,'Items'!$A$2:$L$201,4,FALSE),""))</f>
        <v/>
      </c>
      <c r="J915" s="10">
        <f>IF(D915="","",IFERROR(VLOOKUP(D915,'Items'!$A$2:$L$201,10,FALSE),""))</f>
        <v/>
      </c>
      <c r="K915" s="10">
        <f>IF(OR(H915="",J915=""),"",H915*J915)</f>
        <v/>
      </c>
      <c r="L915" s="5">
        <f>IF(AND(B915="",D915=""),"",IF(B915="","Missing product",IF(D915="","Missing item",IF(C915="Product not found","Product not found",IF(E915="Item not found","Item not found",IF(OR(F915="",G915=""),"Missing quantity/unit",IF(IFERROR(VLOOKUP(G915,'Units'!$A$2:$D$13,3,FALSE),"")&lt;&gt;I915,"Unit mismatch",IF(J915="","Enter item cost","OK"))))))))</f>
        <v/>
      </c>
      <c r="M915" s="4" t="n"/>
    </row>
    <row r="916">
      <c r="A916" s="5">
        <f>IF(AND(B916="",D916=""),"",ROW()-1)</f>
        <v/>
      </c>
      <c r="B916" s="4" t="n"/>
      <c r="C916" s="5">
        <f>IF(B916="","",IFERROR(VLOOKUP(B916,'Products'!$A$2:$F$201,2,FALSE),"Product not found"))</f>
        <v/>
      </c>
      <c r="D916" s="4" t="n"/>
      <c r="E916" s="5">
        <f>IF(D916="","",IFERROR(VLOOKUP(D916,'Items'!$A$2:$L$201,2,FALSE),"Item not found"))</f>
        <v/>
      </c>
      <c r="F916" s="9" t="n"/>
      <c r="G916" s="4" t="n"/>
      <c r="H916" s="10">
        <f>IF(OR(F916="",G916=""),"",IFERROR(F916*VLOOKUP(G916,'Units'!$A$2:$D$13,4,FALSE),""))</f>
        <v/>
      </c>
      <c r="I916" s="5">
        <f>IF(D916="","",IFERROR(VLOOKUP(D916,'Items'!$A$2:$L$201,4,FALSE),""))</f>
        <v/>
      </c>
      <c r="J916" s="10">
        <f>IF(D916="","",IFERROR(VLOOKUP(D916,'Items'!$A$2:$L$201,10,FALSE),""))</f>
        <v/>
      </c>
      <c r="K916" s="10">
        <f>IF(OR(H916="",J916=""),"",H916*J916)</f>
        <v/>
      </c>
      <c r="L916" s="5">
        <f>IF(AND(B916="",D916=""),"",IF(B916="","Missing product",IF(D916="","Missing item",IF(C916="Product not found","Product not found",IF(E916="Item not found","Item not found",IF(OR(F916="",G916=""),"Missing quantity/unit",IF(IFERROR(VLOOKUP(G916,'Units'!$A$2:$D$13,3,FALSE),"")&lt;&gt;I916,"Unit mismatch",IF(J916="","Enter item cost","OK"))))))))</f>
        <v/>
      </c>
      <c r="M916" s="4" t="n"/>
    </row>
    <row r="917">
      <c r="A917" s="5">
        <f>IF(AND(B917="",D917=""),"",ROW()-1)</f>
        <v/>
      </c>
      <c r="B917" s="4" t="n"/>
      <c r="C917" s="5">
        <f>IF(B917="","",IFERROR(VLOOKUP(B917,'Products'!$A$2:$F$201,2,FALSE),"Product not found"))</f>
        <v/>
      </c>
      <c r="D917" s="4" t="n"/>
      <c r="E917" s="5">
        <f>IF(D917="","",IFERROR(VLOOKUP(D917,'Items'!$A$2:$L$201,2,FALSE),"Item not found"))</f>
        <v/>
      </c>
      <c r="F917" s="9" t="n"/>
      <c r="G917" s="4" t="n"/>
      <c r="H917" s="10">
        <f>IF(OR(F917="",G917=""),"",IFERROR(F917*VLOOKUP(G917,'Units'!$A$2:$D$13,4,FALSE),""))</f>
        <v/>
      </c>
      <c r="I917" s="5">
        <f>IF(D917="","",IFERROR(VLOOKUP(D917,'Items'!$A$2:$L$201,4,FALSE),""))</f>
        <v/>
      </c>
      <c r="J917" s="10">
        <f>IF(D917="","",IFERROR(VLOOKUP(D917,'Items'!$A$2:$L$201,10,FALSE),""))</f>
        <v/>
      </c>
      <c r="K917" s="10">
        <f>IF(OR(H917="",J917=""),"",H917*J917)</f>
        <v/>
      </c>
      <c r="L917" s="5">
        <f>IF(AND(B917="",D917=""),"",IF(B917="","Missing product",IF(D917="","Missing item",IF(C917="Product not found","Product not found",IF(E917="Item not found","Item not found",IF(OR(F917="",G917=""),"Missing quantity/unit",IF(IFERROR(VLOOKUP(G917,'Units'!$A$2:$D$13,3,FALSE),"")&lt;&gt;I917,"Unit mismatch",IF(J917="","Enter item cost","OK"))))))))</f>
        <v/>
      </c>
      <c r="M917" s="4" t="n"/>
    </row>
    <row r="918">
      <c r="A918" s="5">
        <f>IF(AND(B918="",D918=""),"",ROW()-1)</f>
        <v/>
      </c>
      <c r="B918" s="4" t="n"/>
      <c r="C918" s="5">
        <f>IF(B918="","",IFERROR(VLOOKUP(B918,'Products'!$A$2:$F$201,2,FALSE),"Product not found"))</f>
        <v/>
      </c>
      <c r="D918" s="4" t="n"/>
      <c r="E918" s="5">
        <f>IF(D918="","",IFERROR(VLOOKUP(D918,'Items'!$A$2:$L$201,2,FALSE),"Item not found"))</f>
        <v/>
      </c>
      <c r="F918" s="9" t="n"/>
      <c r="G918" s="4" t="n"/>
      <c r="H918" s="10">
        <f>IF(OR(F918="",G918=""),"",IFERROR(F918*VLOOKUP(G918,'Units'!$A$2:$D$13,4,FALSE),""))</f>
        <v/>
      </c>
      <c r="I918" s="5">
        <f>IF(D918="","",IFERROR(VLOOKUP(D918,'Items'!$A$2:$L$201,4,FALSE),""))</f>
        <v/>
      </c>
      <c r="J918" s="10">
        <f>IF(D918="","",IFERROR(VLOOKUP(D918,'Items'!$A$2:$L$201,10,FALSE),""))</f>
        <v/>
      </c>
      <c r="K918" s="10">
        <f>IF(OR(H918="",J918=""),"",H918*J918)</f>
        <v/>
      </c>
      <c r="L918" s="5">
        <f>IF(AND(B918="",D918=""),"",IF(B918="","Missing product",IF(D918="","Missing item",IF(C918="Product not found","Product not found",IF(E918="Item not found","Item not found",IF(OR(F918="",G918=""),"Missing quantity/unit",IF(IFERROR(VLOOKUP(G918,'Units'!$A$2:$D$13,3,FALSE),"")&lt;&gt;I918,"Unit mismatch",IF(J918="","Enter item cost","OK"))))))))</f>
        <v/>
      </c>
      <c r="M918" s="4" t="n"/>
    </row>
    <row r="919">
      <c r="A919" s="5">
        <f>IF(AND(B919="",D919=""),"",ROW()-1)</f>
        <v/>
      </c>
      <c r="B919" s="4" t="n"/>
      <c r="C919" s="5">
        <f>IF(B919="","",IFERROR(VLOOKUP(B919,'Products'!$A$2:$F$201,2,FALSE),"Product not found"))</f>
        <v/>
      </c>
      <c r="D919" s="4" t="n"/>
      <c r="E919" s="5">
        <f>IF(D919="","",IFERROR(VLOOKUP(D919,'Items'!$A$2:$L$201,2,FALSE),"Item not found"))</f>
        <v/>
      </c>
      <c r="F919" s="9" t="n"/>
      <c r="G919" s="4" t="n"/>
      <c r="H919" s="10">
        <f>IF(OR(F919="",G919=""),"",IFERROR(F919*VLOOKUP(G919,'Units'!$A$2:$D$13,4,FALSE),""))</f>
        <v/>
      </c>
      <c r="I919" s="5">
        <f>IF(D919="","",IFERROR(VLOOKUP(D919,'Items'!$A$2:$L$201,4,FALSE),""))</f>
        <v/>
      </c>
      <c r="J919" s="10">
        <f>IF(D919="","",IFERROR(VLOOKUP(D919,'Items'!$A$2:$L$201,10,FALSE),""))</f>
        <v/>
      </c>
      <c r="K919" s="10">
        <f>IF(OR(H919="",J919=""),"",H919*J919)</f>
        <v/>
      </c>
      <c r="L919" s="5">
        <f>IF(AND(B919="",D919=""),"",IF(B919="","Missing product",IF(D919="","Missing item",IF(C919="Product not found","Product not found",IF(E919="Item not found","Item not found",IF(OR(F919="",G919=""),"Missing quantity/unit",IF(IFERROR(VLOOKUP(G919,'Units'!$A$2:$D$13,3,FALSE),"")&lt;&gt;I919,"Unit mismatch",IF(J919="","Enter item cost","OK"))))))))</f>
        <v/>
      </c>
      <c r="M919" s="4" t="n"/>
    </row>
    <row r="920">
      <c r="A920" s="5">
        <f>IF(AND(B920="",D920=""),"",ROW()-1)</f>
        <v/>
      </c>
      <c r="B920" s="4" t="n"/>
      <c r="C920" s="5">
        <f>IF(B920="","",IFERROR(VLOOKUP(B920,'Products'!$A$2:$F$201,2,FALSE),"Product not found"))</f>
        <v/>
      </c>
      <c r="D920" s="4" t="n"/>
      <c r="E920" s="5">
        <f>IF(D920="","",IFERROR(VLOOKUP(D920,'Items'!$A$2:$L$201,2,FALSE),"Item not found"))</f>
        <v/>
      </c>
      <c r="F920" s="9" t="n"/>
      <c r="G920" s="4" t="n"/>
      <c r="H920" s="10">
        <f>IF(OR(F920="",G920=""),"",IFERROR(F920*VLOOKUP(G920,'Units'!$A$2:$D$13,4,FALSE),""))</f>
        <v/>
      </c>
      <c r="I920" s="5">
        <f>IF(D920="","",IFERROR(VLOOKUP(D920,'Items'!$A$2:$L$201,4,FALSE),""))</f>
        <v/>
      </c>
      <c r="J920" s="10">
        <f>IF(D920="","",IFERROR(VLOOKUP(D920,'Items'!$A$2:$L$201,10,FALSE),""))</f>
        <v/>
      </c>
      <c r="K920" s="10">
        <f>IF(OR(H920="",J920=""),"",H920*J920)</f>
        <v/>
      </c>
      <c r="L920" s="5">
        <f>IF(AND(B920="",D920=""),"",IF(B920="","Missing product",IF(D920="","Missing item",IF(C920="Product not found","Product not found",IF(E920="Item not found","Item not found",IF(OR(F920="",G920=""),"Missing quantity/unit",IF(IFERROR(VLOOKUP(G920,'Units'!$A$2:$D$13,3,FALSE),"")&lt;&gt;I920,"Unit mismatch",IF(J920="","Enter item cost","OK"))))))))</f>
        <v/>
      </c>
      <c r="M920" s="4" t="n"/>
    </row>
    <row r="921">
      <c r="A921" s="5">
        <f>IF(AND(B921="",D921=""),"",ROW()-1)</f>
        <v/>
      </c>
      <c r="B921" s="4" t="n"/>
      <c r="C921" s="5">
        <f>IF(B921="","",IFERROR(VLOOKUP(B921,'Products'!$A$2:$F$201,2,FALSE),"Product not found"))</f>
        <v/>
      </c>
      <c r="D921" s="4" t="n"/>
      <c r="E921" s="5">
        <f>IF(D921="","",IFERROR(VLOOKUP(D921,'Items'!$A$2:$L$201,2,FALSE),"Item not found"))</f>
        <v/>
      </c>
      <c r="F921" s="9" t="n"/>
      <c r="G921" s="4" t="n"/>
      <c r="H921" s="10">
        <f>IF(OR(F921="",G921=""),"",IFERROR(F921*VLOOKUP(G921,'Units'!$A$2:$D$13,4,FALSE),""))</f>
        <v/>
      </c>
      <c r="I921" s="5">
        <f>IF(D921="","",IFERROR(VLOOKUP(D921,'Items'!$A$2:$L$201,4,FALSE),""))</f>
        <v/>
      </c>
      <c r="J921" s="10">
        <f>IF(D921="","",IFERROR(VLOOKUP(D921,'Items'!$A$2:$L$201,10,FALSE),""))</f>
        <v/>
      </c>
      <c r="K921" s="10">
        <f>IF(OR(H921="",J921=""),"",H921*J921)</f>
        <v/>
      </c>
      <c r="L921" s="5">
        <f>IF(AND(B921="",D921=""),"",IF(B921="","Missing product",IF(D921="","Missing item",IF(C921="Product not found","Product not found",IF(E921="Item not found","Item not found",IF(OR(F921="",G921=""),"Missing quantity/unit",IF(IFERROR(VLOOKUP(G921,'Units'!$A$2:$D$13,3,FALSE),"")&lt;&gt;I921,"Unit mismatch",IF(J921="","Enter item cost","OK"))))))))</f>
        <v/>
      </c>
      <c r="M921" s="4" t="n"/>
    </row>
    <row r="922">
      <c r="A922" s="5">
        <f>IF(AND(B922="",D922=""),"",ROW()-1)</f>
        <v/>
      </c>
      <c r="B922" s="4" t="n"/>
      <c r="C922" s="5">
        <f>IF(B922="","",IFERROR(VLOOKUP(B922,'Products'!$A$2:$F$201,2,FALSE),"Product not found"))</f>
        <v/>
      </c>
      <c r="D922" s="4" t="n"/>
      <c r="E922" s="5">
        <f>IF(D922="","",IFERROR(VLOOKUP(D922,'Items'!$A$2:$L$201,2,FALSE),"Item not found"))</f>
        <v/>
      </c>
      <c r="F922" s="9" t="n"/>
      <c r="G922" s="4" t="n"/>
      <c r="H922" s="10">
        <f>IF(OR(F922="",G922=""),"",IFERROR(F922*VLOOKUP(G922,'Units'!$A$2:$D$13,4,FALSE),""))</f>
        <v/>
      </c>
      <c r="I922" s="5">
        <f>IF(D922="","",IFERROR(VLOOKUP(D922,'Items'!$A$2:$L$201,4,FALSE),""))</f>
        <v/>
      </c>
      <c r="J922" s="10">
        <f>IF(D922="","",IFERROR(VLOOKUP(D922,'Items'!$A$2:$L$201,10,FALSE),""))</f>
        <v/>
      </c>
      <c r="K922" s="10">
        <f>IF(OR(H922="",J922=""),"",H922*J922)</f>
        <v/>
      </c>
      <c r="L922" s="5">
        <f>IF(AND(B922="",D922=""),"",IF(B922="","Missing product",IF(D922="","Missing item",IF(C922="Product not found","Product not found",IF(E922="Item not found","Item not found",IF(OR(F922="",G922=""),"Missing quantity/unit",IF(IFERROR(VLOOKUP(G922,'Units'!$A$2:$D$13,3,FALSE),"")&lt;&gt;I922,"Unit mismatch",IF(J922="","Enter item cost","OK"))))))))</f>
        <v/>
      </c>
      <c r="M922" s="4" t="n"/>
    </row>
    <row r="923">
      <c r="A923" s="5">
        <f>IF(AND(B923="",D923=""),"",ROW()-1)</f>
        <v/>
      </c>
      <c r="B923" s="4" t="n"/>
      <c r="C923" s="5">
        <f>IF(B923="","",IFERROR(VLOOKUP(B923,'Products'!$A$2:$F$201,2,FALSE),"Product not found"))</f>
        <v/>
      </c>
      <c r="D923" s="4" t="n"/>
      <c r="E923" s="5">
        <f>IF(D923="","",IFERROR(VLOOKUP(D923,'Items'!$A$2:$L$201,2,FALSE),"Item not found"))</f>
        <v/>
      </c>
      <c r="F923" s="9" t="n"/>
      <c r="G923" s="4" t="n"/>
      <c r="H923" s="10">
        <f>IF(OR(F923="",G923=""),"",IFERROR(F923*VLOOKUP(G923,'Units'!$A$2:$D$13,4,FALSE),""))</f>
        <v/>
      </c>
      <c r="I923" s="5">
        <f>IF(D923="","",IFERROR(VLOOKUP(D923,'Items'!$A$2:$L$201,4,FALSE),""))</f>
        <v/>
      </c>
      <c r="J923" s="10">
        <f>IF(D923="","",IFERROR(VLOOKUP(D923,'Items'!$A$2:$L$201,10,FALSE),""))</f>
        <v/>
      </c>
      <c r="K923" s="10">
        <f>IF(OR(H923="",J923=""),"",H923*J923)</f>
        <v/>
      </c>
      <c r="L923" s="5">
        <f>IF(AND(B923="",D923=""),"",IF(B923="","Missing product",IF(D923="","Missing item",IF(C923="Product not found","Product not found",IF(E923="Item not found","Item not found",IF(OR(F923="",G923=""),"Missing quantity/unit",IF(IFERROR(VLOOKUP(G923,'Units'!$A$2:$D$13,3,FALSE),"")&lt;&gt;I923,"Unit mismatch",IF(J923="","Enter item cost","OK"))))))))</f>
        <v/>
      </c>
      <c r="M923" s="4" t="n"/>
    </row>
    <row r="924">
      <c r="A924" s="5">
        <f>IF(AND(B924="",D924=""),"",ROW()-1)</f>
        <v/>
      </c>
      <c r="B924" s="4" t="n"/>
      <c r="C924" s="5">
        <f>IF(B924="","",IFERROR(VLOOKUP(B924,'Products'!$A$2:$F$201,2,FALSE),"Product not found"))</f>
        <v/>
      </c>
      <c r="D924" s="4" t="n"/>
      <c r="E924" s="5">
        <f>IF(D924="","",IFERROR(VLOOKUP(D924,'Items'!$A$2:$L$201,2,FALSE),"Item not found"))</f>
        <v/>
      </c>
      <c r="F924" s="9" t="n"/>
      <c r="G924" s="4" t="n"/>
      <c r="H924" s="10">
        <f>IF(OR(F924="",G924=""),"",IFERROR(F924*VLOOKUP(G924,'Units'!$A$2:$D$13,4,FALSE),""))</f>
        <v/>
      </c>
      <c r="I924" s="5">
        <f>IF(D924="","",IFERROR(VLOOKUP(D924,'Items'!$A$2:$L$201,4,FALSE),""))</f>
        <v/>
      </c>
      <c r="J924" s="10">
        <f>IF(D924="","",IFERROR(VLOOKUP(D924,'Items'!$A$2:$L$201,10,FALSE),""))</f>
        <v/>
      </c>
      <c r="K924" s="10">
        <f>IF(OR(H924="",J924=""),"",H924*J924)</f>
        <v/>
      </c>
      <c r="L924" s="5">
        <f>IF(AND(B924="",D924=""),"",IF(B924="","Missing product",IF(D924="","Missing item",IF(C924="Product not found","Product not found",IF(E924="Item not found","Item not found",IF(OR(F924="",G924=""),"Missing quantity/unit",IF(IFERROR(VLOOKUP(G924,'Units'!$A$2:$D$13,3,FALSE),"")&lt;&gt;I924,"Unit mismatch",IF(J924="","Enter item cost","OK"))))))))</f>
        <v/>
      </c>
      <c r="M924" s="4" t="n"/>
    </row>
    <row r="925">
      <c r="A925" s="5">
        <f>IF(AND(B925="",D925=""),"",ROW()-1)</f>
        <v/>
      </c>
      <c r="B925" s="4" t="n"/>
      <c r="C925" s="5">
        <f>IF(B925="","",IFERROR(VLOOKUP(B925,'Products'!$A$2:$F$201,2,FALSE),"Product not found"))</f>
        <v/>
      </c>
      <c r="D925" s="4" t="n"/>
      <c r="E925" s="5">
        <f>IF(D925="","",IFERROR(VLOOKUP(D925,'Items'!$A$2:$L$201,2,FALSE),"Item not found"))</f>
        <v/>
      </c>
      <c r="F925" s="9" t="n"/>
      <c r="G925" s="4" t="n"/>
      <c r="H925" s="10">
        <f>IF(OR(F925="",G925=""),"",IFERROR(F925*VLOOKUP(G925,'Units'!$A$2:$D$13,4,FALSE),""))</f>
        <v/>
      </c>
      <c r="I925" s="5">
        <f>IF(D925="","",IFERROR(VLOOKUP(D925,'Items'!$A$2:$L$201,4,FALSE),""))</f>
        <v/>
      </c>
      <c r="J925" s="10">
        <f>IF(D925="","",IFERROR(VLOOKUP(D925,'Items'!$A$2:$L$201,10,FALSE),""))</f>
        <v/>
      </c>
      <c r="K925" s="10">
        <f>IF(OR(H925="",J925=""),"",H925*J925)</f>
        <v/>
      </c>
      <c r="L925" s="5">
        <f>IF(AND(B925="",D925=""),"",IF(B925="","Missing product",IF(D925="","Missing item",IF(C925="Product not found","Product not found",IF(E925="Item not found","Item not found",IF(OR(F925="",G925=""),"Missing quantity/unit",IF(IFERROR(VLOOKUP(G925,'Units'!$A$2:$D$13,3,FALSE),"")&lt;&gt;I925,"Unit mismatch",IF(J925="","Enter item cost","OK"))))))))</f>
        <v/>
      </c>
      <c r="M925" s="4" t="n"/>
    </row>
    <row r="926">
      <c r="A926" s="5">
        <f>IF(AND(B926="",D926=""),"",ROW()-1)</f>
        <v/>
      </c>
      <c r="B926" s="4" t="n"/>
      <c r="C926" s="5">
        <f>IF(B926="","",IFERROR(VLOOKUP(B926,'Products'!$A$2:$F$201,2,FALSE),"Product not found"))</f>
        <v/>
      </c>
      <c r="D926" s="4" t="n"/>
      <c r="E926" s="5">
        <f>IF(D926="","",IFERROR(VLOOKUP(D926,'Items'!$A$2:$L$201,2,FALSE),"Item not found"))</f>
        <v/>
      </c>
      <c r="F926" s="9" t="n"/>
      <c r="G926" s="4" t="n"/>
      <c r="H926" s="10">
        <f>IF(OR(F926="",G926=""),"",IFERROR(F926*VLOOKUP(G926,'Units'!$A$2:$D$13,4,FALSE),""))</f>
        <v/>
      </c>
      <c r="I926" s="5">
        <f>IF(D926="","",IFERROR(VLOOKUP(D926,'Items'!$A$2:$L$201,4,FALSE),""))</f>
        <v/>
      </c>
      <c r="J926" s="10">
        <f>IF(D926="","",IFERROR(VLOOKUP(D926,'Items'!$A$2:$L$201,10,FALSE),""))</f>
        <v/>
      </c>
      <c r="K926" s="10">
        <f>IF(OR(H926="",J926=""),"",H926*J926)</f>
        <v/>
      </c>
      <c r="L926" s="5">
        <f>IF(AND(B926="",D926=""),"",IF(B926="","Missing product",IF(D926="","Missing item",IF(C926="Product not found","Product not found",IF(E926="Item not found","Item not found",IF(OR(F926="",G926=""),"Missing quantity/unit",IF(IFERROR(VLOOKUP(G926,'Units'!$A$2:$D$13,3,FALSE),"")&lt;&gt;I926,"Unit mismatch",IF(J926="","Enter item cost","OK"))))))))</f>
        <v/>
      </c>
      <c r="M926" s="4" t="n"/>
    </row>
    <row r="927">
      <c r="A927" s="5">
        <f>IF(AND(B927="",D927=""),"",ROW()-1)</f>
        <v/>
      </c>
      <c r="B927" s="4" t="n"/>
      <c r="C927" s="5">
        <f>IF(B927="","",IFERROR(VLOOKUP(B927,'Products'!$A$2:$F$201,2,FALSE),"Product not found"))</f>
        <v/>
      </c>
      <c r="D927" s="4" t="n"/>
      <c r="E927" s="5">
        <f>IF(D927="","",IFERROR(VLOOKUP(D927,'Items'!$A$2:$L$201,2,FALSE),"Item not found"))</f>
        <v/>
      </c>
      <c r="F927" s="9" t="n"/>
      <c r="G927" s="4" t="n"/>
      <c r="H927" s="10">
        <f>IF(OR(F927="",G927=""),"",IFERROR(F927*VLOOKUP(G927,'Units'!$A$2:$D$13,4,FALSE),""))</f>
        <v/>
      </c>
      <c r="I927" s="5">
        <f>IF(D927="","",IFERROR(VLOOKUP(D927,'Items'!$A$2:$L$201,4,FALSE),""))</f>
        <v/>
      </c>
      <c r="J927" s="10">
        <f>IF(D927="","",IFERROR(VLOOKUP(D927,'Items'!$A$2:$L$201,10,FALSE),""))</f>
        <v/>
      </c>
      <c r="K927" s="10">
        <f>IF(OR(H927="",J927=""),"",H927*J927)</f>
        <v/>
      </c>
      <c r="L927" s="5">
        <f>IF(AND(B927="",D927=""),"",IF(B927="","Missing product",IF(D927="","Missing item",IF(C927="Product not found","Product not found",IF(E927="Item not found","Item not found",IF(OR(F927="",G927=""),"Missing quantity/unit",IF(IFERROR(VLOOKUP(G927,'Units'!$A$2:$D$13,3,FALSE),"")&lt;&gt;I927,"Unit mismatch",IF(J927="","Enter item cost","OK"))))))))</f>
        <v/>
      </c>
      <c r="M927" s="4" t="n"/>
    </row>
    <row r="928">
      <c r="A928" s="5">
        <f>IF(AND(B928="",D928=""),"",ROW()-1)</f>
        <v/>
      </c>
      <c r="B928" s="4" t="n"/>
      <c r="C928" s="5">
        <f>IF(B928="","",IFERROR(VLOOKUP(B928,'Products'!$A$2:$F$201,2,FALSE),"Product not found"))</f>
        <v/>
      </c>
      <c r="D928" s="4" t="n"/>
      <c r="E928" s="5">
        <f>IF(D928="","",IFERROR(VLOOKUP(D928,'Items'!$A$2:$L$201,2,FALSE),"Item not found"))</f>
        <v/>
      </c>
      <c r="F928" s="9" t="n"/>
      <c r="G928" s="4" t="n"/>
      <c r="H928" s="10">
        <f>IF(OR(F928="",G928=""),"",IFERROR(F928*VLOOKUP(G928,'Units'!$A$2:$D$13,4,FALSE),""))</f>
        <v/>
      </c>
      <c r="I928" s="5">
        <f>IF(D928="","",IFERROR(VLOOKUP(D928,'Items'!$A$2:$L$201,4,FALSE),""))</f>
        <v/>
      </c>
      <c r="J928" s="10">
        <f>IF(D928="","",IFERROR(VLOOKUP(D928,'Items'!$A$2:$L$201,10,FALSE),""))</f>
        <v/>
      </c>
      <c r="K928" s="10">
        <f>IF(OR(H928="",J928=""),"",H928*J928)</f>
        <v/>
      </c>
      <c r="L928" s="5">
        <f>IF(AND(B928="",D928=""),"",IF(B928="","Missing product",IF(D928="","Missing item",IF(C928="Product not found","Product not found",IF(E928="Item not found","Item not found",IF(OR(F928="",G928=""),"Missing quantity/unit",IF(IFERROR(VLOOKUP(G928,'Units'!$A$2:$D$13,3,FALSE),"")&lt;&gt;I928,"Unit mismatch",IF(J928="","Enter item cost","OK"))))))))</f>
        <v/>
      </c>
      <c r="M928" s="4" t="n"/>
    </row>
    <row r="929">
      <c r="A929" s="5">
        <f>IF(AND(B929="",D929=""),"",ROW()-1)</f>
        <v/>
      </c>
      <c r="B929" s="4" t="n"/>
      <c r="C929" s="5">
        <f>IF(B929="","",IFERROR(VLOOKUP(B929,'Products'!$A$2:$F$201,2,FALSE),"Product not found"))</f>
        <v/>
      </c>
      <c r="D929" s="4" t="n"/>
      <c r="E929" s="5">
        <f>IF(D929="","",IFERROR(VLOOKUP(D929,'Items'!$A$2:$L$201,2,FALSE),"Item not found"))</f>
        <v/>
      </c>
      <c r="F929" s="9" t="n"/>
      <c r="G929" s="4" t="n"/>
      <c r="H929" s="10">
        <f>IF(OR(F929="",G929=""),"",IFERROR(F929*VLOOKUP(G929,'Units'!$A$2:$D$13,4,FALSE),""))</f>
        <v/>
      </c>
      <c r="I929" s="5">
        <f>IF(D929="","",IFERROR(VLOOKUP(D929,'Items'!$A$2:$L$201,4,FALSE),""))</f>
        <v/>
      </c>
      <c r="J929" s="10">
        <f>IF(D929="","",IFERROR(VLOOKUP(D929,'Items'!$A$2:$L$201,10,FALSE),""))</f>
        <v/>
      </c>
      <c r="K929" s="10">
        <f>IF(OR(H929="",J929=""),"",H929*J929)</f>
        <v/>
      </c>
      <c r="L929" s="5">
        <f>IF(AND(B929="",D929=""),"",IF(B929="","Missing product",IF(D929="","Missing item",IF(C929="Product not found","Product not found",IF(E929="Item not found","Item not found",IF(OR(F929="",G929=""),"Missing quantity/unit",IF(IFERROR(VLOOKUP(G929,'Units'!$A$2:$D$13,3,FALSE),"")&lt;&gt;I929,"Unit mismatch",IF(J929="","Enter item cost","OK"))))))))</f>
        <v/>
      </c>
      <c r="M929" s="4" t="n"/>
    </row>
    <row r="930">
      <c r="A930" s="5">
        <f>IF(AND(B930="",D930=""),"",ROW()-1)</f>
        <v/>
      </c>
      <c r="B930" s="4" t="n"/>
      <c r="C930" s="5">
        <f>IF(B930="","",IFERROR(VLOOKUP(B930,'Products'!$A$2:$F$201,2,FALSE),"Product not found"))</f>
        <v/>
      </c>
      <c r="D930" s="4" t="n"/>
      <c r="E930" s="5">
        <f>IF(D930="","",IFERROR(VLOOKUP(D930,'Items'!$A$2:$L$201,2,FALSE),"Item not found"))</f>
        <v/>
      </c>
      <c r="F930" s="9" t="n"/>
      <c r="G930" s="4" t="n"/>
      <c r="H930" s="10">
        <f>IF(OR(F930="",G930=""),"",IFERROR(F930*VLOOKUP(G930,'Units'!$A$2:$D$13,4,FALSE),""))</f>
        <v/>
      </c>
      <c r="I930" s="5">
        <f>IF(D930="","",IFERROR(VLOOKUP(D930,'Items'!$A$2:$L$201,4,FALSE),""))</f>
        <v/>
      </c>
      <c r="J930" s="10">
        <f>IF(D930="","",IFERROR(VLOOKUP(D930,'Items'!$A$2:$L$201,10,FALSE),""))</f>
        <v/>
      </c>
      <c r="K930" s="10">
        <f>IF(OR(H930="",J930=""),"",H930*J930)</f>
        <v/>
      </c>
      <c r="L930" s="5">
        <f>IF(AND(B930="",D930=""),"",IF(B930="","Missing product",IF(D930="","Missing item",IF(C930="Product not found","Product not found",IF(E930="Item not found","Item not found",IF(OR(F930="",G930=""),"Missing quantity/unit",IF(IFERROR(VLOOKUP(G930,'Units'!$A$2:$D$13,3,FALSE),"")&lt;&gt;I930,"Unit mismatch",IF(J930="","Enter item cost","OK"))))))))</f>
        <v/>
      </c>
      <c r="M930" s="4" t="n"/>
    </row>
    <row r="931">
      <c r="A931" s="5">
        <f>IF(AND(B931="",D931=""),"",ROW()-1)</f>
        <v/>
      </c>
      <c r="B931" s="4" t="n"/>
      <c r="C931" s="5">
        <f>IF(B931="","",IFERROR(VLOOKUP(B931,'Products'!$A$2:$F$201,2,FALSE),"Product not found"))</f>
        <v/>
      </c>
      <c r="D931" s="4" t="n"/>
      <c r="E931" s="5">
        <f>IF(D931="","",IFERROR(VLOOKUP(D931,'Items'!$A$2:$L$201,2,FALSE),"Item not found"))</f>
        <v/>
      </c>
      <c r="F931" s="9" t="n"/>
      <c r="G931" s="4" t="n"/>
      <c r="H931" s="10">
        <f>IF(OR(F931="",G931=""),"",IFERROR(F931*VLOOKUP(G931,'Units'!$A$2:$D$13,4,FALSE),""))</f>
        <v/>
      </c>
      <c r="I931" s="5">
        <f>IF(D931="","",IFERROR(VLOOKUP(D931,'Items'!$A$2:$L$201,4,FALSE),""))</f>
        <v/>
      </c>
      <c r="J931" s="10">
        <f>IF(D931="","",IFERROR(VLOOKUP(D931,'Items'!$A$2:$L$201,10,FALSE),""))</f>
        <v/>
      </c>
      <c r="K931" s="10">
        <f>IF(OR(H931="",J931=""),"",H931*J931)</f>
        <v/>
      </c>
      <c r="L931" s="5">
        <f>IF(AND(B931="",D931=""),"",IF(B931="","Missing product",IF(D931="","Missing item",IF(C931="Product not found","Product not found",IF(E931="Item not found","Item not found",IF(OR(F931="",G931=""),"Missing quantity/unit",IF(IFERROR(VLOOKUP(G931,'Units'!$A$2:$D$13,3,FALSE),"")&lt;&gt;I931,"Unit mismatch",IF(J931="","Enter item cost","OK"))))))))</f>
        <v/>
      </c>
      <c r="M931" s="4" t="n"/>
    </row>
    <row r="932">
      <c r="A932" s="5">
        <f>IF(AND(B932="",D932=""),"",ROW()-1)</f>
        <v/>
      </c>
      <c r="B932" s="4" t="n"/>
      <c r="C932" s="5">
        <f>IF(B932="","",IFERROR(VLOOKUP(B932,'Products'!$A$2:$F$201,2,FALSE),"Product not found"))</f>
        <v/>
      </c>
      <c r="D932" s="4" t="n"/>
      <c r="E932" s="5">
        <f>IF(D932="","",IFERROR(VLOOKUP(D932,'Items'!$A$2:$L$201,2,FALSE),"Item not found"))</f>
        <v/>
      </c>
      <c r="F932" s="9" t="n"/>
      <c r="G932" s="4" t="n"/>
      <c r="H932" s="10">
        <f>IF(OR(F932="",G932=""),"",IFERROR(F932*VLOOKUP(G932,'Units'!$A$2:$D$13,4,FALSE),""))</f>
        <v/>
      </c>
      <c r="I932" s="5">
        <f>IF(D932="","",IFERROR(VLOOKUP(D932,'Items'!$A$2:$L$201,4,FALSE),""))</f>
        <v/>
      </c>
      <c r="J932" s="10">
        <f>IF(D932="","",IFERROR(VLOOKUP(D932,'Items'!$A$2:$L$201,10,FALSE),""))</f>
        <v/>
      </c>
      <c r="K932" s="10">
        <f>IF(OR(H932="",J932=""),"",H932*J932)</f>
        <v/>
      </c>
      <c r="L932" s="5">
        <f>IF(AND(B932="",D932=""),"",IF(B932="","Missing product",IF(D932="","Missing item",IF(C932="Product not found","Product not found",IF(E932="Item not found","Item not found",IF(OR(F932="",G932=""),"Missing quantity/unit",IF(IFERROR(VLOOKUP(G932,'Units'!$A$2:$D$13,3,FALSE),"")&lt;&gt;I932,"Unit mismatch",IF(J932="","Enter item cost","OK"))))))))</f>
        <v/>
      </c>
      <c r="M932" s="4" t="n"/>
    </row>
    <row r="933">
      <c r="A933" s="5">
        <f>IF(AND(B933="",D933=""),"",ROW()-1)</f>
        <v/>
      </c>
      <c r="B933" s="4" t="n"/>
      <c r="C933" s="5">
        <f>IF(B933="","",IFERROR(VLOOKUP(B933,'Products'!$A$2:$F$201,2,FALSE),"Product not found"))</f>
        <v/>
      </c>
      <c r="D933" s="4" t="n"/>
      <c r="E933" s="5">
        <f>IF(D933="","",IFERROR(VLOOKUP(D933,'Items'!$A$2:$L$201,2,FALSE),"Item not found"))</f>
        <v/>
      </c>
      <c r="F933" s="9" t="n"/>
      <c r="G933" s="4" t="n"/>
      <c r="H933" s="10">
        <f>IF(OR(F933="",G933=""),"",IFERROR(F933*VLOOKUP(G933,'Units'!$A$2:$D$13,4,FALSE),""))</f>
        <v/>
      </c>
      <c r="I933" s="5">
        <f>IF(D933="","",IFERROR(VLOOKUP(D933,'Items'!$A$2:$L$201,4,FALSE),""))</f>
        <v/>
      </c>
      <c r="J933" s="10">
        <f>IF(D933="","",IFERROR(VLOOKUP(D933,'Items'!$A$2:$L$201,10,FALSE),""))</f>
        <v/>
      </c>
      <c r="K933" s="10">
        <f>IF(OR(H933="",J933=""),"",H933*J933)</f>
        <v/>
      </c>
      <c r="L933" s="5">
        <f>IF(AND(B933="",D933=""),"",IF(B933="","Missing product",IF(D933="","Missing item",IF(C933="Product not found","Product not found",IF(E933="Item not found","Item not found",IF(OR(F933="",G933=""),"Missing quantity/unit",IF(IFERROR(VLOOKUP(G933,'Units'!$A$2:$D$13,3,FALSE),"")&lt;&gt;I933,"Unit mismatch",IF(J933="","Enter item cost","OK"))))))))</f>
        <v/>
      </c>
      <c r="M933" s="4" t="n"/>
    </row>
    <row r="934">
      <c r="A934" s="5">
        <f>IF(AND(B934="",D934=""),"",ROW()-1)</f>
        <v/>
      </c>
      <c r="B934" s="4" t="n"/>
      <c r="C934" s="5">
        <f>IF(B934="","",IFERROR(VLOOKUP(B934,'Products'!$A$2:$F$201,2,FALSE),"Product not found"))</f>
        <v/>
      </c>
      <c r="D934" s="4" t="n"/>
      <c r="E934" s="5">
        <f>IF(D934="","",IFERROR(VLOOKUP(D934,'Items'!$A$2:$L$201,2,FALSE),"Item not found"))</f>
        <v/>
      </c>
      <c r="F934" s="9" t="n"/>
      <c r="G934" s="4" t="n"/>
      <c r="H934" s="10">
        <f>IF(OR(F934="",G934=""),"",IFERROR(F934*VLOOKUP(G934,'Units'!$A$2:$D$13,4,FALSE),""))</f>
        <v/>
      </c>
      <c r="I934" s="5">
        <f>IF(D934="","",IFERROR(VLOOKUP(D934,'Items'!$A$2:$L$201,4,FALSE),""))</f>
        <v/>
      </c>
      <c r="J934" s="10">
        <f>IF(D934="","",IFERROR(VLOOKUP(D934,'Items'!$A$2:$L$201,10,FALSE),""))</f>
        <v/>
      </c>
      <c r="K934" s="10">
        <f>IF(OR(H934="",J934=""),"",H934*J934)</f>
        <v/>
      </c>
      <c r="L934" s="5">
        <f>IF(AND(B934="",D934=""),"",IF(B934="","Missing product",IF(D934="","Missing item",IF(C934="Product not found","Product not found",IF(E934="Item not found","Item not found",IF(OR(F934="",G934=""),"Missing quantity/unit",IF(IFERROR(VLOOKUP(G934,'Units'!$A$2:$D$13,3,FALSE),"")&lt;&gt;I934,"Unit mismatch",IF(J934="","Enter item cost","OK"))))))))</f>
        <v/>
      </c>
      <c r="M934" s="4" t="n"/>
    </row>
    <row r="935">
      <c r="A935" s="5">
        <f>IF(AND(B935="",D935=""),"",ROW()-1)</f>
        <v/>
      </c>
      <c r="B935" s="4" t="n"/>
      <c r="C935" s="5">
        <f>IF(B935="","",IFERROR(VLOOKUP(B935,'Products'!$A$2:$F$201,2,FALSE),"Product not found"))</f>
        <v/>
      </c>
      <c r="D935" s="4" t="n"/>
      <c r="E935" s="5">
        <f>IF(D935="","",IFERROR(VLOOKUP(D935,'Items'!$A$2:$L$201,2,FALSE),"Item not found"))</f>
        <v/>
      </c>
      <c r="F935" s="9" t="n"/>
      <c r="G935" s="4" t="n"/>
      <c r="H935" s="10">
        <f>IF(OR(F935="",G935=""),"",IFERROR(F935*VLOOKUP(G935,'Units'!$A$2:$D$13,4,FALSE),""))</f>
        <v/>
      </c>
      <c r="I935" s="5">
        <f>IF(D935="","",IFERROR(VLOOKUP(D935,'Items'!$A$2:$L$201,4,FALSE),""))</f>
        <v/>
      </c>
      <c r="J935" s="10">
        <f>IF(D935="","",IFERROR(VLOOKUP(D935,'Items'!$A$2:$L$201,10,FALSE),""))</f>
        <v/>
      </c>
      <c r="K935" s="10">
        <f>IF(OR(H935="",J935=""),"",H935*J935)</f>
        <v/>
      </c>
      <c r="L935" s="5">
        <f>IF(AND(B935="",D935=""),"",IF(B935="","Missing product",IF(D935="","Missing item",IF(C935="Product not found","Product not found",IF(E935="Item not found","Item not found",IF(OR(F935="",G935=""),"Missing quantity/unit",IF(IFERROR(VLOOKUP(G935,'Units'!$A$2:$D$13,3,FALSE),"")&lt;&gt;I935,"Unit mismatch",IF(J935="","Enter item cost","OK"))))))))</f>
        <v/>
      </c>
      <c r="M935" s="4" t="n"/>
    </row>
    <row r="936">
      <c r="A936" s="5">
        <f>IF(AND(B936="",D936=""),"",ROW()-1)</f>
        <v/>
      </c>
      <c r="B936" s="4" t="n"/>
      <c r="C936" s="5">
        <f>IF(B936="","",IFERROR(VLOOKUP(B936,'Products'!$A$2:$F$201,2,FALSE),"Product not found"))</f>
        <v/>
      </c>
      <c r="D936" s="4" t="n"/>
      <c r="E936" s="5">
        <f>IF(D936="","",IFERROR(VLOOKUP(D936,'Items'!$A$2:$L$201,2,FALSE),"Item not found"))</f>
        <v/>
      </c>
      <c r="F936" s="9" t="n"/>
      <c r="G936" s="4" t="n"/>
      <c r="H936" s="10">
        <f>IF(OR(F936="",G936=""),"",IFERROR(F936*VLOOKUP(G936,'Units'!$A$2:$D$13,4,FALSE),""))</f>
        <v/>
      </c>
      <c r="I936" s="5">
        <f>IF(D936="","",IFERROR(VLOOKUP(D936,'Items'!$A$2:$L$201,4,FALSE),""))</f>
        <v/>
      </c>
      <c r="J936" s="10">
        <f>IF(D936="","",IFERROR(VLOOKUP(D936,'Items'!$A$2:$L$201,10,FALSE),""))</f>
        <v/>
      </c>
      <c r="K936" s="10">
        <f>IF(OR(H936="",J936=""),"",H936*J936)</f>
        <v/>
      </c>
      <c r="L936" s="5">
        <f>IF(AND(B936="",D936=""),"",IF(B936="","Missing product",IF(D936="","Missing item",IF(C936="Product not found","Product not found",IF(E936="Item not found","Item not found",IF(OR(F936="",G936=""),"Missing quantity/unit",IF(IFERROR(VLOOKUP(G936,'Units'!$A$2:$D$13,3,FALSE),"")&lt;&gt;I936,"Unit mismatch",IF(J936="","Enter item cost","OK"))))))))</f>
        <v/>
      </c>
      <c r="M936" s="4" t="n"/>
    </row>
    <row r="937">
      <c r="A937" s="5">
        <f>IF(AND(B937="",D937=""),"",ROW()-1)</f>
        <v/>
      </c>
      <c r="B937" s="4" t="n"/>
      <c r="C937" s="5">
        <f>IF(B937="","",IFERROR(VLOOKUP(B937,'Products'!$A$2:$F$201,2,FALSE),"Product not found"))</f>
        <v/>
      </c>
      <c r="D937" s="4" t="n"/>
      <c r="E937" s="5">
        <f>IF(D937="","",IFERROR(VLOOKUP(D937,'Items'!$A$2:$L$201,2,FALSE),"Item not found"))</f>
        <v/>
      </c>
      <c r="F937" s="9" t="n"/>
      <c r="G937" s="4" t="n"/>
      <c r="H937" s="10">
        <f>IF(OR(F937="",G937=""),"",IFERROR(F937*VLOOKUP(G937,'Units'!$A$2:$D$13,4,FALSE),""))</f>
        <v/>
      </c>
      <c r="I937" s="5">
        <f>IF(D937="","",IFERROR(VLOOKUP(D937,'Items'!$A$2:$L$201,4,FALSE),""))</f>
        <v/>
      </c>
      <c r="J937" s="10">
        <f>IF(D937="","",IFERROR(VLOOKUP(D937,'Items'!$A$2:$L$201,10,FALSE),""))</f>
        <v/>
      </c>
      <c r="K937" s="10">
        <f>IF(OR(H937="",J937=""),"",H937*J937)</f>
        <v/>
      </c>
      <c r="L937" s="5">
        <f>IF(AND(B937="",D937=""),"",IF(B937="","Missing product",IF(D937="","Missing item",IF(C937="Product not found","Product not found",IF(E937="Item not found","Item not found",IF(OR(F937="",G937=""),"Missing quantity/unit",IF(IFERROR(VLOOKUP(G937,'Units'!$A$2:$D$13,3,FALSE),"")&lt;&gt;I937,"Unit mismatch",IF(J937="","Enter item cost","OK"))))))))</f>
        <v/>
      </c>
      <c r="M937" s="4" t="n"/>
    </row>
    <row r="938">
      <c r="A938" s="5">
        <f>IF(AND(B938="",D938=""),"",ROW()-1)</f>
        <v/>
      </c>
      <c r="B938" s="4" t="n"/>
      <c r="C938" s="5">
        <f>IF(B938="","",IFERROR(VLOOKUP(B938,'Products'!$A$2:$F$201,2,FALSE),"Product not found"))</f>
        <v/>
      </c>
      <c r="D938" s="4" t="n"/>
      <c r="E938" s="5">
        <f>IF(D938="","",IFERROR(VLOOKUP(D938,'Items'!$A$2:$L$201,2,FALSE),"Item not found"))</f>
        <v/>
      </c>
      <c r="F938" s="9" t="n"/>
      <c r="G938" s="4" t="n"/>
      <c r="H938" s="10">
        <f>IF(OR(F938="",G938=""),"",IFERROR(F938*VLOOKUP(G938,'Units'!$A$2:$D$13,4,FALSE),""))</f>
        <v/>
      </c>
      <c r="I938" s="5">
        <f>IF(D938="","",IFERROR(VLOOKUP(D938,'Items'!$A$2:$L$201,4,FALSE),""))</f>
        <v/>
      </c>
      <c r="J938" s="10">
        <f>IF(D938="","",IFERROR(VLOOKUP(D938,'Items'!$A$2:$L$201,10,FALSE),""))</f>
        <v/>
      </c>
      <c r="K938" s="10">
        <f>IF(OR(H938="",J938=""),"",H938*J938)</f>
        <v/>
      </c>
      <c r="L938" s="5">
        <f>IF(AND(B938="",D938=""),"",IF(B938="","Missing product",IF(D938="","Missing item",IF(C938="Product not found","Product not found",IF(E938="Item not found","Item not found",IF(OR(F938="",G938=""),"Missing quantity/unit",IF(IFERROR(VLOOKUP(G938,'Units'!$A$2:$D$13,3,FALSE),"")&lt;&gt;I938,"Unit mismatch",IF(J938="","Enter item cost","OK"))))))))</f>
        <v/>
      </c>
      <c r="M938" s="4" t="n"/>
    </row>
    <row r="939">
      <c r="A939" s="5">
        <f>IF(AND(B939="",D939=""),"",ROW()-1)</f>
        <v/>
      </c>
      <c r="B939" s="4" t="n"/>
      <c r="C939" s="5">
        <f>IF(B939="","",IFERROR(VLOOKUP(B939,'Products'!$A$2:$F$201,2,FALSE),"Product not found"))</f>
        <v/>
      </c>
      <c r="D939" s="4" t="n"/>
      <c r="E939" s="5">
        <f>IF(D939="","",IFERROR(VLOOKUP(D939,'Items'!$A$2:$L$201,2,FALSE),"Item not found"))</f>
        <v/>
      </c>
      <c r="F939" s="9" t="n"/>
      <c r="G939" s="4" t="n"/>
      <c r="H939" s="10">
        <f>IF(OR(F939="",G939=""),"",IFERROR(F939*VLOOKUP(G939,'Units'!$A$2:$D$13,4,FALSE),""))</f>
        <v/>
      </c>
      <c r="I939" s="5">
        <f>IF(D939="","",IFERROR(VLOOKUP(D939,'Items'!$A$2:$L$201,4,FALSE),""))</f>
        <v/>
      </c>
      <c r="J939" s="10">
        <f>IF(D939="","",IFERROR(VLOOKUP(D939,'Items'!$A$2:$L$201,10,FALSE),""))</f>
        <v/>
      </c>
      <c r="K939" s="10">
        <f>IF(OR(H939="",J939=""),"",H939*J939)</f>
        <v/>
      </c>
      <c r="L939" s="5">
        <f>IF(AND(B939="",D939=""),"",IF(B939="","Missing product",IF(D939="","Missing item",IF(C939="Product not found","Product not found",IF(E939="Item not found","Item not found",IF(OR(F939="",G939=""),"Missing quantity/unit",IF(IFERROR(VLOOKUP(G939,'Units'!$A$2:$D$13,3,FALSE),"")&lt;&gt;I939,"Unit mismatch",IF(J939="","Enter item cost","OK"))))))))</f>
        <v/>
      </c>
      <c r="M939" s="4" t="n"/>
    </row>
    <row r="940">
      <c r="A940" s="5">
        <f>IF(AND(B940="",D940=""),"",ROW()-1)</f>
        <v/>
      </c>
      <c r="B940" s="4" t="n"/>
      <c r="C940" s="5">
        <f>IF(B940="","",IFERROR(VLOOKUP(B940,'Products'!$A$2:$F$201,2,FALSE),"Product not found"))</f>
        <v/>
      </c>
      <c r="D940" s="4" t="n"/>
      <c r="E940" s="5">
        <f>IF(D940="","",IFERROR(VLOOKUP(D940,'Items'!$A$2:$L$201,2,FALSE),"Item not found"))</f>
        <v/>
      </c>
      <c r="F940" s="9" t="n"/>
      <c r="G940" s="4" t="n"/>
      <c r="H940" s="10">
        <f>IF(OR(F940="",G940=""),"",IFERROR(F940*VLOOKUP(G940,'Units'!$A$2:$D$13,4,FALSE),""))</f>
        <v/>
      </c>
      <c r="I940" s="5">
        <f>IF(D940="","",IFERROR(VLOOKUP(D940,'Items'!$A$2:$L$201,4,FALSE),""))</f>
        <v/>
      </c>
      <c r="J940" s="10">
        <f>IF(D940="","",IFERROR(VLOOKUP(D940,'Items'!$A$2:$L$201,10,FALSE),""))</f>
        <v/>
      </c>
      <c r="K940" s="10">
        <f>IF(OR(H940="",J940=""),"",H940*J940)</f>
        <v/>
      </c>
      <c r="L940" s="5">
        <f>IF(AND(B940="",D940=""),"",IF(B940="","Missing product",IF(D940="","Missing item",IF(C940="Product not found","Product not found",IF(E940="Item not found","Item not found",IF(OR(F940="",G940=""),"Missing quantity/unit",IF(IFERROR(VLOOKUP(G940,'Units'!$A$2:$D$13,3,FALSE),"")&lt;&gt;I940,"Unit mismatch",IF(J940="","Enter item cost","OK"))))))))</f>
        <v/>
      </c>
      <c r="M940" s="4" t="n"/>
    </row>
    <row r="941">
      <c r="A941" s="5">
        <f>IF(AND(B941="",D941=""),"",ROW()-1)</f>
        <v/>
      </c>
      <c r="B941" s="4" t="n"/>
      <c r="C941" s="5">
        <f>IF(B941="","",IFERROR(VLOOKUP(B941,'Products'!$A$2:$F$201,2,FALSE),"Product not found"))</f>
        <v/>
      </c>
      <c r="D941" s="4" t="n"/>
      <c r="E941" s="5">
        <f>IF(D941="","",IFERROR(VLOOKUP(D941,'Items'!$A$2:$L$201,2,FALSE),"Item not found"))</f>
        <v/>
      </c>
      <c r="F941" s="9" t="n"/>
      <c r="G941" s="4" t="n"/>
      <c r="H941" s="10">
        <f>IF(OR(F941="",G941=""),"",IFERROR(F941*VLOOKUP(G941,'Units'!$A$2:$D$13,4,FALSE),""))</f>
        <v/>
      </c>
      <c r="I941" s="5">
        <f>IF(D941="","",IFERROR(VLOOKUP(D941,'Items'!$A$2:$L$201,4,FALSE),""))</f>
        <v/>
      </c>
      <c r="J941" s="10">
        <f>IF(D941="","",IFERROR(VLOOKUP(D941,'Items'!$A$2:$L$201,10,FALSE),""))</f>
        <v/>
      </c>
      <c r="K941" s="10">
        <f>IF(OR(H941="",J941=""),"",H941*J941)</f>
        <v/>
      </c>
      <c r="L941" s="5">
        <f>IF(AND(B941="",D941=""),"",IF(B941="","Missing product",IF(D941="","Missing item",IF(C941="Product not found","Product not found",IF(E941="Item not found","Item not found",IF(OR(F941="",G941=""),"Missing quantity/unit",IF(IFERROR(VLOOKUP(G941,'Units'!$A$2:$D$13,3,FALSE),"")&lt;&gt;I941,"Unit mismatch",IF(J941="","Enter item cost","OK"))))))))</f>
        <v/>
      </c>
      <c r="M941" s="4" t="n"/>
    </row>
    <row r="942">
      <c r="A942" s="5">
        <f>IF(AND(B942="",D942=""),"",ROW()-1)</f>
        <v/>
      </c>
      <c r="B942" s="4" t="n"/>
      <c r="C942" s="5">
        <f>IF(B942="","",IFERROR(VLOOKUP(B942,'Products'!$A$2:$F$201,2,FALSE),"Product not found"))</f>
        <v/>
      </c>
      <c r="D942" s="4" t="n"/>
      <c r="E942" s="5">
        <f>IF(D942="","",IFERROR(VLOOKUP(D942,'Items'!$A$2:$L$201,2,FALSE),"Item not found"))</f>
        <v/>
      </c>
      <c r="F942" s="9" t="n"/>
      <c r="G942" s="4" t="n"/>
      <c r="H942" s="10">
        <f>IF(OR(F942="",G942=""),"",IFERROR(F942*VLOOKUP(G942,'Units'!$A$2:$D$13,4,FALSE),""))</f>
        <v/>
      </c>
      <c r="I942" s="5">
        <f>IF(D942="","",IFERROR(VLOOKUP(D942,'Items'!$A$2:$L$201,4,FALSE),""))</f>
        <v/>
      </c>
      <c r="J942" s="10">
        <f>IF(D942="","",IFERROR(VLOOKUP(D942,'Items'!$A$2:$L$201,10,FALSE),""))</f>
        <v/>
      </c>
      <c r="K942" s="10">
        <f>IF(OR(H942="",J942=""),"",H942*J942)</f>
        <v/>
      </c>
      <c r="L942" s="5">
        <f>IF(AND(B942="",D942=""),"",IF(B942="","Missing product",IF(D942="","Missing item",IF(C942="Product not found","Product not found",IF(E942="Item not found","Item not found",IF(OR(F942="",G942=""),"Missing quantity/unit",IF(IFERROR(VLOOKUP(G942,'Units'!$A$2:$D$13,3,FALSE),"")&lt;&gt;I942,"Unit mismatch",IF(J942="","Enter item cost","OK"))))))))</f>
        <v/>
      </c>
      <c r="M942" s="4" t="n"/>
    </row>
    <row r="943">
      <c r="A943" s="5">
        <f>IF(AND(B943="",D943=""),"",ROW()-1)</f>
        <v/>
      </c>
      <c r="B943" s="4" t="n"/>
      <c r="C943" s="5">
        <f>IF(B943="","",IFERROR(VLOOKUP(B943,'Products'!$A$2:$F$201,2,FALSE),"Product not found"))</f>
        <v/>
      </c>
      <c r="D943" s="4" t="n"/>
      <c r="E943" s="5">
        <f>IF(D943="","",IFERROR(VLOOKUP(D943,'Items'!$A$2:$L$201,2,FALSE),"Item not found"))</f>
        <v/>
      </c>
      <c r="F943" s="9" t="n"/>
      <c r="G943" s="4" t="n"/>
      <c r="H943" s="10">
        <f>IF(OR(F943="",G943=""),"",IFERROR(F943*VLOOKUP(G943,'Units'!$A$2:$D$13,4,FALSE),""))</f>
        <v/>
      </c>
      <c r="I943" s="5">
        <f>IF(D943="","",IFERROR(VLOOKUP(D943,'Items'!$A$2:$L$201,4,FALSE),""))</f>
        <v/>
      </c>
      <c r="J943" s="10">
        <f>IF(D943="","",IFERROR(VLOOKUP(D943,'Items'!$A$2:$L$201,10,FALSE),""))</f>
        <v/>
      </c>
      <c r="K943" s="10">
        <f>IF(OR(H943="",J943=""),"",H943*J943)</f>
        <v/>
      </c>
      <c r="L943" s="5">
        <f>IF(AND(B943="",D943=""),"",IF(B943="","Missing product",IF(D943="","Missing item",IF(C943="Product not found","Product not found",IF(E943="Item not found","Item not found",IF(OR(F943="",G943=""),"Missing quantity/unit",IF(IFERROR(VLOOKUP(G943,'Units'!$A$2:$D$13,3,FALSE),"")&lt;&gt;I943,"Unit mismatch",IF(J943="","Enter item cost","OK"))))))))</f>
        <v/>
      </c>
      <c r="M943" s="4" t="n"/>
    </row>
    <row r="944">
      <c r="A944" s="5">
        <f>IF(AND(B944="",D944=""),"",ROW()-1)</f>
        <v/>
      </c>
      <c r="B944" s="4" t="n"/>
      <c r="C944" s="5">
        <f>IF(B944="","",IFERROR(VLOOKUP(B944,'Products'!$A$2:$F$201,2,FALSE),"Product not found"))</f>
        <v/>
      </c>
      <c r="D944" s="4" t="n"/>
      <c r="E944" s="5">
        <f>IF(D944="","",IFERROR(VLOOKUP(D944,'Items'!$A$2:$L$201,2,FALSE),"Item not found"))</f>
        <v/>
      </c>
      <c r="F944" s="9" t="n"/>
      <c r="G944" s="4" t="n"/>
      <c r="H944" s="10">
        <f>IF(OR(F944="",G944=""),"",IFERROR(F944*VLOOKUP(G944,'Units'!$A$2:$D$13,4,FALSE),""))</f>
        <v/>
      </c>
      <c r="I944" s="5">
        <f>IF(D944="","",IFERROR(VLOOKUP(D944,'Items'!$A$2:$L$201,4,FALSE),""))</f>
        <v/>
      </c>
      <c r="J944" s="10">
        <f>IF(D944="","",IFERROR(VLOOKUP(D944,'Items'!$A$2:$L$201,10,FALSE),""))</f>
        <v/>
      </c>
      <c r="K944" s="10">
        <f>IF(OR(H944="",J944=""),"",H944*J944)</f>
        <v/>
      </c>
      <c r="L944" s="5">
        <f>IF(AND(B944="",D944=""),"",IF(B944="","Missing product",IF(D944="","Missing item",IF(C944="Product not found","Product not found",IF(E944="Item not found","Item not found",IF(OR(F944="",G944=""),"Missing quantity/unit",IF(IFERROR(VLOOKUP(G944,'Units'!$A$2:$D$13,3,FALSE),"")&lt;&gt;I944,"Unit mismatch",IF(J944="","Enter item cost","OK"))))))))</f>
        <v/>
      </c>
      <c r="M944" s="4" t="n"/>
    </row>
    <row r="945">
      <c r="A945" s="5">
        <f>IF(AND(B945="",D945=""),"",ROW()-1)</f>
        <v/>
      </c>
      <c r="B945" s="4" t="n"/>
      <c r="C945" s="5">
        <f>IF(B945="","",IFERROR(VLOOKUP(B945,'Products'!$A$2:$F$201,2,FALSE),"Product not found"))</f>
        <v/>
      </c>
      <c r="D945" s="4" t="n"/>
      <c r="E945" s="5">
        <f>IF(D945="","",IFERROR(VLOOKUP(D945,'Items'!$A$2:$L$201,2,FALSE),"Item not found"))</f>
        <v/>
      </c>
      <c r="F945" s="9" t="n"/>
      <c r="G945" s="4" t="n"/>
      <c r="H945" s="10">
        <f>IF(OR(F945="",G945=""),"",IFERROR(F945*VLOOKUP(G945,'Units'!$A$2:$D$13,4,FALSE),""))</f>
        <v/>
      </c>
      <c r="I945" s="5">
        <f>IF(D945="","",IFERROR(VLOOKUP(D945,'Items'!$A$2:$L$201,4,FALSE),""))</f>
        <v/>
      </c>
      <c r="J945" s="10">
        <f>IF(D945="","",IFERROR(VLOOKUP(D945,'Items'!$A$2:$L$201,10,FALSE),""))</f>
        <v/>
      </c>
      <c r="K945" s="10">
        <f>IF(OR(H945="",J945=""),"",H945*J945)</f>
        <v/>
      </c>
      <c r="L945" s="5">
        <f>IF(AND(B945="",D945=""),"",IF(B945="","Missing product",IF(D945="","Missing item",IF(C945="Product not found","Product not found",IF(E945="Item not found","Item not found",IF(OR(F945="",G945=""),"Missing quantity/unit",IF(IFERROR(VLOOKUP(G945,'Units'!$A$2:$D$13,3,FALSE),"")&lt;&gt;I945,"Unit mismatch",IF(J945="","Enter item cost","OK"))))))))</f>
        <v/>
      </c>
      <c r="M945" s="4" t="n"/>
    </row>
    <row r="946">
      <c r="A946" s="5">
        <f>IF(AND(B946="",D946=""),"",ROW()-1)</f>
        <v/>
      </c>
      <c r="B946" s="4" t="n"/>
      <c r="C946" s="5">
        <f>IF(B946="","",IFERROR(VLOOKUP(B946,'Products'!$A$2:$F$201,2,FALSE),"Product not found"))</f>
        <v/>
      </c>
      <c r="D946" s="4" t="n"/>
      <c r="E946" s="5">
        <f>IF(D946="","",IFERROR(VLOOKUP(D946,'Items'!$A$2:$L$201,2,FALSE),"Item not found"))</f>
        <v/>
      </c>
      <c r="F946" s="9" t="n"/>
      <c r="G946" s="4" t="n"/>
      <c r="H946" s="10">
        <f>IF(OR(F946="",G946=""),"",IFERROR(F946*VLOOKUP(G946,'Units'!$A$2:$D$13,4,FALSE),""))</f>
        <v/>
      </c>
      <c r="I946" s="5">
        <f>IF(D946="","",IFERROR(VLOOKUP(D946,'Items'!$A$2:$L$201,4,FALSE),""))</f>
        <v/>
      </c>
      <c r="J946" s="10">
        <f>IF(D946="","",IFERROR(VLOOKUP(D946,'Items'!$A$2:$L$201,10,FALSE),""))</f>
        <v/>
      </c>
      <c r="K946" s="10">
        <f>IF(OR(H946="",J946=""),"",H946*J946)</f>
        <v/>
      </c>
      <c r="L946" s="5">
        <f>IF(AND(B946="",D946=""),"",IF(B946="","Missing product",IF(D946="","Missing item",IF(C946="Product not found","Product not found",IF(E946="Item not found","Item not found",IF(OR(F946="",G946=""),"Missing quantity/unit",IF(IFERROR(VLOOKUP(G946,'Units'!$A$2:$D$13,3,FALSE),"")&lt;&gt;I946,"Unit mismatch",IF(J946="","Enter item cost","OK"))))))))</f>
        <v/>
      </c>
      <c r="M946" s="4" t="n"/>
    </row>
    <row r="947">
      <c r="A947" s="5">
        <f>IF(AND(B947="",D947=""),"",ROW()-1)</f>
        <v/>
      </c>
      <c r="B947" s="4" t="n"/>
      <c r="C947" s="5">
        <f>IF(B947="","",IFERROR(VLOOKUP(B947,'Products'!$A$2:$F$201,2,FALSE),"Product not found"))</f>
        <v/>
      </c>
      <c r="D947" s="4" t="n"/>
      <c r="E947" s="5">
        <f>IF(D947="","",IFERROR(VLOOKUP(D947,'Items'!$A$2:$L$201,2,FALSE),"Item not found"))</f>
        <v/>
      </c>
      <c r="F947" s="9" t="n"/>
      <c r="G947" s="4" t="n"/>
      <c r="H947" s="10">
        <f>IF(OR(F947="",G947=""),"",IFERROR(F947*VLOOKUP(G947,'Units'!$A$2:$D$13,4,FALSE),""))</f>
        <v/>
      </c>
      <c r="I947" s="5">
        <f>IF(D947="","",IFERROR(VLOOKUP(D947,'Items'!$A$2:$L$201,4,FALSE),""))</f>
        <v/>
      </c>
      <c r="J947" s="10">
        <f>IF(D947="","",IFERROR(VLOOKUP(D947,'Items'!$A$2:$L$201,10,FALSE),""))</f>
        <v/>
      </c>
      <c r="K947" s="10">
        <f>IF(OR(H947="",J947=""),"",H947*J947)</f>
        <v/>
      </c>
      <c r="L947" s="5">
        <f>IF(AND(B947="",D947=""),"",IF(B947="","Missing product",IF(D947="","Missing item",IF(C947="Product not found","Product not found",IF(E947="Item not found","Item not found",IF(OR(F947="",G947=""),"Missing quantity/unit",IF(IFERROR(VLOOKUP(G947,'Units'!$A$2:$D$13,3,FALSE),"")&lt;&gt;I947,"Unit mismatch",IF(J947="","Enter item cost","OK"))))))))</f>
        <v/>
      </c>
      <c r="M947" s="4" t="n"/>
    </row>
    <row r="948">
      <c r="A948" s="5">
        <f>IF(AND(B948="",D948=""),"",ROW()-1)</f>
        <v/>
      </c>
      <c r="B948" s="4" t="n"/>
      <c r="C948" s="5">
        <f>IF(B948="","",IFERROR(VLOOKUP(B948,'Products'!$A$2:$F$201,2,FALSE),"Product not found"))</f>
        <v/>
      </c>
      <c r="D948" s="4" t="n"/>
      <c r="E948" s="5">
        <f>IF(D948="","",IFERROR(VLOOKUP(D948,'Items'!$A$2:$L$201,2,FALSE),"Item not found"))</f>
        <v/>
      </c>
      <c r="F948" s="9" t="n"/>
      <c r="G948" s="4" t="n"/>
      <c r="H948" s="10">
        <f>IF(OR(F948="",G948=""),"",IFERROR(F948*VLOOKUP(G948,'Units'!$A$2:$D$13,4,FALSE),""))</f>
        <v/>
      </c>
      <c r="I948" s="5">
        <f>IF(D948="","",IFERROR(VLOOKUP(D948,'Items'!$A$2:$L$201,4,FALSE),""))</f>
        <v/>
      </c>
      <c r="J948" s="10">
        <f>IF(D948="","",IFERROR(VLOOKUP(D948,'Items'!$A$2:$L$201,10,FALSE),""))</f>
        <v/>
      </c>
      <c r="K948" s="10">
        <f>IF(OR(H948="",J948=""),"",H948*J948)</f>
        <v/>
      </c>
      <c r="L948" s="5">
        <f>IF(AND(B948="",D948=""),"",IF(B948="","Missing product",IF(D948="","Missing item",IF(C948="Product not found","Product not found",IF(E948="Item not found","Item not found",IF(OR(F948="",G948=""),"Missing quantity/unit",IF(IFERROR(VLOOKUP(G948,'Units'!$A$2:$D$13,3,FALSE),"")&lt;&gt;I948,"Unit mismatch",IF(J948="","Enter item cost","OK"))))))))</f>
        <v/>
      </c>
      <c r="M948" s="4" t="n"/>
    </row>
    <row r="949">
      <c r="A949" s="5">
        <f>IF(AND(B949="",D949=""),"",ROW()-1)</f>
        <v/>
      </c>
      <c r="B949" s="4" t="n"/>
      <c r="C949" s="5">
        <f>IF(B949="","",IFERROR(VLOOKUP(B949,'Products'!$A$2:$F$201,2,FALSE),"Product not found"))</f>
        <v/>
      </c>
      <c r="D949" s="4" t="n"/>
      <c r="E949" s="5">
        <f>IF(D949="","",IFERROR(VLOOKUP(D949,'Items'!$A$2:$L$201,2,FALSE),"Item not found"))</f>
        <v/>
      </c>
      <c r="F949" s="9" t="n"/>
      <c r="G949" s="4" t="n"/>
      <c r="H949" s="10">
        <f>IF(OR(F949="",G949=""),"",IFERROR(F949*VLOOKUP(G949,'Units'!$A$2:$D$13,4,FALSE),""))</f>
        <v/>
      </c>
      <c r="I949" s="5">
        <f>IF(D949="","",IFERROR(VLOOKUP(D949,'Items'!$A$2:$L$201,4,FALSE),""))</f>
        <v/>
      </c>
      <c r="J949" s="10">
        <f>IF(D949="","",IFERROR(VLOOKUP(D949,'Items'!$A$2:$L$201,10,FALSE),""))</f>
        <v/>
      </c>
      <c r="K949" s="10">
        <f>IF(OR(H949="",J949=""),"",H949*J949)</f>
        <v/>
      </c>
      <c r="L949" s="5">
        <f>IF(AND(B949="",D949=""),"",IF(B949="","Missing product",IF(D949="","Missing item",IF(C949="Product not found","Product not found",IF(E949="Item not found","Item not found",IF(OR(F949="",G949=""),"Missing quantity/unit",IF(IFERROR(VLOOKUP(G949,'Units'!$A$2:$D$13,3,FALSE),"")&lt;&gt;I949,"Unit mismatch",IF(J949="","Enter item cost","OK"))))))))</f>
        <v/>
      </c>
      <c r="M949" s="4" t="n"/>
    </row>
    <row r="950">
      <c r="A950" s="5">
        <f>IF(AND(B950="",D950=""),"",ROW()-1)</f>
        <v/>
      </c>
      <c r="B950" s="4" t="n"/>
      <c r="C950" s="5">
        <f>IF(B950="","",IFERROR(VLOOKUP(B950,'Products'!$A$2:$F$201,2,FALSE),"Product not found"))</f>
        <v/>
      </c>
      <c r="D950" s="4" t="n"/>
      <c r="E950" s="5">
        <f>IF(D950="","",IFERROR(VLOOKUP(D950,'Items'!$A$2:$L$201,2,FALSE),"Item not found"))</f>
        <v/>
      </c>
      <c r="F950" s="9" t="n"/>
      <c r="G950" s="4" t="n"/>
      <c r="H950" s="10">
        <f>IF(OR(F950="",G950=""),"",IFERROR(F950*VLOOKUP(G950,'Units'!$A$2:$D$13,4,FALSE),""))</f>
        <v/>
      </c>
      <c r="I950" s="5">
        <f>IF(D950="","",IFERROR(VLOOKUP(D950,'Items'!$A$2:$L$201,4,FALSE),""))</f>
        <v/>
      </c>
      <c r="J950" s="10">
        <f>IF(D950="","",IFERROR(VLOOKUP(D950,'Items'!$A$2:$L$201,10,FALSE),""))</f>
        <v/>
      </c>
      <c r="K950" s="10">
        <f>IF(OR(H950="",J950=""),"",H950*J950)</f>
        <v/>
      </c>
      <c r="L950" s="5">
        <f>IF(AND(B950="",D950=""),"",IF(B950="","Missing product",IF(D950="","Missing item",IF(C950="Product not found","Product not found",IF(E950="Item not found","Item not found",IF(OR(F950="",G950=""),"Missing quantity/unit",IF(IFERROR(VLOOKUP(G950,'Units'!$A$2:$D$13,3,FALSE),"")&lt;&gt;I950,"Unit mismatch",IF(J950="","Enter item cost","OK"))))))))</f>
        <v/>
      </c>
      <c r="M950" s="4" t="n"/>
    </row>
    <row r="951">
      <c r="A951" s="5">
        <f>IF(AND(B951="",D951=""),"",ROW()-1)</f>
        <v/>
      </c>
      <c r="B951" s="4" t="n"/>
      <c r="C951" s="5">
        <f>IF(B951="","",IFERROR(VLOOKUP(B951,'Products'!$A$2:$F$201,2,FALSE),"Product not found"))</f>
        <v/>
      </c>
      <c r="D951" s="4" t="n"/>
      <c r="E951" s="5">
        <f>IF(D951="","",IFERROR(VLOOKUP(D951,'Items'!$A$2:$L$201,2,FALSE),"Item not found"))</f>
        <v/>
      </c>
      <c r="F951" s="9" t="n"/>
      <c r="G951" s="4" t="n"/>
      <c r="H951" s="10">
        <f>IF(OR(F951="",G951=""),"",IFERROR(F951*VLOOKUP(G951,'Units'!$A$2:$D$13,4,FALSE),""))</f>
        <v/>
      </c>
      <c r="I951" s="5">
        <f>IF(D951="","",IFERROR(VLOOKUP(D951,'Items'!$A$2:$L$201,4,FALSE),""))</f>
        <v/>
      </c>
      <c r="J951" s="10">
        <f>IF(D951="","",IFERROR(VLOOKUP(D951,'Items'!$A$2:$L$201,10,FALSE),""))</f>
        <v/>
      </c>
      <c r="K951" s="10">
        <f>IF(OR(H951="",J951=""),"",H951*J951)</f>
        <v/>
      </c>
      <c r="L951" s="5">
        <f>IF(AND(B951="",D951=""),"",IF(B951="","Missing product",IF(D951="","Missing item",IF(C951="Product not found","Product not found",IF(E951="Item not found","Item not found",IF(OR(F951="",G951=""),"Missing quantity/unit",IF(IFERROR(VLOOKUP(G951,'Units'!$A$2:$D$13,3,FALSE),"")&lt;&gt;I951,"Unit mismatch",IF(J951="","Enter item cost","OK"))))))))</f>
        <v/>
      </c>
      <c r="M951" s="4" t="n"/>
    </row>
    <row r="952">
      <c r="A952" s="5">
        <f>IF(AND(B952="",D952=""),"",ROW()-1)</f>
        <v/>
      </c>
      <c r="B952" s="4" t="n"/>
      <c r="C952" s="5">
        <f>IF(B952="","",IFERROR(VLOOKUP(B952,'Products'!$A$2:$F$201,2,FALSE),"Product not found"))</f>
        <v/>
      </c>
      <c r="D952" s="4" t="n"/>
      <c r="E952" s="5">
        <f>IF(D952="","",IFERROR(VLOOKUP(D952,'Items'!$A$2:$L$201,2,FALSE),"Item not found"))</f>
        <v/>
      </c>
      <c r="F952" s="9" t="n"/>
      <c r="G952" s="4" t="n"/>
      <c r="H952" s="10">
        <f>IF(OR(F952="",G952=""),"",IFERROR(F952*VLOOKUP(G952,'Units'!$A$2:$D$13,4,FALSE),""))</f>
        <v/>
      </c>
      <c r="I952" s="5">
        <f>IF(D952="","",IFERROR(VLOOKUP(D952,'Items'!$A$2:$L$201,4,FALSE),""))</f>
        <v/>
      </c>
      <c r="J952" s="10">
        <f>IF(D952="","",IFERROR(VLOOKUP(D952,'Items'!$A$2:$L$201,10,FALSE),""))</f>
        <v/>
      </c>
      <c r="K952" s="10">
        <f>IF(OR(H952="",J952=""),"",H952*J952)</f>
        <v/>
      </c>
      <c r="L952" s="5">
        <f>IF(AND(B952="",D952=""),"",IF(B952="","Missing product",IF(D952="","Missing item",IF(C952="Product not found","Product not found",IF(E952="Item not found","Item not found",IF(OR(F952="",G952=""),"Missing quantity/unit",IF(IFERROR(VLOOKUP(G952,'Units'!$A$2:$D$13,3,FALSE),"")&lt;&gt;I952,"Unit mismatch",IF(J952="","Enter item cost","OK"))))))))</f>
        <v/>
      </c>
      <c r="M952" s="4" t="n"/>
    </row>
    <row r="953">
      <c r="A953" s="5">
        <f>IF(AND(B953="",D953=""),"",ROW()-1)</f>
        <v/>
      </c>
      <c r="B953" s="4" t="n"/>
      <c r="C953" s="5">
        <f>IF(B953="","",IFERROR(VLOOKUP(B953,'Products'!$A$2:$F$201,2,FALSE),"Product not found"))</f>
        <v/>
      </c>
      <c r="D953" s="4" t="n"/>
      <c r="E953" s="5">
        <f>IF(D953="","",IFERROR(VLOOKUP(D953,'Items'!$A$2:$L$201,2,FALSE),"Item not found"))</f>
        <v/>
      </c>
      <c r="F953" s="9" t="n"/>
      <c r="G953" s="4" t="n"/>
      <c r="H953" s="10">
        <f>IF(OR(F953="",G953=""),"",IFERROR(F953*VLOOKUP(G953,'Units'!$A$2:$D$13,4,FALSE),""))</f>
        <v/>
      </c>
      <c r="I953" s="5">
        <f>IF(D953="","",IFERROR(VLOOKUP(D953,'Items'!$A$2:$L$201,4,FALSE),""))</f>
        <v/>
      </c>
      <c r="J953" s="10">
        <f>IF(D953="","",IFERROR(VLOOKUP(D953,'Items'!$A$2:$L$201,10,FALSE),""))</f>
        <v/>
      </c>
      <c r="K953" s="10">
        <f>IF(OR(H953="",J953=""),"",H953*J953)</f>
        <v/>
      </c>
      <c r="L953" s="5">
        <f>IF(AND(B953="",D953=""),"",IF(B953="","Missing product",IF(D953="","Missing item",IF(C953="Product not found","Product not found",IF(E953="Item not found","Item not found",IF(OR(F953="",G953=""),"Missing quantity/unit",IF(IFERROR(VLOOKUP(G953,'Units'!$A$2:$D$13,3,FALSE),"")&lt;&gt;I953,"Unit mismatch",IF(J953="","Enter item cost","OK"))))))))</f>
        <v/>
      </c>
      <c r="M953" s="4" t="n"/>
    </row>
    <row r="954">
      <c r="A954" s="5">
        <f>IF(AND(B954="",D954=""),"",ROW()-1)</f>
        <v/>
      </c>
      <c r="B954" s="4" t="n"/>
      <c r="C954" s="5">
        <f>IF(B954="","",IFERROR(VLOOKUP(B954,'Products'!$A$2:$F$201,2,FALSE),"Product not found"))</f>
        <v/>
      </c>
      <c r="D954" s="4" t="n"/>
      <c r="E954" s="5">
        <f>IF(D954="","",IFERROR(VLOOKUP(D954,'Items'!$A$2:$L$201,2,FALSE),"Item not found"))</f>
        <v/>
      </c>
      <c r="F954" s="9" t="n"/>
      <c r="G954" s="4" t="n"/>
      <c r="H954" s="10">
        <f>IF(OR(F954="",G954=""),"",IFERROR(F954*VLOOKUP(G954,'Units'!$A$2:$D$13,4,FALSE),""))</f>
        <v/>
      </c>
      <c r="I954" s="5">
        <f>IF(D954="","",IFERROR(VLOOKUP(D954,'Items'!$A$2:$L$201,4,FALSE),""))</f>
        <v/>
      </c>
      <c r="J954" s="10">
        <f>IF(D954="","",IFERROR(VLOOKUP(D954,'Items'!$A$2:$L$201,10,FALSE),""))</f>
        <v/>
      </c>
      <c r="K954" s="10">
        <f>IF(OR(H954="",J954=""),"",H954*J954)</f>
        <v/>
      </c>
      <c r="L954" s="5">
        <f>IF(AND(B954="",D954=""),"",IF(B954="","Missing product",IF(D954="","Missing item",IF(C954="Product not found","Product not found",IF(E954="Item not found","Item not found",IF(OR(F954="",G954=""),"Missing quantity/unit",IF(IFERROR(VLOOKUP(G954,'Units'!$A$2:$D$13,3,FALSE),"")&lt;&gt;I954,"Unit mismatch",IF(J954="","Enter item cost","OK"))))))))</f>
        <v/>
      </c>
      <c r="M954" s="4" t="n"/>
    </row>
    <row r="955">
      <c r="A955" s="5">
        <f>IF(AND(B955="",D955=""),"",ROW()-1)</f>
        <v/>
      </c>
      <c r="B955" s="4" t="n"/>
      <c r="C955" s="5">
        <f>IF(B955="","",IFERROR(VLOOKUP(B955,'Products'!$A$2:$F$201,2,FALSE),"Product not found"))</f>
        <v/>
      </c>
      <c r="D955" s="4" t="n"/>
      <c r="E955" s="5">
        <f>IF(D955="","",IFERROR(VLOOKUP(D955,'Items'!$A$2:$L$201,2,FALSE),"Item not found"))</f>
        <v/>
      </c>
      <c r="F955" s="9" t="n"/>
      <c r="G955" s="4" t="n"/>
      <c r="H955" s="10">
        <f>IF(OR(F955="",G955=""),"",IFERROR(F955*VLOOKUP(G955,'Units'!$A$2:$D$13,4,FALSE),""))</f>
        <v/>
      </c>
      <c r="I955" s="5">
        <f>IF(D955="","",IFERROR(VLOOKUP(D955,'Items'!$A$2:$L$201,4,FALSE),""))</f>
        <v/>
      </c>
      <c r="J955" s="10">
        <f>IF(D955="","",IFERROR(VLOOKUP(D955,'Items'!$A$2:$L$201,10,FALSE),""))</f>
        <v/>
      </c>
      <c r="K955" s="10">
        <f>IF(OR(H955="",J955=""),"",H955*J955)</f>
        <v/>
      </c>
      <c r="L955" s="5">
        <f>IF(AND(B955="",D955=""),"",IF(B955="","Missing product",IF(D955="","Missing item",IF(C955="Product not found","Product not found",IF(E955="Item not found","Item not found",IF(OR(F955="",G955=""),"Missing quantity/unit",IF(IFERROR(VLOOKUP(G955,'Units'!$A$2:$D$13,3,FALSE),"")&lt;&gt;I955,"Unit mismatch",IF(J955="","Enter item cost","OK"))))))))</f>
        <v/>
      </c>
      <c r="M955" s="4" t="n"/>
    </row>
    <row r="956">
      <c r="A956" s="5">
        <f>IF(AND(B956="",D956=""),"",ROW()-1)</f>
        <v/>
      </c>
      <c r="B956" s="4" t="n"/>
      <c r="C956" s="5">
        <f>IF(B956="","",IFERROR(VLOOKUP(B956,'Products'!$A$2:$F$201,2,FALSE),"Product not found"))</f>
        <v/>
      </c>
      <c r="D956" s="4" t="n"/>
      <c r="E956" s="5">
        <f>IF(D956="","",IFERROR(VLOOKUP(D956,'Items'!$A$2:$L$201,2,FALSE),"Item not found"))</f>
        <v/>
      </c>
      <c r="F956" s="9" t="n"/>
      <c r="G956" s="4" t="n"/>
      <c r="H956" s="10">
        <f>IF(OR(F956="",G956=""),"",IFERROR(F956*VLOOKUP(G956,'Units'!$A$2:$D$13,4,FALSE),""))</f>
        <v/>
      </c>
      <c r="I956" s="5">
        <f>IF(D956="","",IFERROR(VLOOKUP(D956,'Items'!$A$2:$L$201,4,FALSE),""))</f>
        <v/>
      </c>
      <c r="J956" s="10">
        <f>IF(D956="","",IFERROR(VLOOKUP(D956,'Items'!$A$2:$L$201,10,FALSE),""))</f>
        <v/>
      </c>
      <c r="K956" s="10">
        <f>IF(OR(H956="",J956=""),"",H956*J956)</f>
        <v/>
      </c>
      <c r="L956" s="5">
        <f>IF(AND(B956="",D956=""),"",IF(B956="","Missing product",IF(D956="","Missing item",IF(C956="Product not found","Product not found",IF(E956="Item not found","Item not found",IF(OR(F956="",G956=""),"Missing quantity/unit",IF(IFERROR(VLOOKUP(G956,'Units'!$A$2:$D$13,3,FALSE),"")&lt;&gt;I956,"Unit mismatch",IF(J956="","Enter item cost","OK"))))))))</f>
        <v/>
      </c>
      <c r="M956" s="4" t="n"/>
    </row>
    <row r="957">
      <c r="A957" s="5">
        <f>IF(AND(B957="",D957=""),"",ROW()-1)</f>
        <v/>
      </c>
      <c r="B957" s="4" t="n"/>
      <c r="C957" s="5">
        <f>IF(B957="","",IFERROR(VLOOKUP(B957,'Products'!$A$2:$F$201,2,FALSE),"Product not found"))</f>
        <v/>
      </c>
      <c r="D957" s="4" t="n"/>
      <c r="E957" s="5">
        <f>IF(D957="","",IFERROR(VLOOKUP(D957,'Items'!$A$2:$L$201,2,FALSE),"Item not found"))</f>
        <v/>
      </c>
      <c r="F957" s="9" t="n"/>
      <c r="G957" s="4" t="n"/>
      <c r="H957" s="10">
        <f>IF(OR(F957="",G957=""),"",IFERROR(F957*VLOOKUP(G957,'Units'!$A$2:$D$13,4,FALSE),""))</f>
        <v/>
      </c>
      <c r="I957" s="5">
        <f>IF(D957="","",IFERROR(VLOOKUP(D957,'Items'!$A$2:$L$201,4,FALSE),""))</f>
        <v/>
      </c>
      <c r="J957" s="10">
        <f>IF(D957="","",IFERROR(VLOOKUP(D957,'Items'!$A$2:$L$201,10,FALSE),""))</f>
        <v/>
      </c>
      <c r="K957" s="10">
        <f>IF(OR(H957="",J957=""),"",H957*J957)</f>
        <v/>
      </c>
      <c r="L957" s="5">
        <f>IF(AND(B957="",D957=""),"",IF(B957="","Missing product",IF(D957="","Missing item",IF(C957="Product not found","Product not found",IF(E957="Item not found","Item not found",IF(OR(F957="",G957=""),"Missing quantity/unit",IF(IFERROR(VLOOKUP(G957,'Units'!$A$2:$D$13,3,FALSE),"")&lt;&gt;I957,"Unit mismatch",IF(J957="","Enter item cost","OK"))))))))</f>
        <v/>
      </c>
      <c r="M957" s="4" t="n"/>
    </row>
    <row r="958">
      <c r="A958" s="5">
        <f>IF(AND(B958="",D958=""),"",ROW()-1)</f>
        <v/>
      </c>
      <c r="B958" s="4" t="n"/>
      <c r="C958" s="5">
        <f>IF(B958="","",IFERROR(VLOOKUP(B958,'Products'!$A$2:$F$201,2,FALSE),"Product not found"))</f>
        <v/>
      </c>
      <c r="D958" s="4" t="n"/>
      <c r="E958" s="5">
        <f>IF(D958="","",IFERROR(VLOOKUP(D958,'Items'!$A$2:$L$201,2,FALSE),"Item not found"))</f>
        <v/>
      </c>
      <c r="F958" s="9" t="n"/>
      <c r="G958" s="4" t="n"/>
      <c r="H958" s="10">
        <f>IF(OR(F958="",G958=""),"",IFERROR(F958*VLOOKUP(G958,'Units'!$A$2:$D$13,4,FALSE),""))</f>
        <v/>
      </c>
      <c r="I958" s="5">
        <f>IF(D958="","",IFERROR(VLOOKUP(D958,'Items'!$A$2:$L$201,4,FALSE),""))</f>
        <v/>
      </c>
      <c r="J958" s="10">
        <f>IF(D958="","",IFERROR(VLOOKUP(D958,'Items'!$A$2:$L$201,10,FALSE),""))</f>
        <v/>
      </c>
      <c r="K958" s="10">
        <f>IF(OR(H958="",J958=""),"",H958*J958)</f>
        <v/>
      </c>
      <c r="L958" s="5">
        <f>IF(AND(B958="",D958=""),"",IF(B958="","Missing product",IF(D958="","Missing item",IF(C958="Product not found","Product not found",IF(E958="Item not found","Item not found",IF(OR(F958="",G958=""),"Missing quantity/unit",IF(IFERROR(VLOOKUP(G958,'Units'!$A$2:$D$13,3,FALSE),"")&lt;&gt;I958,"Unit mismatch",IF(J958="","Enter item cost","OK"))))))))</f>
        <v/>
      </c>
      <c r="M958" s="4" t="n"/>
    </row>
    <row r="959">
      <c r="A959" s="5">
        <f>IF(AND(B959="",D959=""),"",ROW()-1)</f>
        <v/>
      </c>
      <c r="B959" s="4" t="n"/>
      <c r="C959" s="5">
        <f>IF(B959="","",IFERROR(VLOOKUP(B959,'Products'!$A$2:$F$201,2,FALSE),"Product not found"))</f>
        <v/>
      </c>
      <c r="D959" s="4" t="n"/>
      <c r="E959" s="5">
        <f>IF(D959="","",IFERROR(VLOOKUP(D959,'Items'!$A$2:$L$201,2,FALSE),"Item not found"))</f>
        <v/>
      </c>
      <c r="F959" s="9" t="n"/>
      <c r="G959" s="4" t="n"/>
      <c r="H959" s="10">
        <f>IF(OR(F959="",G959=""),"",IFERROR(F959*VLOOKUP(G959,'Units'!$A$2:$D$13,4,FALSE),""))</f>
        <v/>
      </c>
      <c r="I959" s="5">
        <f>IF(D959="","",IFERROR(VLOOKUP(D959,'Items'!$A$2:$L$201,4,FALSE),""))</f>
        <v/>
      </c>
      <c r="J959" s="10">
        <f>IF(D959="","",IFERROR(VLOOKUP(D959,'Items'!$A$2:$L$201,10,FALSE),""))</f>
        <v/>
      </c>
      <c r="K959" s="10">
        <f>IF(OR(H959="",J959=""),"",H959*J959)</f>
        <v/>
      </c>
      <c r="L959" s="5">
        <f>IF(AND(B959="",D959=""),"",IF(B959="","Missing product",IF(D959="","Missing item",IF(C959="Product not found","Product not found",IF(E959="Item not found","Item not found",IF(OR(F959="",G959=""),"Missing quantity/unit",IF(IFERROR(VLOOKUP(G959,'Units'!$A$2:$D$13,3,FALSE),"")&lt;&gt;I959,"Unit mismatch",IF(J959="","Enter item cost","OK"))))))))</f>
        <v/>
      </c>
      <c r="M959" s="4" t="n"/>
    </row>
    <row r="960">
      <c r="A960" s="5">
        <f>IF(AND(B960="",D960=""),"",ROW()-1)</f>
        <v/>
      </c>
      <c r="B960" s="4" t="n"/>
      <c r="C960" s="5">
        <f>IF(B960="","",IFERROR(VLOOKUP(B960,'Products'!$A$2:$F$201,2,FALSE),"Product not found"))</f>
        <v/>
      </c>
      <c r="D960" s="4" t="n"/>
      <c r="E960" s="5">
        <f>IF(D960="","",IFERROR(VLOOKUP(D960,'Items'!$A$2:$L$201,2,FALSE),"Item not found"))</f>
        <v/>
      </c>
      <c r="F960" s="9" t="n"/>
      <c r="G960" s="4" t="n"/>
      <c r="H960" s="10">
        <f>IF(OR(F960="",G960=""),"",IFERROR(F960*VLOOKUP(G960,'Units'!$A$2:$D$13,4,FALSE),""))</f>
        <v/>
      </c>
      <c r="I960" s="5">
        <f>IF(D960="","",IFERROR(VLOOKUP(D960,'Items'!$A$2:$L$201,4,FALSE),""))</f>
        <v/>
      </c>
      <c r="J960" s="10">
        <f>IF(D960="","",IFERROR(VLOOKUP(D960,'Items'!$A$2:$L$201,10,FALSE),""))</f>
        <v/>
      </c>
      <c r="K960" s="10">
        <f>IF(OR(H960="",J960=""),"",H960*J960)</f>
        <v/>
      </c>
      <c r="L960" s="5">
        <f>IF(AND(B960="",D960=""),"",IF(B960="","Missing product",IF(D960="","Missing item",IF(C960="Product not found","Product not found",IF(E960="Item not found","Item not found",IF(OR(F960="",G960=""),"Missing quantity/unit",IF(IFERROR(VLOOKUP(G960,'Units'!$A$2:$D$13,3,FALSE),"")&lt;&gt;I960,"Unit mismatch",IF(J960="","Enter item cost","OK"))))))))</f>
        <v/>
      </c>
      <c r="M960" s="4" t="n"/>
    </row>
    <row r="961">
      <c r="A961" s="5">
        <f>IF(AND(B961="",D961=""),"",ROW()-1)</f>
        <v/>
      </c>
      <c r="B961" s="4" t="n"/>
      <c r="C961" s="5">
        <f>IF(B961="","",IFERROR(VLOOKUP(B961,'Products'!$A$2:$F$201,2,FALSE),"Product not found"))</f>
        <v/>
      </c>
      <c r="D961" s="4" t="n"/>
      <c r="E961" s="5">
        <f>IF(D961="","",IFERROR(VLOOKUP(D961,'Items'!$A$2:$L$201,2,FALSE),"Item not found"))</f>
        <v/>
      </c>
      <c r="F961" s="9" t="n"/>
      <c r="G961" s="4" t="n"/>
      <c r="H961" s="10">
        <f>IF(OR(F961="",G961=""),"",IFERROR(F961*VLOOKUP(G961,'Units'!$A$2:$D$13,4,FALSE),""))</f>
        <v/>
      </c>
      <c r="I961" s="5">
        <f>IF(D961="","",IFERROR(VLOOKUP(D961,'Items'!$A$2:$L$201,4,FALSE),""))</f>
        <v/>
      </c>
      <c r="J961" s="10">
        <f>IF(D961="","",IFERROR(VLOOKUP(D961,'Items'!$A$2:$L$201,10,FALSE),""))</f>
        <v/>
      </c>
      <c r="K961" s="10">
        <f>IF(OR(H961="",J961=""),"",H961*J961)</f>
        <v/>
      </c>
      <c r="L961" s="5">
        <f>IF(AND(B961="",D961=""),"",IF(B961="","Missing product",IF(D961="","Missing item",IF(C961="Product not found","Product not found",IF(E961="Item not found","Item not found",IF(OR(F961="",G961=""),"Missing quantity/unit",IF(IFERROR(VLOOKUP(G961,'Units'!$A$2:$D$13,3,FALSE),"")&lt;&gt;I961,"Unit mismatch",IF(J961="","Enter item cost","OK"))))))))</f>
        <v/>
      </c>
      <c r="M961" s="4" t="n"/>
    </row>
    <row r="962">
      <c r="A962" s="5">
        <f>IF(AND(B962="",D962=""),"",ROW()-1)</f>
        <v/>
      </c>
      <c r="B962" s="4" t="n"/>
      <c r="C962" s="5">
        <f>IF(B962="","",IFERROR(VLOOKUP(B962,'Products'!$A$2:$F$201,2,FALSE),"Product not found"))</f>
        <v/>
      </c>
      <c r="D962" s="4" t="n"/>
      <c r="E962" s="5">
        <f>IF(D962="","",IFERROR(VLOOKUP(D962,'Items'!$A$2:$L$201,2,FALSE),"Item not found"))</f>
        <v/>
      </c>
      <c r="F962" s="9" t="n"/>
      <c r="G962" s="4" t="n"/>
      <c r="H962" s="10">
        <f>IF(OR(F962="",G962=""),"",IFERROR(F962*VLOOKUP(G962,'Units'!$A$2:$D$13,4,FALSE),""))</f>
        <v/>
      </c>
      <c r="I962" s="5">
        <f>IF(D962="","",IFERROR(VLOOKUP(D962,'Items'!$A$2:$L$201,4,FALSE),""))</f>
        <v/>
      </c>
      <c r="J962" s="10">
        <f>IF(D962="","",IFERROR(VLOOKUP(D962,'Items'!$A$2:$L$201,10,FALSE),""))</f>
        <v/>
      </c>
      <c r="K962" s="10">
        <f>IF(OR(H962="",J962=""),"",H962*J962)</f>
        <v/>
      </c>
      <c r="L962" s="5">
        <f>IF(AND(B962="",D962=""),"",IF(B962="","Missing product",IF(D962="","Missing item",IF(C962="Product not found","Product not found",IF(E962="Item not found","Item not found",IF(OR(F962="",G962=""),"Missing quantity/unit",IF(IFERROR(VLOOKUP(G962,'Units'!$A$2:$D$13,3,FALSE),"")&lt;&gt;I962,"Unit mismatch",IF(J962="","Enter item cost","OK"))))))))</f>
        <v/>
      </c>
      <c r="M962" s="4" t="n"/>
    </row>
    <row r="963">
      <c r="A963" s="5">
        <f>IF(AND(B963="",D963=""),"",ROW()-1)</f>
        <v/>
      </c>
      <c r="B963" s="4" t="n"/>
      <c r="C963" s="5">
        <f>IF(B963="","",IFERROR(VLOOKUP(B963,'Products'!$A$2:$F$201,2,FALSE),"Product not found"))</f>
        <v/>
      </c>
      <c r="D963" s="4" t="n"/>
      <c r="E963" s="5">
        <f>IF(D963="","",IFERROR(VLOOKUP(D963,'Items'!$A$2:$L$201,2,FALSE),"Item not found"))</f>
        <v/>
      </c>
      <c r="F963" s="9" t="n"/>
      <c r="G963" s="4" t="n"/>
      <c r="H963" s="10">
        <f>IF(OR(F963="",G963=""),"",IFERROR(F963*VLOOKUP(G963,'Units'!$A$2:$D$13,4,FALSE),""))</f>
        <v/>
      </c>
      <c r="I963" s="5">
        <f>IF(D963="","",IFERROR(VLOOKUP(D963,'Items'!$A$2:$L$201,4,FALSE),""))</f>
        <v/>
      </c>
      <c r="J963" s="10">
        <f>IF(D963="","",IFERROR(VLOOKUP(D963,'Items'!$A$2:$L$201,10,FALSE),""))</f>
        <v/>
      </c>
      <c r="K963" s="10">
        <f>IF(OR(H963="",J963=""),"",H963*J963)</f>
        <v/>
      </c>
      <c r="L963" s="5">
        <f>IF(AND(B963="",D963=""),"",IF(B963="","Missing product",IF(D963="","Missing item",IF(C963="Product not found","Product not found",IF(E963="Item not found","Item not found",IF(OR(F963="",G963=""),"Missing quantity/unit",IF(IFERROR(VLOOKUP(G963,'Units'!$A$2:$D$13,3,FALSE),"")&lt;&gt;I963,"Unit mismatch",IF(J963="","Enter item cost","OK"))))))))</f>
        <v/>
      </c>
      <c r="M963" s="4" t="n"/>
    </row>
    <row r="964">
      <c r="A964" s="5">
        <f>IF(AND(B964="",D964=""),"",ROW()-1)</f>
        <v/>
      </c>
      <c r="B964" s="4" t="n"/>
      <c r="C964" s="5">
        <f>IF(B964="","",IFERROR(VLOOKUP(B964,'Products'!$A$2:$F$201,2,FALSE),"Product not found"))</f>
        <v/>
      </c>
      <c r="D964" s="4" t="n"/>
      <c r="E964" s="5">
        <f>IF(D964="","",IFERROR(VLOOKUP(D964,'Items'!$A$2:$L$201,2,FALSE),"Item not found"))</f>
        <v/>
      </c>
      <c r="F964" s="9" t="n"/>
      <c r="G964" s="4" t="n"/>
      <c r="H964" s="10">
        <f>IF(OR(F964="",G964=""),"",IFERROR(F964*VLOOKUP(G964,'Units'!$A$2:$D$13,4,FALSE),""))</f>
        <v/>
      </c>
      <c r="I964" s="5">
        <f>IF(D964="","",IFERROR(VLOOKUP(D964,'Items'!$A$2:$L$201,4,FALSE),""))</f>
        <v/>
      </c>
      <c r="J964" s="10">
        <f>IF(D964="","",IFERROR(VLOOKUP(D964,'Items'!$A$2:$L$201,10,FALSE),""))</f>
        <v/>
      </c>
      <c r="K964" s="10">
        <f>IF(OR(H964="",J964=""),"",H964*J964)</f>
        <v/>
      </c>
      <c r="L964" s="5">
        <f>IF(AND(B964="",D964=""),"",IF(B964="","Missing product",IF(D964="","Missing item",IF(C964="Product not found","Product not found",IF(E964="Item not found","Item not found",IF(OR(F964="",G964=""),"Missing quantity/unit",IF(IFERROR(VLOOKUP(G964,'Units'!$A$2:$D$13,3,FALSE),"")&lt;&gt;I964,"Unit mismatch",IF(J964="","Enter item cost","OK"))))))))</f>
        <v/>
      </c>
      <c r="M964" s="4" t="n"/>
    </row>
    <row r="965">
      <c r="A965" s="5">
        <f>IF(AND(B965="",D965=""),"",ROW()-1)</f>
        <v/>
      </c>
      <c r="B965" s="4" t="n"/>
      <c r="C965" s="5">
        <f>IF(B965="","",IFERROR(VLOOKUP(B965,'Products'!$A$2:$F$201,2,FALSE),"Product not found"))</f>
        <v/>
      </c>
      <c r="D965" s="4" t="n"/>
      <c r="E965" s="5">
        <f>IF(D965="","",IFERROR(VLOOKUP(D965,'Items'!$A$2:$L$201,2,FALSE),"Item not found"))</f>
        <v/>
      </c>
      <c r="F965" s="9" t="n"/>
      <c r="G965" s="4" t="n"/>
      <c r="H965" s="10">
        <f>IF(OR(F965="",G965=""),"",IFERROR(F965*VLOOKUP(G965,'Units'!$A$2:$D$13,4,FALSE),""))</f>
        <v/>
      </c>
      <c r="I965" s="5">
        <f>IF(D965="","",IFERROR(VLOOKUP(D965,'Items'!$A$2:$L$201,4,FALSE),""))</f>
        <v/>
      </c>
      <c r="J965" s="10">
        <f>IF(D965="","",IFERROR(VLOOKUP(D965,'Items'!$A$2:$L$201,10,FALSE),""))</f>
        <v/>
      </c>
      <c r="K965" s="10">
        <f>IF(OR(H965="",J965=""),"",H965*J965)</f>
        <v/>
      </c>
      <c r="L965" s="5">
        <f>IF(AND(B965="",D965=""),"",IF(B965="","Missing product",IF(D965="","Missing item",IF(C965="Product not found","Product not found",IF(E965="Item not found","Item not found",IF(OR(F965="",G965=""),"Missing quantity/unit",IF(IFERROR(VLOOKUP(G965,'Units'!$A$2:$D$13,3,FALSE),"")&lt;&gt;I965,"Unit mismatch",IF(J965="","Enter item cost","OK"))))))))</f>
        <v/>
      </c>
      <c r="M965" s="4" t="n"/>
    </row>
    <row r="966">
      <c r="A966" s="5">
        <f>IF(AND(B966="",D966=""),"",ROW()-1)</f>
        <v/>
      </c>
      <c r="B966" s="4" t="n"/>
      <c r="C966" s="5">
        <f>IF(B966="","",IFERROR(VLOOKUP(B966,'Products'!$A$2:$F$201,2,FALSE),"Product not found"))</f>
        <v/>
      </c>
      <c r="D966" s="4" t="n"/>
      <c r="E966" s="5">
        <f>IF(D966="","",IFERROR(VLOOKUP(D966,'Items'!$A$2:$L$201,2,FALSE),"Item not found"))</f>
        <v/>
      </c>
      <c r="F966" s="9" t="n"/>
      <c r="G966" s="4" t="n"/>
      <c r="H966" s="10">
        <f>IF(OR(F966="",G966=""),"",IFERROR(F966*VLOOKUP(G966,'Units'!$A$2:$D$13,4,FALSE),""))</f>
        <v/>
      </c>
      <c r="I966" s="5">
        <f>IF(D966="","",IFERROR(VLOOKUP(D966,'Items'!$A$2:$L$201,4,FALSE),""))</f>
        <v/>
      </c>
      <c r="J966" s="10">
        <f>IF(D966="","",IFERROR(VLOOKUP(D966,'Items'!$A$2:$L$201,10,FALSE),""))</f>
        <v/>
      </c>
      <c r="K966" s="10">
        <f>IF(OR(H966="",J966=""),"",H966*J966)</f>
        <v/>
      </c>
      <c r="L966" s="5">
        <f>IF(AND(B966="",D966=""),"",IF(B966="","Missing product",IF(D966="","Missing item",IF(C966="Product not found","Product not found",IF(E966="Item not found","Item not found",IF(OR(F966="",G966=""),"Missing quantity/unit",IF(IFERROR(VLOOKUP(G966,'Units'!$A$2:$D$13,3,FALSE),"")&lt;&gt;I966,"Unit mismatch",IF(J966="","Enter item cost","OK"))))))))</f>
        <v/>
      </c>
      <c r="M966" s="4" t="n"/>
    </row>
    <row r="967">
      <c r="A967" s="5">
        <f>IF(AND(B967="",D967=""),"",ROW()-1)</f>
        <v/>
      </c>
      <c r="B967" s="4" t="n"/>
      <c r="C967" s="5">
        <f>IF(B967="","",IFERROR(VLOOKUP(B967,'Products'!$A$2:$F$201,2,FALSE),"Product not found"))</f>
        <v/>
      </c>
      <c r="D967" s="4" t="n"/>
      <c r="E967" s="5">
        <f>IF(D967="","",IFERROR(VLOOKUP(D967,'Items'!$A$2:$L$201,2,FALSE),"Item not found"))</f>
        <v/>
      </c>
      <c r="F967" s="9" t="n"/>
      <c r="G967" s="4" t="n"/>
      <c r="H967" s="10">
        <f>IF(OR(F967="",G967=""),"",IFERROR(F967*VLOOKUP(G967,'Units'!$A$2:$D$13,4,FALSE),""))</f>
        <v/>
      </c>
      <c r="I967" s="5">
        <f>IF(D967="","",IFERROR(VLOOKUP(D967,'Items'!$A$2:$L$201,4,FALSE),""))</f>
        <v/>
      </c>
      <c r="J967" s="10">
        <f>IF(D967="","",IFERROR(VLOOKUP(D967,'Items'!$A$2:$L$201,10,FALSE),""))</f>
        <v/>
      </c>
      <c r="K967" s="10">
        <f>IF(OR(H967="",J967=""),"",H967*J967)</f>
        <v/>
      </c>
      <c r="L967" s="5">
        <f>IF(AND(B967="",D967=""),"",IF(B967="","Missing product",IF(D967="","Missing item",IF(C967="Product not found","Product not found",IF(E967="Item not found","Item not found",IF(OR(F967="",G967=""),"Missing quantity/unit",IF(IFERROR(VLOOKUP(G967,'Units'!$A$2:$D$13,3,FALSE),"")&lt;&gt;I967,"Unit mismatch",IF(J967="","Enter item cost","OK"))))))))</f>
        <v/>
      </c>
      <c r="M967" s="4" t="n"/>
    </row>
    <row r="968">
      <c r="A968" s="5">
        <f>IF(AND(B968="",D968=""),"",ROW()-1)</f>
        <v/>
      </c>
      <c r="B968" s="4" t="n"/>
      <c r="C968" s="5">
        <f>IF(B968="","",IFERROR(VLOOKUP(B968,'Products'!$A$2:$F$201,2,FALSE),"Product not found"))</f>
        <v/>
      </c>
      <c r="D968" s="4" t="n"/>
      <c r="E968" s="5">
        <f>IF(D968="","",IFERROR(VLOOKUP(D968,'Items'!$A$2:$L$201,2,FALSE),"Item not found"))</f>
        <v/>
      </c>
      <c r="F968" s="9" t="n"/>
      <c r="G968" s="4" t="n"/>
      <c r="H968" s="10">
        <f>IF(OR(F968="",G968=""),"",IFERROR(F968*VLOOKUP(G968,'Units'!$A$2:$D$13,4,FALSE),""))</f>
        <v/>
      </c>
      <c r="I968" s="5">
        <f>IF(D968="","",IFERROR(VLOOKUP(D968,'Items'!$A$2:$L$201,4,FALSE),""))</f>
        <v/>
      </c>
      <c r="J968" s="10">
        <f>IF(D968="","",IFERROR(VLOOKUP(D968,'Items'!$A$2:$L$201,10,FALSE),""))</f>
        <v/>
      </c>
      <c r="K968" s="10">
        <f>IF(OR(H968="",J968=""),"",H968*J968)</f>
        <v/>
      </c>
      <c r="L968" s="5">
        <f>IF(AND(B968="",D968=""),"",IF(B968="","Missing product",IF(D968="","Missing item",IF(C968="Product not found","Product not found",IF(E968="Item not found","Item not found",IF(OR(F968="",G968=""),"Missing quantity/unit",IF(IFERROR(VLOOKUP(G968,'Units'!$A$2:$D$13,3,FALSE),"")&lt;&gt;I968,"Unit mismatch",IF(J968="","Enter item cost","OK"))))))))</f>
        <v/>
      </c>
      <c r="M968" s="4" t="n"/>
    </row>
    <row r="969">
      <c r="A969" s="5">
        <f>IF(AND(B969="",D969=""),"",ROW()-1)</f>
        <v/>
      </c>
      <c r="B969" s="4" t="n"/>
      <c r="C969" s="5">
        <f>IF(B969="","",IFERROR(VLOOKUP(B969,'Products'!$A$2:$F$201,2,FALSE),"Product not found"))</f>
        <v/>
      </c>
      <c r="D969" s="4" t="n"/>
      <c r="E969" s="5">
        <f>IF(D969="","",IFERROR(VLOOKUP(D969,'Items'!$A$2:$L$201,2,FALSE),"Item not found"))</f>
        <v/>
      </c>
      <c r="F969" s="9" t="n"/>
      <c r="G969" s="4" t="n"/>
      <c r="H969" s="10">
        <f>IF(OR(F969="",G969=""),"",IFERROR(F969*VLOOKUP(G969,'Units'!$A$2:$D$13,4,FALSE),""))</f>
        <v/>
      </c>
      <c r="I969" s="5">
        <f>IF(D969="","",IFERROR(VLOOKUP(D969,'Items'!$A$2:$L$201,4,FALSE),""))</f>
        <v/>
      </c>
      <c r="J969" s="10">
        <f>IF(D969="","",IFERROR(VLOOKUP(D969,'Items'!$A$2:$L$201,10,FALSE),""))</f>
        <v/>
      </c>
      <c r="K969" s="10">
        <f>IF(OR(H969="",J969=""),"",H969*J969)</f>
        <v/>
      </c>
      <c r="L969" s="5">
        <f>IF(AND(B969="",D969=""),"",IF(B969="","Missing product",IF(D969="","Missing item",IF(C969="Product not found","Product not found",IF(E969="Item not found","Item not found",IF(OR(F969="",G969=""),"Missing quantity/unit",IF(IFERROR(VLOOKUP(G969,'Units'!$A$2:$D$13,3,FALSE),"")&lt;&gt;I969,"Unit mismatch",IF(J969="","Enter item cost","OK"))))))))</f>
        <v/>
      </c>
      <c r="M969" s="4" t="n"/>
    </row>
    <row r="970">
      <c r="A970" s="5">
        <f>IF(AND(B970="",D970=""),"",ROW()-1)</f>
        <v/>
      </c>
      <c r="B970" s="4" t="n"/>
      <c r="C970" s="5">
        <f>IF(B970="","",IFERROR(VLOOKUP(B970,'Products'!$A$2:$F$201,2,FALSE),"Product not found"))</f>
        <v/>
      </c>
      <c r="D970" s="4" t="n"/>
      <c r="E970" s="5">
        <f>IF(D970="","",IFERROR(VLOOKUP(D970,'Items'!$A$2:$L$201,2,FALSE),"Item not found"))</f>
        <v/>
      </c>
      <c r="F970" s="9" t="n"/>
      <c r="G970" s="4" t="n"/>
      <c r="H970" s="10">
        <f>IF(OR(F970="",G970=""),"",IFERROR(F970*VLOOKUP(G970,'Units'!$A$2:$D$13,4,FALSE),""))</f>
        <v/>
      </c>
      <c r="I970" s="5">
        <f>IF(D970="","",IFERROR(VLOOKUP(D970,'Items'!$A$2:$L$201,4,FALSE),""))</f>
        <v/>
      </c>
      <c r="J970" s="10">
        <f>IF(D970="","",IFERROR(VLOOKUP(D970,'Items'!$A$2:$L$201,10,FALSE),""))</f>
        <v/>
      </c>
      <c r="K970" s="10">
        <f>IF(OR(H970="",J970=""),"",H970*J970)</f>
        <v/>
      </c>
      <c r="L970" s="5">
        <f>IF(AND(B970="",D970=""),"",IF(B970="","Missing product",IF(D970="","Missing item",IF(C970="Product not found","Product not found",IF(E970="Item not found","Item not found",IF(OR(F970="",G970=""),"Missing quantity/unit",IF(IFERROR(VLOOKUP(G970,'Units'!$A$2:$D$13,3,FALSE),"")&lt;&gt;I970,"Unit mismatch",IF(J970="","Enter item cost","OK"))))))))</f>
        <v/>
      </c>
      <c r="M970" s="4" t="n"/>
    </row>
    <row r="971">
      <c r="A971" s="5">
        <f>IF(AND(B971="",D971=""),"",ROW()-1)</f>
        <v/>
      </c>
      <c r="B971" s="4" t="n"/>
      <c r="C971" s="5">
        <f>IF(B971="","",IFERROR(VLOOKUP(B971,'Products'!$A$2:$F$201,2,FALSE),"Product not found"))</f>
        <v/>
      </c>
      <c r="D971" s="4" t="n"/>
      <c r="E971" s="5">
        <f>IF(D971="","",IFERROR(VLOOKUP(D971,'Items'!$A$2:$L$201,2,FALSE),"Item not found"))</f>
        <v/>
      </c>
      <c r="F971" s="9" t="n"/>
      <c r="G971" s="4" t="n"/>
      <c r="H971" s="10">
        <f>IF(OR(F971="",G971=""),"",IFERROR(F971*VLOOKUP(G971,'Units'!$A$2:$D$13,4,FALSE),""))</f>
        <v/>
      </c>
      <c r="I971" s="5">
        <f>IF(D971="","",IFERROR(VLOOKUP(D971,'Items'!$A$2:$L$201,4,FALSE),""))</f>
        <v/>
      </c>
      <c r="J971" s="10">
        <f>IF(D971="","",IFERROR(VLOOKUP(D971,'Items'!$A$2:$L$201,10,FALSE),""))</f>
        <v/>
      </c>
      <c r="K971" s="10">
        <f>IF(OR(H971="",J971=""),"",H971*J971)</f>
        <v/>
      </c>
      <c r="L971" s="5">
        <f>IF(AND(B971="",D971=""),"",IF(B971="","Missing product",IF(D971="","Missing item",IF(C971="Product not found","Product not found",IF(E971="Item not found","Item not found",IF(OR(F971="",G971=""),"Missing quantity/unit",IF(IFERROR(VLOOKUP(G971,'Units'!$A$2:$D$13,3,FALSE),"")&lt;&gt;I971,"Unit mismatch",IF(J971="","Enter item cost","OK"))))))))</f>
        <v/>
      </c>
      <c r="M971" s="4" t="n"/>
    </row>
    <row r="972">
      <c r="A972" s="5">
        <f>IF(AND(B972="",D972=""),"",ROW()-1)</f>
        <v/>
      </c>
      <c r="B972" s="4" t="n"/>
      <c r="C972" s="5">
        <f>IF(B972="","",IFERROR(VLOOKUP(B972,'Products'!$A$2:$F$201,2,FALSE),"Product not found"))</f>
        <v/>
      </c>
      <c r="D972" s="4" t="n"/>
      <c r="E972" s="5">
        <f>IF(D972="","",IFERROR(VLOOKUP(D972,'Items'!$A$2:$L$201,2,FALSE),"Item not found"))</f>
        <v/>
      </c>
      <c r="F972" s="9" t="n"/>
      <c r="G972" s="4" t="n"/>
      <c r="H972" s="10">
        <f>IF(OR(F972="",G972=""),"",IFERROR(F972*VLOOKUP(G972,'Units'!$A$2:$D$13,4,FALSE),""))</f>
        <v/>
      </c>
      <c r="I972" s="5">
        <f>IF(D972="","",IFERROR(VLOOKUP(D972,'Items'!$A$2:$L$201,4,FALSE),""))</f>
        <v/>
      </c>
      <c r="J972" s="10">
        <f>IF(D972="","",IFERROR(VLOOKUP(D972,'Items'!$A$2:$L$201,10,FALSE),""))</f>
        <v/>
      </c>
      <c r="K972" s="10">
        <f>IF(OR(H972="",J972=""),"",H972*J972)</f>
        <v/>
      </c>
      <c r="L972" s="5">
        <f>IF(AND(B972="",D972=""),"",IF(B972="","Missing product",IF(D972="","Missing item",IF(C972="Product not found","Product not found",IF(E972="Item not found","Item not found",IF(OR(F972="",G972=""),"Missing quantity/unit",IF(IFERROR(VLOOKUP(G972,'Units'!$A$2:$D$13,3,FALSE),"")&lt;&gt;I972,"Unit mismatch",IF(J972="","Enter item cost","OK"))))))))</f>
        <v/>
      </c>
      <c r="M972" s="4" t="n"/>
    </row>
    <row r="973">
      <c r="A973" s="5">
        <f>IF(AND(B973="",D973=""),"",ROW()-1)</f>
        <v/>
      </c>
      <c r="B973" s="4" t="n"/>
      <c r="C973" s="5">
        <f>IF(B973="","",IFERROR(VLOOKUP(B973,'Products'!$A$2:$F$201,2,FALSE),"Product not found"))</f>
        <v/>
      </c>
      <c r="D973" s="4" t="n"/>
      <c r="E973" s="5">
        <f>IF(D973="","",IFERROR(VLOOKUP(D973,'Items'!$A$2:$L$201,2,FALSE),"Item not found"))</f>
        <v/>
      </c>
      <c r="F973" s="9" t="n"/>
      <c r="G973" s="4" t="n"/>
      <c r="H973" s="10">
        <f>IF(OR(F973="",G973=""),"",IFERROR(F973*VLOOKUP(G973,'Units'!$A$2:$D$13,4,FALSE),""))</f>
        <v/>
      </c>
      <c r="I973" s="5">
        <f>IF(D973="","",IFERROR(VLOOKUP(D973,'Items'!$A$2:$L$201,4,FALSE),""))</f>
        <v/>
      </c>
      <c r="J973" s="10">
        <f>IF(D973="","",IFERROR(VLOOKUP(D973,'Items'!$A$2:$L$201,10,FALSE),""))</f>
        <v/>
      </c>
      <c r="K973" s="10">
        <f>IF(OR(H973="",J973=""),"",H973*J973)</f>
        <v/>
      </c>
      <c r="L973" s="5">
        <f>IF(AND(B973="",D973=""),"",IF(B973="","Missing product",IF(D973="","Missing item",IF(C973="Product not found","Product not found",IF(E973="Item not found","Item not found",IF(OR(F973="",G973=""),"Missing quantity/unit",IF(IFERROR(VLOOKUP(G973,'Units'!$A$2:$D$13,3,FALSE),"")&lt;&gt;I973,"Unit mismatch",IF(J973="","Enter item cost","OK"))))))))</f>
        <v/>
      </c>
      <c r="M973" s="4" t="n"/>
    </row>
    <row r="974">
      <c r="A974" s="5">
        <f>IF(AND(B974="",D974=""),"",ROW()-1)</f>
        <v/>
      </c>
      <c r="B974" s="4" t="n"/>
      <c r="C974" s="5">
        <f>IF(B974="","",IFERROR(VLOOKUP(B974,'Products'!$A$2:$F$201,2,FALSE),"Product not found"))</f>
        <v/>
      </c>
      <c r="D974" s="4" t="n"/>
      <c r="E974" s="5">
        <f>IF(D974="","",IFERROR(VLOOKUP(D974,'Items'!$A$2:$L$201,2,FALSE),"Item not found"))</f>
        <v/>
      </c>
      <c r="F974" s="9" t="n"/>
      <c r="G974" s="4" t="n"/>
      <c r="H974" s="10">
        <f>IF(OR(F974="",G974=""),"",IFERROR(F974*VLOOKUP(G974,'Units'!$A$2:$D$13,4,FALSE),""))</f>
        <v/>
      </c>
      <c r="I974" s="5">
        <f>IF(D974="","",IFERROR(VLOOKUP(D974,'Items'!$A$2:$L$201,4,FALSE),""))</f>
        <v/>
      </c>
      <c r="J974" s="10">
        <f>IF(D974="","",IFERROR(VLOOKUP(D974,'Items'!$A$2:$L$201,10,FALSE),""))</f>
        <v/>
      </c>
      <c r="K974" s="10">
        <f>IF(OR(H974="",J974=""),"",H974*J974)</f>
        <v/>
      </c>
      <c r="L974" s="5">
        <f>IF(AND(B974="",D974=""),"",IF(B974="","Missing product",IF(D974="","Missing item",IF(C974="Product not found","Product not found",IF(E974="Item not found","Item not found",IF(OR(F974="",G974=""),"Missing quantity/unit",IF(IFERROR(VLOOKUP(G974,'Units'!$A$2:$D$13,3,FALSE),"")&lt;&gt;I974,"Unit mismatch",IF(J974="","Enter item cost","OK"))))))))</f>
        <v/>
      </c>
      <c r="M974" s="4" t="n"/>
    </row>
    <row r="975">
      <c r="A975" s="5">
        <f>IF(AND(B975="",D975=""),"",ROW()-1)</f>
        <v/>
      </c>
      <c r="B975" s="4" t="n"/>
      <c r="C975" s="5">
        <f>IF(B975="","",IFERROR(VLOOKUP(B975,'Products'!$A$2:$F$201,2,FALSE),"Product not found"))</f>
        <v/>
      </c>
      <c r="D975" s="4" t="n"/>
      <c r="E975" s="5">
        <f>IF(D975="","",IFERROR(VLOOKUP(D975,'Items'!$A$2:$L$201,2,FALSE),"Item not found"))</f>
        <v/>
      </c>
      <c r="F975" s="9" t="n"/>
      <c r="G975" s="4" t="n"/>
      <c r="H975" s="10">
        <f>IF(OR(F975="",G975=""),"",IFERROR(F975*VLOOKUP(G975,'Units'!$A$2:$D$13,4,FALSE),""))</f>
        <v/>
      </c>
      <c r="I975" s="5">
        <f>IF(D975="","",IFERROR(VLOOKUP(D975,'Items'!$A$2:$L$201,4,FALSE),""))</f>
        <v/>
      </c>
      <c r="J975" s="10">
        <f>IF(D975="","",IFERROR(VLOOKUP(D975,'Items'!$A$2:$L$201,10,FALSE),""))</f>
        <v/>
      </c>
      <c r="K975" s="10">
        <f>IF(OR(H975="",J975=""),"",H975*J975)</f>
        <v/>
      </c>
      <c r="L975" s="5">
        <f>IF(AND(B975="",D975=""),"",IF(B975="","Missing product",IF(D975="","Missing item",IF(C975="Product not found","Product not found",IF(E975="Item not found","Item not found",IF(OR(F975="",G975=""),"Missing quantity/unit",IF(IFERROR(VLOOKUP(G975,'Units'!$A$2:$D$13,3,FALSE),"")&lt;&gt;I975,"Unit mismatch",IF(J975="","Enter item cost","OK"))))))))</f>
        <v/>
      </c>
      <c r="M975" s="4" t="n"/>
    </row>
    <row r="976">
      <c r="A976" s="5">
        <f>IF(AND(B976="",D976=""),"",ROW()-1)</f>
        <v/>
      </c>
      <c r="B976" s="4" t="n"/>
      <c r="C976" s="5">
        <f>IF(B976="","",IFERROR(VLOOKUP(B976,'Products'!$A$2:$F$201,2,FALSE),"Product not found"))</f>
        <v/>
      </c>
      <c r="D976" s="4" t="n"/>
      <c r="E976" s="5">
        <f>IF(D976="","",IFERROR(VLOOKUP(D976,'Items'!$A$2:$L$201,2,FALSE),"Item not found"))</f>
        <v/>
      </c>
      <c r="F976" s="9" t="n"/>
      <c r="G976" s="4" t="n"/>
      <c r="H976" s="10">
        <f>IF(OR(F976="",G976=""),"",IFERROR(F976*VLOOKUP(G976,'Units'!$A$2:$D$13,4,FALSE),""))</f>
        <v/>
      </c>
      <c r="I976" s="5">
        <f>IF(D976="","",IFERROR(VLOOKUP(D976,'Items'!$A$2:$L$201,4,FALSE),""))</f>
        <v/>
      </c>
      <c r="J976" s="10">
        <f>IF(D976="","",IFERROR(VLOOKUP(D976,'Items'!$A$2:$L$201,10,FALSE),""))</f>
        <v/>
      </c>
      <c r="K976" s="10">
        <f>IF(OR(H976="",J976=""),"",H976*J976)</f>
        <v/>
      </c>
      <c r="L976" s="5">
        <f>IF(AND(B976="",D976=""),"",IF(B976="","Missing product",IF(D976="","Missing item",IF(C976="Product not found","Product not found",IF(E976="Item not found","Item not found",IF(OR(F976="",G976=""),"Missing quantity/unit",IF(IFERROR(VLOOKUP(G976,'Units'!$A$2:$D$13,3,FALSE),"")&lt;&gt;I976,"Unit mismatch",IF(J976="","Enter item cost","OK"))))))))</f>
        <v/>
      </c>
      <c r="M976" s="4" t="n"/>
    </row>
    <row r="977">
      <c r="A977" s="5">
        <f>IF(AND(B977="",D977=""),"",ROW()-1)</f>
        <v/>
      </c>
      <c r="B977" s="4" t="n"/>
      <c r="C977" s="5">
        <f>IF(B977="","",IFERROR(VLOOKUP(B977,'Products'!$A$2:$F$201,2,FALSE),"Product not found"))</f>
        <v/>
      </c>
      <c r="D977" s="4" t="n"/>
      <c r="E977" s="5">
        <f>IF(D977="","",IFERROR(VLOOKUP(D977,'Items'!$A$2:$L$201,2,FALSE),"Item not found"))</f>
        <v/>
      </c>
      <c r="F977" s="9" t="n"/>
      <c r="G977" s="4" t="n"/>
      <c r="H977" s="10">
        <f>IF(OR(F977="",G977=""),"",IFERROR(F977*VLOOKUP(G977,'Units'!$A$2:$D$13,4,FALSE),""))</f>
        <v/>
      </c>
      <c r="I977" s="5">
        <f>IF(D977="","",IFERROR(VLOOKUP(D977,'Items'!$A$2:$L$201,4,FALSE),""))</f>
        <v/>
      </c>
      <c r="J977" s="10">
        <f>IF(D977="","",IFERROR(VLOOKUP(D977,'Items'!$A$2:$L$201,10,FALSE),""))</f>
        <v/>
      </c>
      <c r="K977" s="10">
        <f>IF(OR(H977="",J977=""),"",H977*J977)</f>
        <v/>
      </c>
      <c r="L977" s="5">
        <f>IF(AND(B977="",D977=""),"",IF(B977="","Missing product",IF(D977="","Missing item",IF(C977="Product not found","Product not found",IF(E977="Item not found","Item not found",IF(OR(F977="",G977=""),"Missing quantity/unit",IF(IFERROR(VLOOKUP(G977,'Units'!$A$2:$D$13,3,FALSE),"")&lt;&gt;I977,"Unit mismatch",IF(J977="","Enter item cost","OK"))))))))</f>
        <v/>
      </c>
      <c r="M977" s="4" t="n"/>
    </row>
    <row r="978">
      <c r="A978" s="5">
        <f>IF(AND(B978="",D978=""),"",ROW()-1)</f>
        <v/>
      </c>
      <c r="B978" s="4" t="n"/>
      <c r="C978" s="5">
        <f>IF(B978="","",IFERROR(VLOOKUP(B978,'Products'!$A$2:$F$201,2,FALSE),"Product not found"))</f>
        <v/>
      </c>
      <c r="D978" s="4" t="n"/>
      <c r="E978" s="5">
        <f>IF(D978="","",IFERROR(VLOOKUP(D978,'Items'!$A$2:$L$201,2,FALSE),"Item not found"))</f>
        <v/>
      </c>
      <c r="F978" s="9" t="n"/>
      <c r="G978" s="4" t="n"/>
      <c r="H978" s="10">
        <f>IF(OR(F978="",G978=""),"",IFERROR(F978*VLOOKUP(G978,'Units'!$A$2:$D$13,4,FALSE),""))</f>
        <v/>
      </c>
      <c r="I978" s="5">
        <f>IF(D978="","",IFERROR(VLOOKUP(D978,'Items'!$A$2:$L$201,4,FALSE),""))</f>
        <v/>
      </c>
      <c r="J978" s="10">
        <f>IF(D978="","",IFERROR(VLOOKUP(D978,'Items'!$A$2:$L$201,10,FALSE),""))</f>
        <v/>
      </c>
      <c r="K978" s="10">
        <f>IF(OR(H978="",J978=""),"",H978*J978)</f>
        <v/>
      </c>
      <c r="L978" s="5">
        <f>IF(AND(B978="",D978=""),"",IF(B978="","Missing product",IF(D978="","Missing item",IF(C978="Product not found","Product not found",IF(E978="Item not found","Item not found",IF(OR(F978="",G978=""),"Missing quantity/unit",IF(IFERROR(VLOOKUP(G978,'Units'!$A$2:$D$13,3,FALSE),"")&lt;&gt;I978,"Unit mismatch",IF(J978="","Enter item cost","OK"))))))))</f>
        <v/>
      </c>
      <c r="M978" s="4" t="n"/>
    </row>
    <row r="979">
      <c r="A979" s="5">
        <f>IF(AND(B979="",D979=""),"",ROW()-1)</f>
        <v/>
      </c>
      <c r="B979" s="4" t="n"/>
      <c r="C979" s="5">
        <f>IF(B979="","",IFERROR(VLOOKUP(B979,'Products'!$A$2:$F$201,2,FALSE),"Product not found"))</f>
        <v/>
      </c>
      <c r="D979" s="4" t="n"/>
      <c r="E979" s="5">
        <f>IF(D979="","",IFERROR(VLOOKUP(D979,'Items'!$A$2:$L$201,2,FALSE),"Item not found"))</f>
        <v/>
      </c>
      <c r="F979" s="9" t="n"/>
      <c r="G979" s="4" t="n"/>
      <c r="H979" s="10">
        <f>IF(OR(F979="",G979=""),"",IFERROR(F979*VLOOKUP(G979,'Units'!$A$2:$D$13,4,FALSE),""))</f>
        <v/>
      </c>
      <c r="I979" s="5">
        <f>IF(D979="","",IFERROR(VLOOKUP(D979,'Items'!$A$2:$L$201,4,FALSE),""))</f>
        <v/>
      </c>
      <c r="J979" s="10">
        <f>IF(D979="","",IFERROR(VLOOKUP(D979,'Items'!$A$2:$L$201,10,FALSE),""))</f>
        <v/>
      </c>
      <c r="K979" s="10">
        <f>IF(OR(H979="",J979=""),"",H979*J979)</f>
        <v/>
      </c>
      <c r="L979" s="5">
        <f>IF(AND(B979="",D979=""),"",IF(B979="","Missing product",IF(D979="","Missing item",IF(C979="Product not found","Product not found",IF(E979="Item not found","Item not found",IF(OR(F979="",G979=""),"Missing quantity/unit",IF(IFERROR(VLOOKUP(G979,'Units'!$A$2:$D$13,3,FALSE),"")&lt;&gt;I979,"Unit mismatch",IF(J979="","Enter item cost","OK"))))))))</f>
        <v/>
      </c>
      <c r="M979" s="4" t="n"/>
    </row>
    <row r="980">
      <c r="A980" s="5">
        <f>IF(AND(B980="",D980=""),"",ROW()-1)</f>
        <v/>
      </c>
      <c r="B980" s="4" t="n"/>
      <c r="C980" s="5">
        <f>IF(B980="","",IFERROR(VLOOKUP(B980,'Products'!$A$2:$F$201,2,FALSE),"Product not found"))</f>
        <v/>
      </c>
      <c r="D980" s="4" t="n"/>
      <c r="E980" s="5">
        <f>IF(D980="","",IFERROR(VLOOKUP(D980,'Items'!$A$2:$L$201,2,FALSE),"Item not found"))</f>
        <v/>
      </c>
      <c r="F980" s="9" t="n"/>
      <c r="G980" s="4" t="n"/>
      <c r="H980" s="10">
        <f>IF(OR(F980="",G980=""),"",IFERROR(F980*VLOOKUP(G980,'Units'!$A$2:$D$13,4,FALSE),""))</f>
        <v/>
      </c>
      <c r="I980" s="5">
        <f>IF(D980="","",IFERROR(VLOOKUP(D980,'Items'!$A$2:$L$201,4,FALSE),""))</f>
        <v/>
      </c>
      <c r="J980" s="10">
        <f>IF(D980="","",IFERROR(VLOOKUP(D980,'Items'!$A$2:$L$201,10,FALSE),""))</f>
        <v/>
      </c>
      <c r="K980" s="10">
        <f>IF(OR(H980="",J980=""),"",H980*J980)</f>
        <v/>
      </c>
      <c r="L980" s="5">
        <f>IF(AND(B980="",D980=""),"",IF(B980="","Missing product",IF(D980="","Missing item",IF(C980="Product not found","Product not found",IF(E980="Item not found","Item not found",IF(OR(F980="",G980=""),"Missing quantity/unit",IF(IFERROR(VLOOKUP(G980,'Units'!$A$2:$D$13,3,FALSE),"")&lt;&gt;I980,"Unit mismatch",IF(J980="","Enter item cost","OK"))))))))</f>
        <v/>
      </c>
      <c r="M980" s="4" t="n"/>
    </row>
    <row r="981">
      <c r="A981" s="5">
        <f>IF(AND(B981="",D981=""),"",ROW()-1)</f>
        <v/>
      </c>
      <c r="B981" s="4" t="n"/>
      <c r="C981" s="5">
        <f>IF(B981="","",IFERROR(VLOOKUP(B981,'Products'!$A$2:$F$201,2,FALSE),"Product not found"))</f>
        <v/>
      </c>
      <c r="D981" s="4" t="n"/>
      <c r="E981" s="5">
        <f>IF(D981="","",IFERROR(VLOOKUP(D981,'Items'!$A$2:$L$201,2,FALSE),"Item not found"))</f>
        <v/>
      </c>
      <c r="F981" s="9" t="n"/>
      <c r="G981" s="4" t="n"/>
      <c r="H981" s="10">
        <f>IF(OR(F981="",G981=""),"",IFERROR(F981*VLOOKUP(G981,'Units'!$A$2:$D$13,4,FALSE),""))</f>
        <v/>
      </c>
      <c r="I981" s="5">
        <f>IF(D981="","",IFERROR(VLOOKUP(D981,'Items'!$A$2:$L$201,4,FALSE),""))</f>
        <v/>
      </c>
      <c r="J981" s="10">
        <f>IF(D981="","",IFERROR(VLOOKUP(D981,'Items'!$A$2:$L$201,10,FALSE),""))</f>
        <v/>
      </c>
      <c r="K981" s="10">
        <f>IF(OR(H981="",J981=""),"",H981*J981)</f>
        <v/>
      </c>
      <c r="L981" s="5">
        <f>IF(AND(B981="",D981=""),"",IF(B981="","Missing product",IF(D981="","Missing item",IF(C981="Product not found","Product not found",IF(E981="Item not found","Item not found",IF(OR(F981="",G981=""),"Missing quantity/unit",IF(IFERROR(VLOOKUP(G981,'Units'!$A$2:$D$13,3,FALSE),"")&lt;&gt;I981,"Unit mismatch",IF(J981="","Enter item cost","OK"))))))))</f>
        <v/>
      </c>
      <c r="M981" s="4" t="n"/>
    </row>
    <row r="982">
      <c r="A982" s="5">
        <f>IF(AND(B982="",D982=""),"",ROW()-1)</f>
        <v/>
      </c>
      <c r="B982" s="4" t="n"/>
      <c r="C982" s="5">
        <f>IF(B982="","",IFERROR(VLOOKUP(B982,'Products'!$A$2:$F$201,2,FALSE),"Product not found"))</f>
        <v/>
      </c>
      <c r="D982" s="4" t="n"/>
      <c r="E982" s="5">
        <f>IF(D982="","",IFERROR(VLOOKUP(D982,'Items'!$A$2:$L$201,2,FALSE),"Item not found"))</f>
        <v/>
      </c>
      <c r="F982" s="9" t="n"/>
      <c r="G982" s="4" t="n"/>
      <c r="H982" s="10">
        <f>IF(OR(F982="",G982=""),"",IFERROR(F982*VLOOKUP(G982,'Units'!$A$2:$D$13,4,FALSE),""))</f>
        <v/>
      </c>
      <c r="I982" s="5">
        <f>IF(D982="","",IFERROR(VLOOKUP(D982,'Items'!$A$2:$L$201,4,FALSE),""))</f>
        <v/>
      </c>
      <c r="J982" s="10">
        <f>IF(D982="","",IFERROR(VLOOKUP(D982,'Items'!$A$2:$L$201,10,FALSE),""))</f>
        <v/>
      </c>
      <c r="K982" s="10">
        <f>IF(OR(H982="",J982=""),"",H982*J982)</f>
        <v/>
      </c>
      <c r="L982" s="5">
        <f>IF(AND(B982="",D982=""),"",IF(B982="","Missing product",IF(D982="","Missing item",IF(C982="Product not found","Product not found",IF(E982="Item not found","Item not found",IF(OR(F982="",G982=""),"Missing quantity/unit",IF(IFERROR(VLOOKUP(G982,'Units'!$A$2:$D$13,3,FALSE),"")&lt;&gt;I982,"Unit mismatch",IF(J982="","Enter item cost","OK"))))))))</f>
        <v/>
      </c>
      <c r="M982" s="4" t="n"/>
    </row>
    <row r="983">
      <c r="A983" s="5">
        <f>IF(AND(B983="",D983=""),"",ROW()-1)</f>
        <v/>
      </c>
      <c r="B983" s="4" t="n"/>
      <c r="C983" s="5">
        <f>IF(B983="","",IFERROR(VLOOKUP(B983,'Products'!$A$2:$F$201,2,FALSE),"Product not found"))</f>
        <v/>
      </c>
      <c r="D983" s="4" t="n"/>
      <c r="E983" s="5">
        <f>IF(D983="","",IFERROR(VLOOKUP(D983,'Items'!$A$2:$L$201,2,FALSE),"Item not found"))</f>
        <v/>
      </c>
      <c r="F983" s="9" t="n"/>
      <c r="G983" s="4" t="n"/>
      <c r="H983" s="10">
        <f>IF(OR(F983="",G983=""),"",IFERROR(F983*VLOOKUP(G983,'Units'!$A$2:$D$13,4,FALSE),""))</f>
        <v/>
      </c>
      <c r="I983" s="5">
        <f>IF(D983="","",IFERROR(VLOOKUP(D983,'Items'!$A$2:$L$201,4,FALSE),""))</f>
        <v/>
      </c>
      <c r="J983" s="10">
        <f>IF(D983="","",IFERROR(VLOOKUP(D983,'Items'!$A$2:$L$201,10,FALSE),""))</f>
        <v/>
      </c>
      <c r="K983" s="10">
        <f>IF(OR(H983="",J983=""),"",H983*J983)</f>
        <v/>
      </c>
      <c r="L983" s="5">
        <f>IF(AND(B983="",D983=""),"",IF(B983="","Missing product",IF(D983="","Missing item",IF(C983="Product not found","Product not found",IF(E983="Item not found","Item not found",IF(OR(F983="",G983=""),"Missing quantity/unit",IF(IFERROR(VLOOKUP(G983,'Units'!$A$2:$D$13,3,FALSE),"")&lt;&gt;I983,"Unit mismatch",IF(J983="","Enter item cost","OK"))))))))</f>
        <v/>
      </c>
      <c r="M983" s="4" t="n"/>
    </row>
    <row r="984">
      <c r="A984" s="5">
        <f>IF(AND(B984="",D984=""),"",ROW()-1)</f>
        <v/>
      </c>
      <c r="B984" s="4" t="n"/>
      <c r="C984" s="5">
        <f>IF(B984="","",IFERROR(VLOOKUP(B984,'Products'!$A$2:$F$201,2,FALSE),"Product not found"))</f>
        <v/>
      </c>
      <c r="D984" s="4" t="n"/>
      <c r="E984" s="5">
        <f>IF(D984="","",IFERROR(VLOOKUP(D984,'Items'!$A$2:$L$201,2,FALSE),"Item not found"))</f>
        <v/>
      </c>
      <c r="F984" s="9" t="n"/>
      <c r="G984" s="4" t="n"/>
      <c r="H984" s="10">
        <f>IF(OR(F984="",G984=""),"",IFERROR(F984*VLOOKUP(G984,'Units'!$A$2:$D$13,4,FALSE),""))</f>
        <v/>
      </c>
      <c r="I984" s="5">
        <f>IF(D984="","",IFERROR(VLOOKUP(D984,'Items'!$A$2:$L$201,4,FALSE),""))</f>
        <v/>
      </c>
      <c r="J984" s="10">
        <f>IF(D984="","",IFERROR(VLOOKUP(D984,'Items'!$A$2:$L$201,10,FALSE),""))</f>
        <v/>
      </c>
      <c r="K984" s="10">
        <f>IF(OR(H984="",J984=""),"",H984*J984)</f>
        <v/>
      </c>
      <c r="L984" s="5">
        <f>IF(AND(B984="",D984=""),"",IF(B984="","Missing product",IF(D984="","Missing item",IF(C984="Product not found","Product not found",IF(E984="Item not found","Item not found",IF(OR(F984="",G984=""),"Missing quantity/unit",IF(IFERROR(VLOOKUP(G984,'Units'!$A$2:$D$13,3,FALSE),"")&lt;&gt;I984,"Unit mismatch",IF(J984="","Enter item cost","OK"))))))))</f>
        <v/>
      </c>
      <c r="M984" s="4" t="n"/>
    </row>
    <row r="985">
      <c r="A985" s="5">
        <f>IF(AND(B985="",D985=""),"",ROW()-1)</f>
        <v/>
      </c>
      <c r="B985" s="4" t="n"/>
      <c r="C985" s="5">
        <f>IF(B985="","",IFERROR(VLOOKUP(B985,'Products'!$A$2:$F$201,2,FALSE),"Product not found"))</f>
        <v/>
      </c>
      <c r="D985" s="4" t="n"/>
      <c r="E985" s="5">
        <f>IF(D985="","",IFERROR(VLOOKUP(D985,'Items'!$A$2:$L$201,2,FALSE),"Item not found"))</f>
        <v/>
      </c>
      <c r="F985" s="9" t="n"/>
      <c r="G985" s="4" t="n"/>
      <c r="H985" s="10">
        <f>IF(OR(F985="",G985=""),"",IFERROR(F985*VLOOKUP(G985,'Units'!$A$2:$D$13,4,FALSE),""))</f>
        <v/>
      </c>
      <c r="I985" s="5">
        <f>IF(D985="","",IFERROR(VLOOKUP(D985,'Items'!$A$2:$L$201,4,FALSE),""))</f>
        <v/>
      </c>
      <c r="J985" s="10">
        <f>IF(D985="","",IFERROR(VLOOKUP(D985,'Items'!$A$2:$L$201,10,FALSE),""))</f>
        <v/>
      </c>
      <c r="K985" s="10">
        <f>IF(OR(H985="",J985=""),"",H985*J985)</f>
        <v/>
      </c>
      <c r="L985" s="5">
        <f>IF(AND(B985="",D985=""),"",IF(B985="","Missing product",IF(D985="","Missing item",IF(C985="Product not found","Product not found",IF(E985="Item not found","Item not found",IF(OR(F985="",G985=""),"Missing quantity/unit",IF(IFERROR(VLOOKUP(G985,'Units'!$A$2:$D$13,3,FALSE),"")&lt;&gt;I985,"Unit mismatch",IF(J985="","Enter item cost","OK"))))))))</f>
        <v/>
      </c>
      <c r="M985" s="4" t="n"/>
    </row>
    <row r="986">
      <c r="A986" s="5">
        <f>IF(AND(B986="",D986=""),"",ROW()-1)</f>
        <v/>
      </c>
      <c r="B986" s="4" t="n"/>
      <c r="C986" s="5">
        <f>IF(B986="","",IFERROR(VLOOKUP(B986,'Products'!$A$2:$F$201,2,FALSE),"Product not found"))</f>
        <v/>
      </c>
      <c r="D986" s="4" t="n"/>
      <c r="E986" s="5">
        <f>IF(D986="","",IFERROR(VLOOKUP(D986,'Items'!$A$2:$L$201,2,FALSE),"Item not found"))</f>
        <v/>
      </c>
      <c r="F986" s="9" t="n"/>
      <c r="G986" s="4" t="n"/>
      <c r="H986" s="10">
        <f>IF(OR(F986="",G986=""),"",IFERROR(F986*VLOOKUP(G986,'Units'!$A$2:$D$13,4,FALSE),""))</f>
        <v/>
      </c>
      <c r="I986" s="5">
        <f>IF(D986="","",IFERROR(VLOOKUP(D986,'Items'!$A$2:$L$201,4,FALSE),""))</f>
        <v/>
      </c>
      <c r="J986" s="10">
        <f>IF(D986="","",IFERROR(VLOOKUP(D986,'Items'!$A$2:$L$201,10,FALSE),""))</f>
        <v/>
      </c>
      <c r="K986" s="10">
        <f>IF(OR(H986="",J986=""),"",H986*J986)</f>
        <v/>
      </c>
      <c r="L986" s="5">
        <f>IF(AND(B986="",D986=""),"",IF(B986="","Missing product",IF(D986="","Missing item",IF(C986="Product not found","Product not found",IF(E986="Item not found","Item not found",IF(OR(F986="",G986=""),"Missing quantity/unit",IF(IFERROR(VLOOKUP(G986,'Units'!$A$2:$D$13,3,FALSE),"")&lt;&gt;I986,"Unit mismatch",IF(J986="","Enter item cost","OK"))))))))</f>
        <v/>
      </c>
      <c r="M986" s="4" t="n"/>
    </row>
    <row r="987">
      <c r="A987" s="5">
        <f>IF(AND(B987="",D987=""),"",ROW()-1)</f>
        <v/>
      </c>
      <c r="B987" s="4" t="n"/>
      <c r="C987" s="5">
        <f>IF(B987="","",IFERROR(VLOOKUP(B987,'Products'!$A$2:$F$201,2,FALSE),"Product not found"))</f>
        <v/>
      </c>
      <c r="D987" s="4" t="n"/>
      <c r="E987" s="5">
        <f>IF(D987="","",IFERROR(VLOOKUP(D987,'Items'!$A$2:$L$201,2,FALSE),"Item not found"))</f>
        <v/>
      </c>
      <c r="F987" s="9" t="n"/>
      <c r="G987" s="4" t="n"/>
      <c r="H987" s="10">
        <f>IF(OR(F987="",G987=""),"",IFERROR(F987*VLOOKUP(G987,'Units'!$A$2:$D$13,4,FALSE),""))</f>
        <v/>
      </c>
      <c r="I987" s="5">
        <f>IF(D987="","",IFERROR(VLOOKUP(D987,'Items'!$A$2:$L$201,4,FALSE),""))</f>
        <v/>
      </c>
      <c r="J987" s="10">
        <f>IF(D987="","",IFERROR(VLOOKUP(D987,'Items'!$A$2:$L$201,10,FALSE),""))</f>
        <v/>
      </c>
      <c r="K987" s="10">
        <f>IF(OR(H987="",J987=""),"",H987*J987)</f>
        <v/>
      </c>
      <c r="L987" s="5">
        <f>IF(AND(B987="",D987=""),"",IF(B987="","Missing product",IF(D987="","Missing item",IF(C987="Product not found","Product not found",IF(E987="Item not found","Item not found",IF(OR(F987="",G987=""),"Missing quantity/unit",IF(IFERROR(VLOOKUP(G987,'Units'!$A$2:$D$13,3,FALSE),"")&lt;&gt;I987,"Unit mismatch",IF(J987="","Enter item cost","OK"))))))))</f>
        <v/>
      </c>
      <c r="M987" s="4" t="n"/>
    </row>
    <row r="988">
      <c r="A988" s="5">
        <f>IF(AND(B988="",D988=""),"",ROW()-1)</f>
        <v/>
      </c>
      <c r="B988" s="4" t="n"/>
      <c r="C988" s="5">
        <f>IF(B988="","",IFERROR(VLOOKUP(B988,'Products'!$A$2:$F$201,2,FALSE),"Product not found"))</f>
        <v/>
      </c>
      <c r="D988" s="4" t="n"/>
      <c r="E988" s="5">
        <f>IF(D988="","",IFERROR(VLOOKUP(D988,'Items'!$A$2:$L$201,2,FALSE),"Item not found"))</f>
        <v/>
      </c>
      <c r="F988" s="9" t="n"/>
      <c r="G988" s="4" t="n"/>
      <c r="H988" s="10">
        <f>IF(OR(F988="",G988=""),"",IFERROR(F988*VLOOKUP(G988,'Units'!$A$2:$D$13,4,FALSE),""))</f>
        <v/>
      </c>
      <c r="I988" s="5">
        <f>IF(D988="","",IFERROR(VLOOKUP(D988,'Items'!$A$2:$L$201,4,FALSE),""))</f>
        <v/>
      </c>
      <c r="J988" s="10">
        <f>IF(D988="","",IFERROR(VLOOKUP(D988,'Items'!$A$2:$L$201,10,FALSE),""))</f>
        <v/>
      </c>
      <c r="K988" s="10">
        <f>IF(OR(H988="",J988=""),"",H988*J988)</f>
        <v/>
      </c>
      <c r="L988" s="5">
        <f>IF(AND(B988="",D988=""),"",IF(B988="","Missing product",IF(D988="","Missing item",IF(C988="Product not found","Product not found",IF(E988="Item not found","Item not found",IF(OR(F988="",G988=""),"Missing quantity/unit",IF(IFERROR(VLOOKUP(G988,'Units'!$A$2:$D$13,3,FALSE),"")&lt;&gt;I988,"Unit mismatch",IF(J988="","Enter item cost","OK"))))))))</f>
        <v/>
      </c>
      <c r="M988" s="4" t="n"/>
    </row>
    <row r="989">
      <c r="A989" s="5">
        <f>IF(AND(B989="",D989=""),"",ROW()-1)</f>
        <v/>
      </c>
      <c r="B989" s="4" t="n"/>
      <c r="C989" s="5">
        <f>IF(B989="","",IFERROR(VLOOKUP(B989,'Products'!$A$2:$F$201,2,FALSE),"Product not found"))</f>
        <v/>
      </c>
      <c r="D989" s="4" t="n"/>
      <c r="E989" s="5">
        <f>IF(D989="","",IFERROR(VLOOKUP(D989,'Items'!$A$2:$L$201,2,FALSE),"Item not found"))</f>
        <v/>
      </c>
      <c r="F989" s="9" t="n"/>
      <c r="G989" s="4" t="n"/>
      <c r="H989" s="10">
        <f>IF(OR(F989="",G989=""),"",IFERROR(F989*VLOOKUP(G989,'Units'!$A$2:$D$13,4,FALSE),""))</f>
        <v/>
      </c>
      <c r="I989" s="5">
        <f>IF(D989="","",IFERROR(VLOOKUP(D989,'Items'!$A$2:$L$201,4,FALSE),""))</f>
        <v/>
      </c>
      <c r="J989" s="10">
        <f>IF(D989="","",IFERROR(VLOOKUP(D989,'Items'!$A$2:$L$201,10,FALSE),""))</f>
        <v/>
      </c>
      <c r="K989" s="10">
        <f>IF(OR(H989="",J989=""),"",H989*J989)</f>
        <v/>
      </c>
      <c r="L989" s="5">
        <f>IF(AND(B989="",D989=""),"",IF(B989="","Missing product",IF(D989="","Missing item",IF(C989="Product not found","Product not found",IF(E989="Item not found","Item not found",IF(OR(F989="",G989=""),"Missing quantity/unit",IF(IFERROR(VLOOKUP(G989,'Units'!$A$2:$D$13,3,FALSE),"")&lt;&gt;I989,"Unit mismatch",IF(J989="","Enter item cost","OK"))))))))</f>
        <v/>
      </c>
      <c r="M989" s="4" t="n"/>
    </row>
    <row r="990">
      <c r="A990" s="5">
        <f>IF(AND(B990="",D990=""),"",ROW()-1)</f>
        <v/>
      </c>
      <c r="B990" s="4" t="n"/>
      <c r="C990" s="5">
        <f>IF(B990="","",IFERROR(VLOOKUP(B990,'Products'!$A$2:$F$201,2,FALSE),"Product not found"))</f>
        <v/>
      </c>
      <c r="D990" s="4" t="n"/>
      <c r="E990" s="5">
        <f>IF(D990="","",IFERROR(VLOOKUP(D990,'Items'!$A$2:$L$201,2,FALSE),"Item not found"))</f>
        <v/>
      </c>
      <c r="F990" s="9" t="n"/>
      <c r="G990" s="4" t="n"/>
      <c r="H990" s="10">
        <f>IF(OR(F990="",G990=""),"",IFERROR(F990*VLOOKUP(G990,'Units'!$A$2:$D$13,4,FALSE),""))</f>
        <v/>
      </c>
      <c r="I990" s="5">
        <f>IF(D990="","",IFERROR(VLOOKUP(D990,'Items'!$A$2:$L$201,4,FALSE),""))</f>
        <v/>
      </c>
      <c r="J990" s="10">
        <f>IF(D990="","",IFERROR(VLOOKUP(D990,'Items'!$A$2:$L$201,10,FALSE),""))</f>
        <v/>
      </c>
      <c r="K990" s="10">
        <f>IF(OR(H990="",J990=""),"",H990*J990)</f>
        <v/>
      </c>
      <c r="L990" s="5">
        <f>IF(AND(B990="",D990=""),"",IF(B990="","Missing product",IF(D990="","Missing item",IF(C990="Product not found","Product not found",IF(E990="Item not found","Item not found",IF(OR(F990="",G990=""),"Missing quantity/unit",IF(IFERROR(VLOOKUP(G990,'Units'!$A$2:$D$13,3,FALSE),"")&lt;&gt;I990,"Unit mismatch",IF(J990="","Enter item cost","OK"))))))))</f>
        <v/>
      </c>
      <c r="M990" s="4" t="n"/>
    </row>
    <row r="991">
      <c r="A991" s="5">
        <f>IF(AND(B991="",D991=""),"",ROW()-1)</f>
        <v/>
      </c>
      <c r="B991" s="4" t="n"/>
      <c r="C991" s="5">
        <f>IF(B991="","",IFERROR(VLOOKUP(B991,'Products'!$A$2:$F$201,2,FALSE),"Product not found"))</f>
        <v/>
      </c>
      <c r="D991" s="4" t="n"/>
      <c r="E991" s="5">
        <f>IF(D991="","",IFERROR(VLOOKUP(D991,'Items'!$A$2:$L$201,2,FALSE),"Item not found"))</f>
        <v/>
      </c>
      <c r="F991" s="9" t="n"/>
      <c r="G991" s="4" t="n"/>
      <c r="H991" s="10">
        <f>IF(OR(F991="",G991=""),"",IFERROR(F991*VLOOKUP(G991,'Units'!$A$2:$D$13,4,FALSE),""))</f>
        <v/>
      </c>
      <c r="I991" s="5">
        <f>IF(D991="","",IFERROR(VLOOKUP(D991,'Items'!$A$2:$L$201,4,FALSE),""))</f>
        <v/>
      </c>
      <c r="J991" s="10">
        <f>IF(D991="","",IFERROR(VLOOKUP(D991,'Items'!$A$2:$L$201,10,FALSE),""))</f>
        <v/>
      </c>
      <c r="K991" s="10">
        <f>IF(OR(H991="",J991=""),"",H991*J991)</f>
        <v/>
      </c>
      <c r="L991" s="5">
        <f>IF(AND(B991="",D991=""),"",IF(B991="","Missing product",IF(D991="","Missing item",IF(C991="Product not found","Product not found",IF(E991="Item not found","Item not found",IF(OR(F991="",G991=""),"Missing quantity/unit",IF(IFERROR(VLOOKUP(G991,'Units'!$A$2:$D$13,3,FALSE),"")&lt;&gt;I991,"Unit mismatch",IF(J991="","Enter item cost","OK"))))))))</f>
        <v/>
      </c>
      <c r="M991" s="4" t="n"/>
    </row>
    <row r="992">
      <c r="A992" s="5">
        <f>IF(AND(B992="",D992=""),"",ROW()-1)</f>
        <v/>
      </c>
      <c r="B992" s="4" t="n"/>
      <c r="C992" s="5">
        <f>IF(B992="","",IFERROR(VLOOKUP(B992,'Products'!$A$2:$F$201,2,FALSE),"Product not found"))</f>
        <v/>
      </c>
      <c r="D992" s="4" t="n"/>
      <c r="E992" s="5">
        <f>IF(D992="","",IFERROR(VLOOKUP(D992,'Items'!$A$2:$L$201,2,FALSE),"Item not found"))</f>
        <v/>
      </c>
      <c r="F992" s="9" t="n"/>
      <c r="G992" s="4" t="n"/>
      <c r="H992" s="10">
        <f>IF(OR(F992="",G992=""),"",IFERROR(F992*VLOOKUP(G992,'Units'!$A$2:$D$13,4,FALSE),""))</f>
        <v/>
      </c>
      <c r="I992" s="5">
        <f>IF(D992="","",IFERROR(VLOOKUP(D992,'Items'!$A$2:$L$201,4,FALSE),""))</f>
        <v/>
      </c>
      <c r="J992" s="10">
        <f>IF(D992="","",IFERROR(VLOOKUP(D992,'Items'!$A$2:$L$201,10,FALSE),""))</f>
        <v/>
      </c>
      <c r="K992" s="10">
        <f>IF(OR(H992="",J992=""),"",H992*J992)</f>
        <v/>
      </c>
      <c r="L992" s="5">
        <f>IF(AND(B992="",D992=""),"",IF(B992="","Missing product",IF(D992="","Missing item",IF(C992="Product not found","Product not found",IF(E992="Item not found","Item not found",IF(OR(F992="",G992=""),"Missing quantity/unit",IF(IFERROR(VLOOKUP(G992,'Units'!$A$2:$D$13,3,FALSE),"")&lt;&gt;I992,"Unit mismatch",IF(J992="","Enter item cost","OK"))))))))</f>
        <v/>
      </c>
      <c r="M992" s="4" t="n"/>
    </row>
    <row r="993">
      <c r="A993" s="5">
        <f>IF(AND(B993="",D993=""),"",ROW()-1)</f>
        <v/>
      </c>
      <c r="B993" s="4" t="n"/>
      <c r="C993" s="5">
        <f>IF(B993="","",IFERROR(VLOOKUP(B993,'Products'!$A$2:$F$201,2,FALSE),"Product not found"))</f>
        <v/>
      </c>
      <c r="D993" s="4" t="n"/>
      <c r="E993" s="5">
        <f>IF(D993="","",IFERROR(VLOOKUP(D993,'Items'!$A$2:$L$201,2,FALSE),"Item not found"))</f>
        <v/>
      </c>
      <c r="F993" s="9" t="n"/>
      <c r="G993" s="4" t="n"/>
      <c r="H993" s="10">
        <f>IF(OR(F993="",G993=""),"",IFERROR(F993*VLOOKUP(G993,'Units'!$A$2:$D$13,4,FALSE),""))</f>
        <v/>
      </c>
      <c r="I993" s="5">
        <f>IF(D993="","",IFERROR(VLOOKUP(D993,'Items'!$A$2:$L$201,4,FALSE),""))</f>
        <v/>
      </c>
      <c r="J993" s="10">
        <f>IF(D993="","",IFERROR(VLOOKUP(D993,'Items'!$A$2:$L$201,10,FALSE),""))</f>
        <v/>
      </c>
      <c r="K993" s="10">
        <f>IF(OR(H993="",J993=""),"",H993*J993)</f>
        <v/>
      </c>
      <c r="L993" s="5">
        <f>IF(AND(B993="",D993=""),"",IF(B993="","Missing product",IF(D993="","Missing item",IF(C993="Product not found","Product not found",IF(E993="Item not found","Item not found",IF(OR(F993="",G993=""),"Missing quantity/unit",IF(IFERROR(VLOOKUP(G993,'Units'!$A$2:$D$13,3,FALSE),"")&lt;&gt;I993,"Unit mismatch",IF(J993="","Enter item cost","OK"))))))))</f>
        <v/>
      </c>
      <c r="M993" s="4" t="n"/>
    </row>
    <row r="994">
      <c r="A994" s="5">
        <f>IF(AND(B994="",D994=""),"",ROW()-1)</f>
        <v/>
      </c>
      <c r="B994" s="4" t="n"/>
      <c r="C994" s="5">
        <f>IF(B994="","",IFERROR(VLOOKUP(B994,'Products'!$A$2:$F$201,2,FALSE),"Product not found"))</f>
        <v/>
      </c>
      <c r="D994" s="4" t="n"/>
      <c r="E994" s="5">
        <f>IF(D994="","",IFERROR(VLOOKUP(D994,'Items'!$A$2:$L$201,2,FALSE),"Item not found"))</f>
        <v/>
      </c>
      <c r="F994" s="9" t="n"/>
      <c r="G994" s="4" t="n"/>
      <c r="H994" s="10">
        <f>IF(OR(F994="",G994=""),"",IFERROR(F994*VLOOKUP(G994,'Units'!$A$2:$D$13,4,FALSE),""))</f>
        <v/>
      </c>
      <c r="I994" s="5">
        <f>IF(D994="","",IFERROR(VLOOKUP(D994,'Items'!$A$2:$L$201,4,FALSE),""))</f>
        <v/>
      </c>
      <c r="J994" s="10">
        <f>IF(D994="","",IFERROR(VLOOKUP(D994,'Items'!$A$2:$L$201,10,FALSE),""))</f>
        <v/>
      </c>
      <c r="K994" s="10">
        <f>IF(OR(H994="",J994=""),"",H994*J994)</f>
        <v/>
      </c>
      <c r="L994" s="5">
        <f>IF(AND(B994="",D994=""),"",IF(B994="","Missing product",IF(D994="","Missing item",IF(C994="Product not found","Product not found",IF(E994="Item not found","Item not found",IF(OR(F994="",G994=""),"Missing quantity/unit",IF(IFERROR(VLOOKUP(G994,'Units'!$A$2:$D$13,3,FALSE),"")&lt;&gt;I994,"Unit mismatch",IF(J994="","Enter item cost","OK"))))))))</f>
        <v/>
      </c>
      <c r="M994" s="4" t="n"/>
    </row>
    <row r="995">
      <c r="A995" s="5">
        <f>IF(AND(B995="",D995=""),"",ROW()-1)</f>
        <v/>
      </c>
      <c r="B995" s="4" t="n"/>
      <c r="C995" s="5">
        <f>IF(B995="","",IFERROR(VLOOKUP(B995,'Products'!$A$2:$F$201,2,FALSE),"Product not found"))</f>
        <v/>
      </c>
      <c r="D995" s="4" t="n"/>
      <c r="E995" s="5">
        <f>IF(D995="","",IFERROR(VLOOKUP(D995,'Items'!$A$2:$L$201,2,FALSE),"Item not found"))</f>
        <v/>
      </c>
      <c r="F995" s="9" t="n"/>
      <c r="G995" s="4" t="n"/>
      <c r="H995" s="10">
        <f>IF(OR(F995="",G995=""),"",IFERROR(F995*VLOOKUP(G995,'Units'!$A$2:$D$13,4,FALSE),""))</f>
        <v/>
      </c>
      <c r="I995" s="5">
        <f>IF(D995="","",IFERROR(VLOOKUP(D995,'Items'!$A$2:$L$201,4,FALSE),""))</f>
        <v/>
      </c>
      <c r="J995" s="10">
        <f>IF(D995="","",IFERROR(VLOOKUP(D995,'Items'!$A$2:$L$201,10,FALSE),""))</f>
        <v/>
      </c>
      <c r="K995" s="10">
        <f>IF(OR(H995="",J995=""),"",H995*J995)</f>
        <v/>
      </c>
      <c r="L995" s="5">
        <f>IF(AND(B995="",D995=""),"",IF(B995="","Missing product",IF(D995="","Missing item",IF(C995="Product not found","Product not found",IF(E995="Item not found","Item not found",IF(OR(F995="",G995=""),"Missing quantity/unit",IF(IFERROR(VLOOKUP(G995,'Units'!$A$2:$D$13,3,FALSE),"")&lt;&gt;I995,"Unit mismatch",IF(J995="","Enter item cost","OK"))))))))</f>
        <v/>
      </c>
      <c r="M995" s="4" t="n"/>
    </row>
    <row r="996">
      <c r="A996" s="5">
        <f>IF(AND(B996="",D996=""),"",ROW()-1)</f>
        <v/>
      </c>
      <c r="B996" s="4" t="n"/>
      <c r="C996" s="5">
        <f>IF(B996="","",IFERROR(VLOOKUP(B996,'Products'!$A$2:$F$201,2,FALSE),"Product not found"))</f>
        <v/>
      </c>
      <c r="D996" s="4" t="n"/>
      <c r="E996" s="5">
        <f>IF(D996="","",IFERROR(VLOOKUP(D996,'Items'!$A$2:$L$201,2,FALSE),"Item not found"))</f>
        <v/>
      </c>
      <c r="F996" s="9" t="n"/>
      <c r="G996" s="4" t="n"/>
      <c r="H996" s="10">
        <f>IF(OR(F996="",G996=""),"",IFERROR(F996*VLOOKUP(G996,'Units'!$A$2:$D$13,4,FALSE),""))</f>
        <v/>
      </c>
      <c r="I996" s="5">
        <f>IF(D996="","",IFERROR(VLOOKUP(D996,'Items'!$A$2:$L$201,4,FALSE),""))</f>
        <v/>
      </c>
      <c r="J996" s="10">
        <f>IF(D996="","",IFERROR(VLOOKUP(D996,'Items'!$A$2:$L$201,10,FALSE),""))</f>
        <v/>
      </c>
      <c r="K996" s="10">
        <f>IF(OR(H996="",J996=""),"",H996*J996)</f>
        <v/>
      </c>
      <c r="L996" s="5">
        <f>IF(AND(B996="",D996=""),"",IF(B996="","Missing product",IF(D996="","Missing item",IF(C996="Product not found","Product not found",IF(E996="Item not found","Item not found",IF(OR(F996="",G996=""),"Missing quantity/unit",IF(IFERROR(VLOOKUP(G996,'Units'!$A$2:$D$13,3,FALSE),"")&lt;&gt;I996,"Unit mismatch",IF(J996="","Enter item cost","OK"))))))))</f>
        <v/>
      </c>
      <c r="M996" s="4" t="n"/>
    </row>
    <row r="997">
      <c r="A997" s="5">
        <f>IF(AND(B997="",D997=""),"",ROW()-1)</f>
        <v/>
      </c>
      <c r="B997" s="4" t="n"/>
      <c r="C997" s="5">
        <f>IF(B997="","",IFERROR(VLOOKUP(B997,'Products'!$A$2:$F$201,2,FALSE),"Product not found"))</f>
        <v/>
      </c>
      <c r="D997" s="4" t="n"/>
      <c r="E997" s="5">
        <f>IF(D997="","",IFERROR(VLOOKUP(D997,'Items'!$A$2:$L$201,2,FALSE),"Item not found"))</f>
        <v/>
      </c>
      <c r="F997" s="9" t="n"/>
      <c r="G997" s="4" t="n"/>
      <c r="H997" s="10">
        <f>IF(OR(F997="",G997=""),"",IFERROR(F997*VLOOKUP(G997,'Units'!$A$2:$D$13,4,FALSE),""))</f>
        <v/>
      </c>
      <c r="I997" s="5">
        <f>IF(D997="","",IFERROR(VLOOKUP(D997,'Items'!$A$2:$L$201,4,FALSE),""))</f>
        <v/>
      </c>
      <c r="J997" s="10">
        <f>IF(D997="","",IFERROR(VLOOKUP(D997,'Items'!$A$2:$L$201,10,FALSE),""))</f>
        <v/>
      </c>
      <c r="K997" s="10">
        <f>IF(OR(H997="",J997=""),"",H997*J997)</f>
        <v/>
      </c>
      <c r="L997" s="5">
        <f>IF(AND(B997="",D997=""),"",IF(B997="","Missing product",IF(D997="","Missing item",IF(C997="Product not found","Product not found",IF(E997="Item not found","Item not found",IF(OR(F997="",G997=""),"Missing quantity/unit",IF(IFERROR(VLOOKUP(G997,'Units'!$A$2:$D$13,3,FALSE),"")&lt;&gt;I997,"Unit mismatch",IF(J997="","Enter item cost","OK"))))))))</f>
        <v/>
      </c>
      <c r="M997" s="4" t="n"/>
    </row>
    <row r="998">
      <c r="A998" s="5">
        <f>IF(AND(B998="",D998=""),"",ROW()-1)</f>
        <v/>
      </c>
      <c r="B998" s="4" t="n"/>
      <c r="C998" s="5">
        <f>IF(B998="","",IFERROR(VLOOKUP(B998,'Products'!$A$2:$F$201,2,FALSE),"Product not found"))</f>
        <v/>
      </c>
      <c r="D998" s="4" t="n"/>
      <c r="E998" s="5">
        <f>IF(D998="","",IFERROR(VLOOKUP(D998,'Items'!$A$2:$L$201,2,FALSE),"Item not found"))</f>
        <v/>
      </c>
      <c r="F998" s="9" t="n"/>
      <c r="G998" s="4" t="n"/>
      <c r="H998" s="10">
        <f>IF(OR(F998="",G998=""),"",IFERROR(F998*VLOOKUP(G998,'Units'!$A$2:$D$13,4,FALSE),""))</f>
        <v/>
      </c>
      <c r="I998" s="5">
        <f>IF(D998="","",IFERROR(VLOOKUP(D998,'Items'!$A$2:$L$201,4,FALSE),""))</f>
        <v/>
      </c>
      <c r="J998" s="10">
        <f>IF(D998="","",IFERROR(VLOOKUP(D998,'Items'!$A$2:$L$201,10,FALSE),""))</f>
        <v/>
      </c>
      <c r="K998" s="10">
        <f>IF(OR(H998="",J998=""),"",H998*J998)</f>
        <v/>
      </c>
      <c r="L998" s="5">
        <f>IF(AND(B998="",D998=""),"",IF(B998="","Missing product",IF(D998="","Missing item",IF(C998="Product not found","Product not found",IF(E998="Item not found","Item not found",IF(OR(F998="",G998=""),"Missing quantity/unit",IF(IFERROR(VLOOKUP(G998,'Units'!$A$2:$D$13,3,FALSE),"")&lt;&gt;I998,"Unit mismatch",IF(J998="","Enter item cost","OK"))))))))</f>
        <v/>
      </c>
      <c r="M998" s="4" t="n"/>
    </row>
    <row r="999">
      <c r="A999" s="5">
        <f>IF(AND(B999="",D999=""),"",ROW()-1)</f>
        <v/>
      </c>
      <c r="B999" s="4" t="n"/>
      <c r="C999" s="5">
        <f>IF(B999="","",IFERROR(VLOOKUP(B999,'Products'!$A$2:$F$201,2,FALSE),"Product not found"))</f>
        <v/>
      </c>
      <c r="D999" s="4" t="n"/>
      <c r="E999" s="5">
        <f>IF(D999="","",IFERROR(VLOOKUP(D999,'Items'!$A$2:$L$201,2,FALSE),"Item not found"))</f>
        <v/>
      </c>
      <c r="F999" s="9" t="n"/>
      <c r="G999" s="4" t="n"/>
      <c r="H999" s="10">
        <f>IF(OR(F999="",G999=""),"",IFERROR(F999*VLOOKUP(G999,'Units'!$A$2:$D$13,4,FALSE),""))</f>
        <v/>
      </c>
      <c r="I999" s="5">
        <f>IF(D999="","",IFERROR(VLOOKUP(D999,'Items'!$A$2:$L$201,4,FALSE),""))</f>
        <v/>
      </c>
      <c r="J999" s="10">
        <f>IF(D999="","",IFERROR(VLOOKUP(D999,'Items'!$A$2:$L$201,10,FALSE),""))</f>
        <v/>
      </c>
      <c r="K999" s="10">
        <f>IF(OR(H999="",J999=""),"",H999*J999)</f>
        <v/>
      </c>
      <c r="L999" s="5">
        <f>IF(AND(B999="",D999=""),"",IF(B999="","Missing product",IF(D999="","Missing item",IF(C999="Product not found","Product not found",IF(E999="Item not found","Item not found",IF(OR(F999="",G999=""),"Missing quantity/unit",IF(IFERROR(VLOOKUP(G999,'Units'!$A$2:$D$13,3,FALSE),"")&lt;&gt;I999,"Unit mismatch",IF(J999="","Enter item cost","OK"))))))))</f>
        <v/>
      </c>
      <c r="M999" s="4" t="n"/>
    </row>
    <row r="1000">
      <c r="A1000" s="5">
        <f>IF(AND(B1000="",D1000=""),"",ROW()-1)</f>
        <v/>
      </c>
      <c r="B1000" s="4" t="n"/>
      <c r="C1000" s="5">
        <f>IF(B1000="","",IFERROR(VLOOKUP(B1000,'Products'!$A$2:$F$201,2,FALSE),"Product not found"))</f>
        <v/>
      </c>
      <c r="D1000" s="4" t="n"/>
      <c r="E1000" s="5">
        <f>IF(D1000="","",IFERROR(VLOOKUP(D1000,'Items'!$A$2:$L$201,2,FALSE),"Item not found"))</f>
        <v/>
      </c>
      <c r="F1000" s="9" t="n"/>
      <c r="G1000" s="4" t="n"/>
      <c r="H1000" s="10">
        <f>IF(OR(F1000="",G1000=""),"",IFERROR(F1000*VLOOKUP(G1000,'Units'!$A$2:$D$13,4,FALSE),""))</f>
        <v/>
      </c>
      <c r="I1000" s="5">
        <f>IF(D1000="","",IFERROR(VLOOKUP(D1000,'Items'!$A$2:$L$201,4,FALSE),""))</f>
        <v/>
      </c>
      <c r="J1000" s="10">
        <f>IF(D1000="","",IFERROR(VLOOKUP(D1000,'Items'!$A$2:$L$201,10,FALSE),""))</f>
        <v/>
      </c>
      <c r="K1000" s="10">
        <f>IF(OR(H1000="",J1000=""),"",H1000*J1000)</f>
        <v/>
      </c>
      <c r="L1000" s="5">
        <f>IF(AND(B1000="",D1000=""),"",IF(B1000="","Missing product",IF(D1000="","Missing item",IF(C1000="Product not found","Product not found",IF(E1000="Item not found","Item not found",IF(OR(F1000="",G1000=""),"Missing quantity/unit",IF(IFERROR(VLOOKUP(G1000,'Units'!$A$2:$D$13,3,FALSE),"")&lt;&gt;I1000,"Unit mismatch",IF(J1000="","Enter item cost","OK"))))))))</f>
        <v/>
      </c>
      <c r="M1000" s="4" t="n"/>
    </row>
    <row r="1001">
      <c r="A1001" s="5">
        <f>IF(AND(B1001="",D1001=""),"",ROW()-1)</f>
        <v/>
      </c>
      <c r="B1001" s="4" t="n"/>
      <c r="C1001" s="5">
        <f>IF(B1001="","",IFERROR(VLOOKUP(B1001,'Products'!$A$2:$F$201,2,FALSE),"Product not found"))</f>
        <v/>
      </c>
      <c r="D1001" s="4" t="n"/>
      <c r="E1001" s="5">
        <f>IF(D1001="","",IFERROR(VLOOKUP(D1001,'Items'!$A$2:$L$201,2,FALSE),"Item not found"))</f>
        <v/>
      </c>
      <c r="F1001" s="9" t="n"/>
      <c r="G1001" s="4" t="n"/>
      <c r="H1001" s="10">
        <f>IF(OR(F1001="",G1001=""),"",IFERROR(F1001*VLOOKUP(G1001,'Units'!$A$2:$D$13,4,FALSE),""))</f>
        <v/>
      </c>
      <c r="I1001" s="5">
        <f>IF(D1001="","",IFERROR(VLOOKUP(D1001,'Items'!$A$2:$L$201,4,FALSE),""))</f>
        <v/>
      </c>
      <c r="J1001" s="10">
        <f>IF(D1001="","",IFERROR(VLOOKUP(D1001,'Items'!$A$2:$L$201,10,FALSE),""))</f>
        <v/>
      </c>
      <c r="K1001" s="10">
        <f>IF(OR(H1001="",J1001=""),"",H1001*J1001)</f>
        <v/>
      </c>
      <c r="L1001" s="5">
        <f>IF(AND(B1001="",D1001=""),"",IF(B1001="","Missing product",IF(D1001="","Missing item",IF(C1001="Product not found","Product not found",IF(E1001="Item not found","Item not found",IF(OR(F1001="",G1001=""),"Missing quantity/unit",IF(IFERROR(VLOOKUP(G1001,'Units'!$A$2:$D$13,3,FALSE),"")&lt;&gt;I1001,"Unit mismatch",IF(J1001="","Enter item cost","OK"))))))))</f>
        <v/>
      </c>
      <c r="M1001" s="4" t="n"/>
    </row>
  </sheetData>
  <dataValidations count="3">
    <dataValidation sqref="B2:B1001" showDropDown="0" showInputMessage="0" showErrorMessage="0" allowBlank="1" errorTitle="Invalid value" error="Choose a value from the list or add the value to the related master sheet." type="list">
      <formula1>=ProductIDList</formula1>
    </dataValidation>
    <dataValidation sqref="D2:D1001" showDropDown="0" showInputMessage="0" showErrorMessage="0" allowBlank="1" errorTitle="Invalid value" error="Choose a value from the list or add the value to the related master sheet." type="list">
      <formula1>=ItemIDList</formula1>
    </dataValidation>
    <dataValidation sqref="G2:G1001" showDropDown="0" showInputMessage="0" showErrorMessage="0" allowBlank="1" errorTitle="Invalid value" error="Choose a value from the list or add the value to the related master sheet." type="list">
      <formula1>=UnitList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20" customWidth="1" min="11" max="11"/>
  </cols>
  <sheetData>
    <row r="1">
      <c r="A1" s="7" t="inlineStr">
        <is>
          <t>Product ID</t>
        </is>
      </c>
      <c r="B1" s="7" t="inlineStr">
        <is>
          <t>Product Name</t>
        </is>
      </c>
      <c r="C1" s="7" t="inlineStr">
        <is>
          <t>Category</t>
        </is>
      </c>
      <c r="D1" s="7" t="inlineStr">
        <is>
          <t>Selling Price</t>
        </is>
      </c>
      <c r="E1" s="7" t="inlineStr">
        <is>
          <t>Capital / Total Cost</t>
        </is>
      </c>
      <c r="F1" s="7" t="inlineStr">
        <is>
          <t>Gross Profit</t>
        </is>
      </c>
      <c r="G1" s="7" t="inlineStr">
        <is>
          <t>Profit Margin</t>
        </is>
      </c>
      <c r="H1" s="7" t="inlineStr">
        <is>
          <t>Cost % of Price</t>
        </is>
      </c>
      <c r="I1" s="7" t="inlineStr">
        <is>
          <t>Recipe Lines</t>
        </is>
      </c>
      <c r="J1" s="7" t="inlineStr">
        <is>
          <t>Issues</t>
        </is>
      </c>
      <c r="K1" s="7" t="inlineStr">
        <is>
          <t>Status</t>
        </is>
      </c>
    </row>
    <row r="2">
      <c r="A2" s="5">
        <f>IF(Products!A2="","",Products!A2)</f>
        <v/>
      </c>
      <c r="B2" s="5">
        <f>IF(A2="","",Products!B2)</f>
        <v/>
      </c>
      <c r="C2" s="5">
        <f>IF(A2="","",Products!C2)</f>
        <v/>
      </c>
      <c r="D2" s="13">
        <f>IF(A2="","",Products!D2)</f>
        <v/>
      </c>
      <c r="E2" s="13">
        <f>IF(A2="","",SUMIFS('Recipe BOM'!$K:$K,'Recipe BOM'!$B:$B,A2))</f>
        <v/>
      </c>
      <c r="F2" s="13">
        <f>IF(OR(A2="",D2="",E2=""),"",D2-E2)</f>
        <v/>
      </c>
      <c r="G2" s="14">
        <f>IF(OR(A2="",D2="",E2=""),"",F2/D2)</f>
        <v/>
      </c>
      <c r="H2" s="14">
        <f>IF(OR(A2="",D2="",E2=""),"",E2/D2)</f>
        <v/>
      </c>
      <c r="I2" s="5">
        <f>IF(A2="","",COUNTIFS('Recipe BOM'!$B:$B,A2,'Recipe BOM'!$D:$D,"&lt;&gt;"))</f>
        <v/>
      </c>
      <c r="J2" s="5">
        <f>IF(A2="","",COUNTIFS('Recipe BOM'!$B:$B,A2,'Recipe BOM'!$D:$D,"&lt;&gt;",'Recipe BOM'!$L:$L,"&lt;&gt;OK"))</f>
        <v/>
      </c>
      <c r="K2" s="5">
        <f>IF(A2="","",IF(I2=0,"No recipe",IF(J2&gt;0,"Check recipe/items",IF(D2="","Enter selling price","OK"))))</f>
        <v/>
      </c>
    </row>
    <row r="3">
      <c r="A3" s="5">
        <f>IF(Products!A3="","",Products!A3)</f>
        <v/>
      </c>
      <c r="B3" s="5">
        <f>IF(A3="","",Products!B3)</f>
        <v/>
      </c>
      <c r="C3" s="5">
        <f>IF(A3="","",Products!C3)</f>
        <v/>
      </c>
      <c r="D3" s="13">
        <f>IF(A3="","",Products!D3)</f>
        <v/>
      </c>
      <c r="E3" s="13">
        <f>IF(A3="","",SUMIFS('Recipe BOM'!$K:$K,'Recipe BOM'!$B:$B,A3))</f>
        <v/>
      </c>
      <c r="F3" s="13">
        <f>IF(OR(A3="",D3="",E3=""),"",D3-E3)</f>
        <v/>
      </c>
      <c r="G3" s="14">
        <f>IF(OR(A3="",D3="",E3=""),"",F3/D3)</f>
        <v/>
      </c>
      <c r="H3" s="14">
        <f>IF(OR(A3="",D3="",E3=""),"",E3/D3)</f>
        <v/>
      </c>
      <c r="I3" s="5">
        <f>IF(A3="","",COUNTIFS('Recipe BOM'!$B:$B,A3,'Recipe BOM'!$D:$D,"&lt;&gt;"))</f>
        <v/>
      </c>
      <c r="J3" s="5">
        <f>IF(A3="","",COUNTIFS('Recipe BOM'!$B:$B,A3,'Recipe BOM'!$D:$D,"&lt;&gt;",'Recipe BOM'!$L:$L,"&lt;&gt;OK"))</f>
        <v/>
      </c>
      <c r="K3" s="5">
        <f>IF(A3="","",IF(I3=0,"No recipe",IF(J3&gt;0,"Check recipe/items",IF(D3="","Enter selling price","OK"))))</f>
        <v/>
      </c>
    </row>
    <row r="4">
      <c r="A4" s="5">
        <f>IF(Products!A4="","",Products!A4)</f>
        <v/>
      </c>
      <c r="B4" s="5">
        <f>IF(A4="","",Products!B4)</f>
        <v/>
      </c>
      <c r="C4" s="5">
        <f>IF(A4="","",Products!C4)</f>
        <v/>
      </c>
      <c r="D4" s="13">
        <f>IF(A4="","",Products!D4)</f>
        <v/>
      </c>
      <c r="E4" s="13">
        <f>IF(A4="","",SUMIFS('Recipe BOM'!$K:$K,'Recipe BOM'!$B:$B,A4))</f>
        <v/>
      </c>
      <c r="F4" s="13">
        <f>IF(OR(A4="",D4="",E4=""),"",D4-E4)</f>
        <v/>
      </c>
      <c r="G4" s="14">
        <f>IF(OR(A4="",D4="",E4=""),"",F4/D4)</f>
        <v/>
      </c>
      <c r="H4" s="14">
        <f>IF(OR(A4="",D4="",E4=""),"",E4/D4)</f>
        <v/>
      </c>
      <c r="I4" s="5">
        <f>IF(A4="","",COUNTIFS('Recipe BOM'!$B:$B,A4,'Recipe BOM'!$D:$D,"&lt;&gt;"))</f>
        <v/>
      </c>
      <c r="J4" s="5">
        <f>IF(A4="","",COUNTIFS('Recipe BOM'!$B:$B,A4,'Recipe BOM'!$D:$D,"&lt;&gt;",'Recipe BOM'!$L:$L,"&lt;&gt;OK"))</f>
        <v/>
      </c>
      <c r="K4" s="5">
        <f>IF(A4="","",IF(I4=0,"No recipe",IF(J4&gt;0,"Check recipe/items",IF(D4="","Enter selling price","OK"))))</f>
        <v/>
      </c>
    </row>
    <row r="5">
      <c r="A5" s="5">
        <f>IF(Products!A5="","",Products!A5)</f>
        <v/>
      </c>
      <c r="B5" s="5">
        <f>IF(A5="","",Products!B5)</f>
        <v/>
      </c>
      <c r="C5" s="5">
        <f>IF(A5="","",Products!C5)</f>
        <v/>
      </c>
      <c r="D5" s="13">
        <f>IF(A5="","",Products!D5)</f>
        <v/>
      </c>
      <c r="E5" s="13">
        <f>IF(A5="","",SUMIFS('Recipe BOM'!$K:$K,'Recipe BOM'!$B:$B,A5))</f>
        <v/>
      </c>
      <c r="F5" s="13">
        <f>IF(OR(A5="",D5="",E5=""),"",D5-E5)</f>
        <v/>
      </c>
      <c r="G5" s="14">
        <f>IF(OR(A5="",D5="",E5=""),"",F5/D5)</f>
        <v/>
      </c>
      <c r="H5" s="14">
        <f>IF(OR(A5="",D5="",E5=""),"",E5/D5)</f>
        <v/>
      </c>
      <c r="I5" s="5">
        <f>IF(A5="","",COUNTIFS('Recipe BOM'!$B:$B,A5,'Recipe BOM'!$D:$D,"&lt;&gt;"))</f>
        <v/>
      </c>
      <c r="J5" s="5">
        <f>IF(A5="","",COUNTIFS('Recipe BOM'!$B:$B,A5,'Recipe BOM'!$D:$D,"&lt;&gt;",'Recipe BOM'!$L:$L,"&lt;&gt;OK"))</f>
        <v/>
      </c>
      <c r="K5" s="5">
        <f>IF(A5="","",IF(I5=0,"No recipe",IF(J5&gt;0,"Check recipe/items",IF(D5="","Enter selling price","OK"))))</f>
        <v/>
      </c>
    </row>
    <row r="6">
      <c r="A6" s="5">
        <f>IF(Products!A6="","",Products!A6)</f>
        <v/>
      </c>
      <c r="B6" s="5">
        <f>IF(A6="","",Products!B6)</f>
        <v/>
      </c>
      <c r="C6" s="5">
        <f>IF(A6="","",Products!C6)</f>
        <v/>
      </c>
      <c r="D6" s="13">
        <f>IF(A6="","",Products!D6)</f>
        <v/>
      </c>
      <c r="E6" s="13">
        <f>IF(A6="","",SUMIFS('Recipe BOM'!$K:$K,'Recipe BOM'!$B:$B,A6))</f>
        <v/>
      </c>
      <c r="F6" s="13">
        <f>IF(OR(A6="",D6="",E6=""),"",D6-E6)</f>
        <v/>
      </c>
      <c r="G6" s="14">
        <f>IF(OR(A6="",D6="",E6=""),"",F6/D6)</f>
        <v/>
      </c>
      <c r="H6" s="14">
        <f>IF(OR(A6="",D6="",E6=""),"",E6/D6)</f>
        <v/>
      </c>
      <c r="I6" s="5">
        <f>IF(A6="","",COUNTIFS('Recipe BOM'!$B:$B,A6,'Recipe BOM'!$D:$D,"&lt;&gt;"))</f>
        <v/>
      </c>
      <c r="J6" s="5">
        <f>IF(A6="","",COUNTIFS('Recipe BOM'!$B:$B,A6,'Recipe BOM'!$D:$D,"&lt;&gt;",'Recipe BOM'!$L:$L,"&lt;&gt;OK"))</f>
        <v/>
      </c>
      <c r="K6" s="5">
        <f>IF(A6="","",IF(I6=0,"No recipe",IF(J6&gt;0,"Check recipe/items",IF(D6="","Enter selling price","OK"))))</f>
        <v/>
      </c>
    </row>
    <row r="7">
      <c r="A7" s="5">
        <f>IF(Products!A7="","",Products!A7)</f>
        <v/>
      </c>
      <c r="B7" s="5">
        <f>IF(A7="","",Products!B7)</f>
        <v/>
      </c>
      <c r="C7" s="5">
        <f>IF(A7="","",Products!C7)</f>
        <v/>
      </c>
      <c r="D7" s="13">
        <f>IF(A7="","",Products!D7)</f>
        <v/>
      </c>
      <c r="E7" s="13">
        <f>IF(A7="","",SUMIFS('Recipe BOM'!$K:$K,'Recipe BOM'!$B:$B,A7))</f>
        <v/>
      </c>
      <c r="F7" s="13">
        <f>IF(OR(A7="",D7="",E7=""),"",D7-E7)</f>
        <v/>
      </c>
      <c r="G7" s="14">
        <f>IF(OR(A7="",D7="",E7=""),"",F7/D7)</f>
        <v/>
      </c>
      <c r="H7" s="14">
        <f>IF(OR(A7="",D7="",E7=""),"",E7/D7)</f>
        <v/>
      </c>
      <c r="I7" s="5">
        <f>IF(A7="","",COUNTIFS('Recipe BOM'!$B:$B,A7,'Recipe BOM'!$D:$D,"&lt;&gt;"))</f>
        <v/>
      </c>
      <c r="J7" s="5">
        <f>IF(A7="","",COUNTIFS('Recipe BOM'!$B:$B,A7,'Recipe BOM'!$D:$D,"&lt;&gt;",'Recipe BOM'!$L:$L,"&lt;&gt;OK"))</f>
        <v/>
      </c>
      <c r="K7" s="5">
        <f>IF(A7="","",IF(I7=0,"No recipe",IF(J7&gt;0,"Check recipe/items",IF(D7="","Enter selling price","OK"))))</f>
        <v/>
      </c>
    </row>
    <row r="8">
      <c r="A8" s="5">
        <f>IF(Products!A8="","",Products!A8)</f>
        <v/>
      </c>
      <c r="B8" s="5">
        <f>IF(A8="","",Products!B8)</f>
        <v/>
      </c>
      <c r="C8" s="5">
        <f>IF(A8="","",Products!C8)</f>
        <v/>
      </c>
      <c r="D8" s="13">
        <f>IF(A8="","",Products!D8)</f>
        <v/>
      </c>
      <c r="E8" s="13">
        <f>IF(A8="","",SUMIFS('Recipe BOM'!$K:$K,'Recipe BOM'!$B:$B,A8))</f>
        <v/>
      </c>
      <c r="F8" s="13">
        <f>IF(OR(A8="",D8="",E8=""),"",D8-E8)</f>
        <v/>
      </c>
      <c r="G8" s="14">
        <f>IF(OR(A8="",D8="",E8=""),"",F8/D8)</f>
        <v/>
      </c>
      <c r="H8" s="14">
        <f>IF(OR(A8="",D8="",E8=""),"",E8/D8)</f>
        <v/>
      </c>
      <c r="I8" s="5">
        <f>IF(A8="","",COUNTIFS('Recipe BOM'!$B:$B,A8,'Recipe BOM'!$D:$D,"&lt;&gt;"))</f>
        <v/>
      </c>
      <c r="J8" s="5">
        <f>IF(A8="","",COUNTIFS('Recipe BOM'!$B:$B,A8,'Recipe BOM'!$D:$D,"&lt;&gt;",'Recipe BOM'!$L:$L,"&lt;&gt;OK"))</f>
        <v/>
      </c>
      <c r="K8" s="5">
        <f>IF(A8="","",IF(I8=0,"No recipe",IF(J8&gt;0,"Check recipe/items",IF(D8="","Enter selling price","OK"))))</f>
        <v/>
      </c>
    </row>
    <row r="9">
      <c r="A9" s="5">
        <f>IF(Products!A9="","",Products!A9)</f>
        <v/>
      </c>
      <c r="B9" s="5">
        <f>IF(A9="","",Products!B9)</f>
        <v/>
      </c>
      <c r="C9" s="5">
        <f>IF(A9="","",Products!C9)</f>
        <v/>
      </c>
      <c r="D9" s="13">
        <f>IF(A9="","",Products!D9)</f>
        <v/>
      </c>
      <c r="E9" s="13">
        <f>IF(A9="","",SUMIFS('Recipe BOM'!$K:$K,'Recipe BOM'!$B:$B,A9))</f>
        <v/>
      </c>
      <c r="F9" s="13">
        <f>IF(OR(A9="",D9="",E9=""),"",D9-E9)</f>
        <v/>
      </c>
      <c r="G9" s="14">
        <f>IF(OR(A9="",D9="",E9=""),"",F9/D9)</f>
        <v/>
      </c>
      <c r="H9" s="14">
        <f>IF(OR(A9="",D9="",E9=""),"",E9/D9)</f>
        <v/>
      </c>
      <c r="I9" s="5">
        <f>IF(A9="","",COUNTIFS('Recipe BOM'!$B:$B,A9,'Recipe BOM'!$D:$D,"&lt;&gt;"))</f>
        <v/>
      </c>
      <c r="J9" s="5">
        <f>IF(A9="","",COUNTIFS('Recipe BOM'!$B:$B,A9,'Recipe BOM'!$D:$D,"&lt;&gt;",'Recipe BOM'!$L:$L,"&lt;&gt;OK"))</f>
        <v/>
      </c>
      <c r="K9" s="5">
        <f>IF(A9="","",IF(I9=0,"No recipe",IF(J9&gt;0,"Check recipe/items",IF(D9="","Enter selling price","OK"))))</f>
        <v/>
      </c>
    </row>
    <row r="10">
      <c r="A10" s="5">
        <f>IF(Products!A10="","",Products!A10)</f>
        <v/>
      </c>
      <c r="B10" s="5">
        <f>IF(A10="","",Products!B10)</f>
        <v/>
      </c>
      <c r="C10" s="5">
        <f>IF(A10="","",Products!C10)</f>
        <v/>
      </c>
      <c r="D10" s="13">
        <f>IF(A10="","",Products!D10)</f>
        <v/>
      </c>
      <c r="E10" s="13">
        <f>IF(A10="","",SUMIFS('Recipe BOM'!$K:$K,'Recipe BOM'!$B:$B,A10))</f>
        <v/>
      </c>
      <c r="F10" s="13">
        <f>IF(OR(A10="",D10="",E10=""),"",D10-E10)</f>
        <v/>
      </c>
      <c r="G10" s="14">
        <f>IF(OR(A10="",D10="",E10=""),"",F10/D10)</f>
        <v/>
      </c>
      <c r="H10" s="14">
        <f>IF(OR(A10="",D10="",E10=""),"",E10/D10)</f>
        <v/>
      </c>
      <c r="I10" s="5">
        <f>IF(A10="","",COUNTIFS('Recipe BOM'!$B:$B,A10,'Recipe BOM'!$D:$D,"&lt;&gt;"))</f>
        <v/>
      </c>
      <c r="J10" s="5">
        <f>IF(A10="","",COUNTIFS('Recipe BOM'!$B:$B,A10,'Recipe BOM'!$D:$D,"&lt;&gt;",'Recipe BOM'!$L:$L,"&lt;&gt;OK"))</f>
        <v/>
      </c>
      <c r="K10" s="5">
        <f>IF(A10="","",IF(I10=0,"No recipe",IF(J10&gt;0,"Check recipe/items",IF(D10="","Enter selling price","OK"))))</f>
        <v/>
      </c>
    </row>
    <row r="11">
      <c r="A11" s="5">
        <f>IF(Products!A11="","",Products!A11)</f>
        <v/>
      </c>
      <c r="B11" s="5">
        <f>IF(A11="","",Products!B11)</f>
        <v/>
      </c>
      <c r="C11" s="5">
        <f>IF(A11="","",Products!C11)</f>
        <v/>
      </c>
      <c r="D11" s="13">
        <f>IF(A11="","",Products!D11)</f>
        <v/>
      </c>
      <c r="E11" s="13">
        <f>IF(A11="","",SUMIFS('Recipe BOM'!$K:$K,'Recipe BOM'!$B:$B,A11))</f>
        <v/>
      </c>
      <c r="F11" s="13">
        <f>IF(OR(A11="",D11="",E11=""),"",D11-E11)</f>
        <v/>
      </c>
      <c r="G11" s="14">
        <f>IF(OR(A11="",D11="",E11=""),"",F11/D11)</f>
        <v/>
      </c>
      <c r="H11" s="14">
        <f>IF(OR(A11="",D11="",E11=""),"",E11/D11)</f>
        <v/>
      </c>
      <c r="I11" s="5">
        <f>IF(A11="","",COUNTIFS('Recipe BOM'!$B:$B,A11,'Recipe BOM'!$D:$D,"&lt;&gt;"))</f>
        <v/>
      </c>
      <c r="J11" s="5">
        <f>IF(A11="","",COUNTIFS('Recipe BOM'!$B:$B,A11,'Recipe BOM'!$D:$D,"&lt;&gt;",'Recipe BOM'!$L:$L,"&lt;&gt;OK"))</f>
        <v/>
      </c>
      <c r="K11" s="5">
        <f>IF(A11="","",IF(I11=0,"No recipe",IF(J11&gt;0,"Check recipe/items",IF(D11="","Enter selling price","OK"))))</f>
        <v/>
      </c>
    </row>
    <row r="12">
      <c r="A12" s="5">
        <f>IF(Products!A12="","",Products!A12)</f>
        <v/>
      </c>
      <c r="B12" s="5">
        <f>IF(A12="","",Products!B12)</f>
        <v/>
      </c>
      <c r="C12" s="5">
        <f>IF(A12="","",Products!C12)</f>
        <v/>
      </c>
      <c r="D12" s="13">
        <f>IF(A12="","",Products!D12)</f>
        <v/>
      </c>
      <c r="E12" s="13">
        <f>IF(A12="","",SUMIFS('Recipe BOM'!$K:$K,'Recipe BOM'!$B:$B,A12))</f>
        <v/>
      </c>
      <c r="F12" s="13">
        <f>IF(OR(A12="",D12="",E12=""),"",D12-E12)</f>
        <v/>
      </c>
      <c r="G12" s="14">
        <f>IF(OR(A12="",D12="",E12=""),"",F12/D12)</f>
        <v/>
      </c>
      <c r="H12" s="14">
        <f>IF(OR(A12="",D12="",E12=""),"",E12/D12)</f>
        <v/>
      </c>
      <c r="I12" s="5">
        <f>IF(A12="","",COUNTIFS('Recipe BOM'!$B:$B,A12,'Recipe BOM'!$D:$D,"&lt;&gt;"))</f>
        <v/>
      </c>
      <c r="J12" s="5">
        <f>IF(A12="","",COUNTIFS('Recipe BOM'!$B:$B,A12,'Recipe BOM'!$D:$D,"&lt;&gt;",'Recipe BOM'!$L:$L,"&lt;&gt;OK"))</f>
        <v/>
      </c>
      <c r="K12" s="5">
        <f>IF(A12="","",IF(I12=0,"No recipe",IF(J12&gt;0,"Check recipe/items",IF(D12="","Enter selling price","OK"))))</f>
        <v/>
      </c>
    </row>
    <row r="13">
      <c r="A13" s="5">
        <f>IF(Products!A13="","",Products!A13)</f>
        <v/>
      </c>
      <c r="B13" s="5">
        <f>IF(A13="","",Products!B13)</f>
        <v/>
      </c>
      <c r="C13" s="5">
        <f>IF(A13="","",Products!C13)</f>
        <v/>
      </c>
      <c r="D13" s="13">
        <f>IF(A13="","",Products!D13)</f>
        <v/>
      </c>
      <c r="E13" s="13">
        <f>IF(A13="","",SUMIFS('Recipe BOM'!$K:$K,'Recipe BOM'!$B:$B,A13))</f>
        <v/>
      </c>
      <c r="F13" s="13">
        <f>IF(OR(A13="",D13="",E13=""),"",D13-E13)</f>
        <v/>
      </c>
      <c r="G13" s="14">
        <f>IF(OR(A13="",D13="",E13=""),"",F13/D13)</f>
        <v/>
      </c>
      <c r="H13" s="14">
        <f>IF(OR(A13="",D13="",E13=""),"",E13/D13)</f>
        <v/>
      </c>
      <c r="I13" s="5">
        <f>IF(A13="","",COUNTIFS('Recipe BOM'!$B:$B,A13,'Recipe BOM'!$D:$D,"&lt;&gt;"))</f>
        <v/>
      </c>
      <c r="J13" s="5">
        <f>IF(A13="","",COUNTIFS('Recipe BOM'!$B:$B,A13,'Recipe BOM'!$D:$D,"&lt;&gt;",'Recipe BOM'!$L:$L,"&lt;&gt;OK"))</f>
        <v/>
      </c>
      <c r="K13" s="5">
        <f>IF(A13="","",IF(I13=0,"No recipe",IF(J13&gt;0,"Check recipe/items",IF(D13="","Enter selling price","OK"))))</f>
        <v/>
      </c>
    </row>
    <row r="14">
      <c r="A14" s="5">
        <f>IF(Products!A14="","",Products!A14)</f>
        <v/>
      </c>
      <c r="B14" s="5">
        <f>IF(A14="","",Products!B14)</f>
        <v/>
      </c>
      <c r="C14" s="5">
        <f>IF(A14="","",Products!C14)</f>
        <v/>
      </c>
      <c r="D14" s="13">
        <f>IF(A14="","",Products!D14)</f>
        <v/>
      </c>
      <c r="E14" s="13">
        <f>IF(A14="","",SUMIFS('Recipe BOM'!$K:$K,'Recipe BOM'!$B:$B,A14))</f>
        <v/>
      </c>
      <c r="F14" s="13">
        <f>IF(OR(A14="",D14="",E14=""),"",D14-E14)</f>
        <v/>
      </c>
      <c r="G14" s="14">
        <f>IF(OR(A14="",D14="",E14=""),"",F14/D14)</f>
        <v/>
      </c>
      <c r="H14" s="14">
        <f>IF(OR(A14="",D14="",E14=""),"",E14/D14)</f>
        <v/>
      </c>
      <c r="I14" s="5">
        <f>IF(A14="","",COUNTIFS('Recipe BOM'!$B:$B,A14,'Recipe BOM'!$D:$D,"&lt;&gt;"))</f>
        <v/>
      </c>
      <c r="J14" s="5">
        <f>IF(A14="","",COUNTIFS('Recipe BOM'!$B:$B,A14,'Recipe BOM'!$D:$D,"&lt;&gt;",'Recipe BOM'!$L:$L,"&lt;&gt;OK"))</f>
        <v/>
      </c>
      <c r="K14" s="5">
        <f>IF(A14="","",IF(I14=0,"No recipe",IF(J14&gt;0,"Check recipe/items",IF(D14="","Enter selling price","OK"))))</f>
        <v/>
      </c>
    </row>
    <row r="15">
      <c r="A15" s="5">
        <f>IF(Products!A15="","",Products!A15)</f>
        <v/>
      </c>
      <c r="B15" s="5">
        <f>IF(A15="","",Products!B15)</f>
        <v/>
      </c>
      <c r="C15" s="5">
        <f>IF(A15="","",Products!C15)</f>
        <v/>
      </c>
      <c r="D15" s="13">
        <f>IF(A15="","",Products!D15)</f>
        <v/>
      </c>
      <c r="E15" s="13">
        <f>IF(A15="","",SUMIFS('Recipe BOM'!$K:$K,'Recipe BOM'!$B:$B,A15))</f>
        <v/>
      </c>
      <c r="F15" s="13">
        <f>IF(OR(A15="",D15="",E15=""),"",D15-E15)</f>
        <v/>
      </c>
      <c r="G15" s="14">
        <f>IF(OR(A15="",D15="",E15=""),"",F15/D15)</f>
        <v/>
      </c>
      <c r="H15" s="14">
        <f>IF(OR(A15="",D15="",E15=""),"",E15/D15)</f>
        <v/>
      </c>
      <c r="I15" s="5">
        <f>IF(A15="","",COUNTIFS('Recipe BOM'!$B:$B,A15,'Recipe BOM'!$D:$D,"&lt;&gt;"))</f>
        <v/>
      </c>
      <c r="J15" s="5">
        <f>IF(A15="","",COUNTIFS('Recipe BOM'!$B:$B,A15,'Recipe BOM'!$D:$D,"&lt;&gt;",'Recipe BOM'!$L:$L,"&lt;&gt;OK"))</f>
        <v/>
      </c>
      <c r="K15" s="5">
        <f>IF(A15="","",IF(I15=0,"No recipe",IF(J15&gt;0,"Check recipe/items",IF(D15="","Enter selling price","OK"))))</f>
        <v/>
      </c>
    </row>
    <row r="16">
      <c r="A16" s="5">
        <f>IF(Products!A16="","",Products!A16)</f>
        <v/>
      </c>
      <c r="B16" s="5">
        <f>IF(A16="","",Products!B16)</f>
        <v/>
      </c>
      <c r="C16" s="5">
        <f>IF(A16="","",Products!C16)</f>
        <v/>
      </c>
      <c r="D16" s="13">
        <f>IF(A16="","",Products!D16)</f>
        <v/>
      </c>
      <c r="E16" s="13">
        <f>IF(A16="","",SUMIFS('Recipe BOM'!$K:$K,'Recipe BOM'!$B:$B,A16))</f>
        <v/>
      </c>
      <c r="F16" s="13">
        <f>IF(OR(A16="",D16="",E16=""),"",D16-E16)</f>
        <v/>
      </c>
      <c r="G16" s="14">
        <f>IF(OR(A16="",D16="",E16=""),"",F16/D16)</f>
        <v/>
      </c>
      <c r="H16" s="14">
        <f>IF(OR(A16="",D16="",E16=""),"",E16/D16)</f>
        <v/>
      </c>
      <c r="I16" s="5">
        <f>IF(A16="","",COUNTIFS('Recipe BOM'!$B:$B,A16,'Recipe BOM'!$D:$D,"&lt;&gt;"))</f>
        <v/>
      </c>
      <c r="J16" s="5">
        <f>IF(A16="","",COUNTIFS('Recipe BOM'!$B:$B,A16,'Recipe BOM'!$D:$D,"&lt;&gt;",'Recipe BOM'!$L:$L,"&lt;&gt;OK"))</f>
        <v/>
      </c>
      <c r="K16" s="5">
        <f>IF(A16="","",IF(I16=0,"No recipe",IF(J16&gt;0,"Check recipe/items",IF(D16="","Enter selling price","OK"))))</f>
        <v/>
      </c>
    </row>
    <row r="17">
      <c r="A17" s="5">
        <f>IF(Products!A17="","",Products!A17)</f>
        <v/>
      </c>
      <c r="B17" s="5">
        <f>IF(A17="","",Products!B17)</f>
        <v/>
      </c>
      <c r="C17" s="5">
        <f>IF(A17="","",Products!C17)</f>
        <v/>
      </c>
      <c r="D17" s="13">
        <f>IF(A17="","",Products!D17)</f>
        <v/>
      </c>
      <c r="E17" s="13">
        <f>IF(A17="","",SUMIFS('Recipe BOM'!$K:$K,'Recipe BOM'!$B:$B,A17))</f>
        <v/>
      </c>
      <c r="F17" s="13">
        <f>IF(OR(A17="",D17="",E17=""),"",D17-E17)</f>
        <v/>
      </c>
      <c r="G17" s="14">
        <f>IF(OR(A17="",D17="",E17=""),"",F17/D17)</f>
        <v/>
      </c>
      <c r="H17" s="14">
        <f>IF(OR(A17="",D17="",E17=""),"",E17/D17)</f>
        <v/>
      </c>
      <c r="I17" s="5">
        <f>IF(A17="","",COUNTIFS('Recipe BOM'!$B:$B,A17,'Recipe BOM'!$D:$D,"&lt;&gt;"))</f>
        <v/>
      </c>
      <c r="J17" s="5">
        <f>IF(A17="","",COUNTIFS('Recipe BOM'!$B:$B,A17,'Recipe BOM'!$D:$D,"&lt;&gt;",'Recipe BOM'!$L:$L,"&lt;&gt;OK"))</f>
        <v/>
      </c>
      <c r="K17" s="5">
        <f>IF(A17="","",IF(I17=0,"No recipe",IF(J17&gt;0,"Check recipe/items",IF(D17="","Enter selling price","OK"))))</f>
        <v/>
      </c>
    </row>
    <row r="18">
      <c r="A18" s="5">
        <f>IF(Products!A18="","",Products!A18)</f>
        <v/>
      </c>
      <c r="B18" s="5">
        <f>IF(A18="","",Products!B18)</f>
        <v/>
      </c>
      <c r="C18" s="5">
        <f>IF(A18="","",Products!C18)</f>
        <v/>
      </c>
      <c r="D18" s="13">
        <f>IF(A18="","",Products!D18)</f>
        <v/>
      </c>
      <c r="E18" s="13">
        <f>IF(A18="","",SUMIFS('Recipe BOM'!$K:$K,'Recipe BOM'!$B:$B,A18))</f>
        <v/>
      </c>
      <c r="F18" s="13">
        <f>IF(OR(A18="",D18="",E18=""),"",D18-E18)</f>
        <v/>
      </c>
      <c r="G18" s="14">
        <f>IF(OR(A18="",D18="",E18=""),"",F18/D18)</f>
        <v/>
      </c>
      <c r="H18" s="14">
        <f>IF(OR(A18="",D18="",E18=""),"",E18/D18)</f>
        <v/>
      </c>
      <c r="I18" s="5">
        <f>IF(A18="","",COUNTIFS('Recipe BOM'!$B:$B,A18,'Recipe BOM'!$D:$D,"&lt;&gt;"))</f>
        <v/>
      </c>
      <c r="J18" s="5">
        <f>IF(A18="","",COUNTIFS('Recipe BOM'!$B:$B,A18,'Recipe BOM'!$D:$D,"&lt;&gt;",'Recipe BOM'!$L:$L,"&lt;&gt;OK"))</f>
        <v/>
      </c>
      <c r="K18" s="5">
        <f>IF(A18="","",IF(I18=0,"No recipe",IF(J18&gt;0,"Check recipe/items",IF(D18="","Enter selling price","OK"))))</f>
        <v/>
      </c>
    </row>
    <row r="19">
      <c r="A19" s="5">
        <f>IF(Products!A19="","",Products!A19)</f>
        <v/>
      </c>
      <c r="B19" s="5">
        <f>IF(A19="","",Products!B19)</f>
        <v/>
      </c>
      <c r="C19" s="5">
        <f>IF(A19="","",Products!C19)</f>
        <v/>
      </c>
      <c r="D19" s="13">
        <f>IF(A19="","",Products!D19)</f>
        <v/>
      </c>
      <c r="E19" s="13">
        <f>IF(A19="","",SUMIFS('Recipe BOM'!$K:$K,'Recipe BOM'!$B:$B,A19))</f>
        <v/>
      </c>
      <c r="F19" s="13">
        <f>IF(OR(A19="",D19="",E19=""),"",D19-E19)</f>
        <v/>
      </c>
      <c r="G19" s="14">
        <f>IF(OR(A19="",D19="",E19=""),"",F19/D19)</f>
        <v/>
      </c>
      <c r="H19" s="14">
        <f>IF(OR(A19="",D19="",E19=""),"",E19/D19)</f>
        <v/>
      </c>
      <c r="I19" s="5">
        <f>IF(A19="","",COUNTIFS('Recipe BOM'!$B:$B,A19,'Recipe BOM'!$D:$D,"&lt;&gt;"))</f>
        <v/>
      </c>
      <c r="J19" s="5">
        <f>IF(A19="","",COUNTIFS('Recipe BOM'!$B:$B,A19,'Recipe BOM'!$D:$D,"&lt;&gt;",'Recipe BOM'!$L:$L,"&lt;&gt;OK"))</f>
        <v/>
      </c>
      <c r="K19" s="5">
        <f>IF(A19="","",IF(I19=0,"No recipe",IF(J19&gt;0,"Check recipe/items",IF(D19="","Enter selling price","OK"))))</f>
        <v/>
      </c>
    </row>
    <row r="20">
      <c r="A20" s="5">
        <f>IF(Products!A20="","",Products!A20)</f>
        <v/>
      </c>
      <c r="B20" s="5">
        <f>IF(A20="","",Products!B20)</f>
        <v/>
      </c>
      <c r="C20" s="5">
        <f>IF(A20="","",Products!C20)</f>
        <v/>
      </c>
      <c r="D20" s="13">
        <f>IF(A20="","",Products!D20)</f>
        <v/>
      </c>
      <c r="E20" s="13">
        <f>IF(A20="","",SUMIFS('Recipe BOM'!$K:$K,'Recipe BOM'!$B:$B,A20))</f>
        <v/>
      </c>
      <c r="F20" s="13">
        <f>IF(OR(A20="",D20="",E20=""),"",D20-E20)</f>
        <v/>
      </c>
      <c r="G20" s="14">
        <f>IF(OR(A20="",D20="",E20=""),"",F20/D20)</f>
        <v/>
      </c>
      <c r="H20" s="14">
        <f>IF(OR(A20="",D20="",E20=""),"",E20/D20)</f>
        <v/>
      </c>
      <c r="I20" s="5">
        <f>IF(A20="","",COUNTIFS('Recipe BOM'!$B:$B,A20,'Recipe BOM'!$D:$D,"&lt;&gt;"))</f>
        <v/>
      </c>
      <c r="J20" s="5">
        <f>IF(A20="","",COUNTIFS('Recipe BOM'!$B:$B,A20,'Recipe BOM'!$D:$D,"&lt;&gt;",'Recipe BOM'!$L:$L,"&lt;&gt;OK"))</f>
        <v/>
      </c>
      <c r="K20" s="5">
        <f>IF(A20="","",IF(I20=0,"No recipe",IF(J20&gt;0,"Check recipe/items",IF(D20="","Enter selling price","OK"))))</f>
        <v/>
      </c>
    </row>
    <row r="21">
      <c r="A21" s="5">
        <f>IF(Products!A21="","",Products!A21)</f>
        <v/>
      </c>
      <c r="B21" s="5">
        <f>IF(A21="","",Products!B21)</f>
        <v/>
      </c>
      <c r="C21" s="5">
        <f>IF(A21="","",Products!C21)</f>
        <v/>
      </c>
      <c r="D21" s="13">
        <f>IF(A21="","",Products!D21)</f>
        <v/>
      </c>
      <c r="E21" s="13">
        <f>IF(A21="","",SUMIFS('Recipe BOM'!$K:$K,'Recipe BOM'!$B:$B,A21))</f>
        <v/>
      </c>
      <c r="F21" s="13">
        <f>IF(OR(A21="",D21="",E21=""),"",D21-E21)</f>
        <v/>
      </c>
      <c r="G21" s="14">
        <f>IF(OR(A21="",D21="",E21=""),"",F21/D21)</f>
        <v/>
      </c>
      <c r="H21" s="14">
        <f>IF(OR(A21="",D21="",E21=""),"",E21/D21)</f>
        <v/>
      </c>
      <c r="I21" s="5">
        <f>IF(A21="","",COUNTIFS('Recipe BOM'!$B:$B,A21,'Recipe BOM'!$D:$D,"&lt;&gt;"))</f>
        <v/>
      </c>
      <c r="J21" s="5">
        <f>IF(A21="","",COUNTIFS('Recipe BOM'!$B:$B,A21,'Recipe BOM'!$D:$D,"&lt;&gt;",'Recipe BOM'!$L:$L,"&lt;&gt;OK"))</f>
        <v/>
      </c>
      <c r="K21" s="5">
        <f>IF(A21="","",IF(I21=0,"No recipe",IF(J21&gt;0,"Check recipe/items",IF(D21="","Enter selling price","OK"))))</f>
        <v/>
      </c>
    </row>
    <row r="22">
      <c r="A22" s="5">
        <f>IF(Products!A22="","",Products!A22)</f>
        <v/>
      </c>
      <c r="B22" s="5">
        <f>IF(A22="","",Products!B22)</f>
        <v/>
      </c>
      <c r="C22" s="5">
        <f>IF(A22="","",Products!C22)</f>
        <v/>
      </c>
      <c r="D22" s="13">
        <f>IF(A22="","",Products!D22)</f>
        <v/>
      </c>
      <c r="E22" s="13">
        <f>IF(A22="","",SUMIFS('Recipe BOM'!$K:$K,'Recipe BOM'!$B:$B,A22))</f>
        <v/>
      </c>
      <c r="F22" s="13">
        <f>IF(OR(A22="",D22="",E22=""),"",D22-E22)</f>
        <v/>
      </c>
      <c r="G22" s="14">
        <f>IF(OR(A22="",D22="",E22=""),"",F22/D22)</f>
        <v/>
      </c>
      <c r="H22" s="14">
        <f>IF(OR(A22="",D22="",E22=""),"",E22/D22)</f>
        <v/>
      </c>
      <c r="I22" s="5">
        <f>IF(A22="","",COUNTIFS('Recipe BOM'!$B:$B,A22,'Recipe BOM'!$D:$D,"&lt;&gt;"))</f>
        <v/>
      </c>
      <c r="J22" s="5">
        <f>IF(A22="","",COUNTIFS('Recipe BOM'!$B:$B,A22,'Recipe BOM'!$D:$D,"&lt;&gt;",'Recipe BOM'!$L:$L,"&lt;&gt;OK"))</f>
        <v/>
      </c>
      <c r="K22" s="5">
        <f>IF(A22="","",IF(I22=0,"No recipe",IF(J22&gt;0,"Check recipe/items",IF(D22="","Enter selling price","OK"))))</f>
        <v/>
      </c>
    </row>
    <row r="23">
      <c r="A23" s="5">
        <f>IF(Products!A23="","",Products!A23)</f>
        <v/>
      </c>
      <c r="B23" s="5">
        <f>IF(A23="","",Products!B23)</f>
        <v/>
      </c>
      <c r="C23" s="5">
        <f>IF(A23="","",Products!C23)</f>
        <v/>
      </c>
      <c r="D23" s="13">
        <f>IF(A23="","",Products!D23)</f>
        <v/>
      </c>
      <c r="E23" s="13">
        <f>IF(A23="","",SUMIFS('Recipe BOM'!$K:$K,'Recipe BOM'!$B:$B,A23))</f>
        <v/>
      </c>
      <c r="F23" s="13">
        <f>IF(OR(A23="",D23="",E23=""),"",D23-E23)</f>
        <v/>
      </c>
      <c r="G23" s="14">
        <f>IF(OR(A23="",D23="",E23=""),"",F23/D23)</f>
        <v/>
      </c>
      <c r="H23" s="14">
        <f>IF(OR(A23="",D23="",E23=""),"",E23/D23)</f>
        <v/>
      </c>
      <c r="I23" s="5">
        <f>IF(A23="","",COUNTIFS('Recipe BOM'!$B:$B,A23,'Recipe BOM'!$D:$D,"&lt;&gt;"))</f>
        <v/>
      </c>
      <c r="J23" s="5">
        <f>IF(A23="","",COUNTIFS('Recipe BOM'!$B:$B,A23,'Recipe BOM'!$D:$D,"&lt;&gt;",'Recipe BOM'!$L:$L,"&lt;&gt;OK"))</f>
        <v/>
      </c>
      <c r="K23" s="5">
        <f>IF(A23="","",IF(I23=0,"No recipe",IF(J23&gt;0,"Check recipe/items",IF(D23="","Enter selling price","OK"))))</f>
        <v/>
      </c>
    </row>
    <row r="24">
      <c r="A24" s="5">
        <f>IF(Products!A24="","",Products!A24)</f>
        <v/>
      </c>
      <c r="B24" s="5">
        <f>IF(A24="","",Products!B24)</f>
        <v/>
      </c>
      <c r="C24" s="5">
        <f>IF(A24="","",Products!C24)</f>
        <v/>
      </c>
      <c r="D24" s="13">
        <f>IF(A24="","",Products!D24)</f>
        <v/>
      </c>
      <c r="E24" s="13">
        <f>IF(A24="","",SUMIFS('Recipe BOM'!$K:$K,'Recipe BOM'!$B:$B,A24))</f>
        <v/>
      </c>
      <c r="F24" s="13">
        <f>IF(OR(A24="",D24="",E24=""),"",D24-E24)</f>
        <v/>
      </c>
      <c r="G24" s="14">
        <f>IF(OR(A24="",D24="",E24=""),"",F24/D24)</f>
        <v/>
      </c>
      <c r="H24" s="14">
        <f>IF(OR(A24="",D24="",E24=""),"",E24/D24)</f>
        <v/>
      </c>
      <c r="I24" s="5">
        <f>IF(A24="","",COUNTIFS('Recipe BOM'!$B:$B,A24,'Recipe BOM'!$D:$D,"&lt;&gt;"))</f>
        <v/>
      </c>
      <c r="J24" s="5">
        <f>IF(A24="","",COUNTIFS('Recipe BOM'!$B:$B,A24,'Recipe BOM'!$D:$D,"&lt;&gt;",'Recipe BOM'!$L:$L,"&lt;&gt;OK"))</f>
        <v/>
      </c>
      <c r="K24" s="5">
        <f>IF(A24="","",IF(I24=0,"No recipe",IF(J24&gt;0,"Check recipe/items",IF(D24="","Enter selling price","OK"))))</f>
        <v/>
      </c>
    </row>
    <row r="25">
      <c r="A25" s="5">
        <f>IF(Products!A25="","",Products!A25)</f>
        <v/>
      </c>
      <c r="B25" s="5">
        <f>IF(A25="","",Products!B25)</f>
        <v/>
      </c>
      <c r="C25" s="5">
        <f>IF(A25="","",Products!C25)</f>
        <v/>
      </c>
      <c r="D25" s="13">
        <f>IF(A25="","",Products!D25)</f>
        <v/>
      </c>
      <c r="E25" s="13">
        <f>IF(A25="","",SUMIFS('Recipe BOM'!$K:$K,'Recipe BOM'!$B:$B,A25))</f>
        <v/>
      </c>
      <c r="F25" s="13">
        <f>IF(OR(A25="",D25="",E25=""),"",D25-E25)</f>
        <v/>
      </c>
      <c r="G25" s="14">
        <f>IF(OR(A25="",D25="",E25=""),"",F25/D25)</f>
        <v/>
      </c>
      <c r="H25" s="14">
        <f>IF(OR(A25="",D25="",E25=""),"",E25/D25)</f>
        <v/>
      </c>
      <c r="I25" s="5">
        <f>IF(A25="","",COUNTIFS('Recipe BOM'!$B:$B,A25,'Recipe BOM'!$D:$D,"&lt;&gt;"))</f>
        <v/>
      </c>
      <c r="J25" s="5">
        <f>IF(A25="","",COUNTIFS('Recipe BOM'!$B:$B,A25,'Recipe BOM'!$D:$D,"&lt;&gt;",'Recipe BOM'!$L:$L,"&lt;&gt;OK"))</f>
        <v/>
      </c>
      <c r="K25" s="5">
        <f>IF(A25="","",IF(I25=0,"No recipe",IF(J25&gt;0,"Check recipe/items",IF(D25="","Enter selling price","OK"))))</f>
        <v/>
      </c>
    </row>
    <row r="26">
      <c r="A26" s="5">
        <f>IF(Products!A26="","",Products!A26)</f>
        <v/>
      </c>
      <c r="B26" s="5">
        <f>IF(A26="","",Products!B26)</f>
        <v/>
      </c>
      <c r="C26" s="5">
        <f>IF(A26="","",Products!C26)</f>
        <v/>
      </c>
      <c r="D26" s="13">
        <f>IF(A26="","",Products!D26)</f>
        <v/>
      </c>
      <c r="E26" s="13">
        <f>IF(A26="","",SUMIFS('Recipe BOM'!$K:$K,'Recipe BOM'!$B:$B,A26))</f>
        <v/>
      </c>
      <c r="F26" s="13">
        <f>IF(OR(A26="",D26="",E26=""),"",D26-E26)</f>
        <v/>
      </c>
      <c r="G26" s="14">
        <f>IF(OR(A26="",D26="",E26=""),"",F26/D26)</f>
        <v/>
      </c>
      <c r="H26" s="14">
        <f>IF(OR(A26="",D26="",E26=""),"",E26/D26)</f>
        <v/>
      </c>
      <c r="I26" s="5">
        <f>IF(A26="","",COUNTIFS('Recipe BOM'!$B:$B,A26,'Recipe BOM'!$D:$D,"&lt;&gt;"))</f>
        <v/>
      </c>
      <c r="J26" s="5">
        <f>IF(A26="","",COUNTIFS('Recipe BOM'!$B:$B,A26,'Recipe BOM'!$D:$D,"&lt;&gt;",'Recipe BOM'!$L:$L,"&lt;&gt;OK"))</f>
        <v/>
      </c>
      <c r="K26" s="5">
        <f>IF(A26="","",IF(I26=0,"No recipe",IF(J26&gt;0,"Check recipe/items",IF(D26="","Enter selling price","OK"))))</f>
        <v/>
      </c>
    </row>
    <row r="27">
      <c r="A27" s="5">
        <f>IF(Products!A27="","",Products!A27)</f>
        <v/>
      </c>
      <c r="B27" s="5">
        <f>IF(A27="","",Products!B27)</f>
        <v/>
      </c>
      <c r="C27" s="5">
        <f>IF(A27="","",Products!C27)</f>
        <v/>
      </c>
      <c r="D27" s="13">
        <f>IF(A27="","",Products!D27)</f>
        <v/>
      </c>
      <c r="E27" s="13">
        <f>IF(A27="","",SUMIFS('Recipe BOM'!$K:$K,'Recipe BOM'!$B:$B,A27))</f>
        <v/>
      </c>
      <c r="F27" s="13">
        <f>IF(OR(A27="",D27="",E27=""),"",D27-E27)</f>
        <v/>
      </c>
      <c r="G27" s="14">
        <f>IF(OR(A27="",D27="",E27=""),"",F27/D27)</f>
        <v/>
      </c>
      <c r="H27" s="14">
        <f>IF(OR(A27="",D27="",E27=""),"",E27/D27)</f>
        <v/>
      </c>
      <c r="I27" s="5">
        <f>IF(A27="","",COUNTIFS('Recipe BOM'!$B:$B,A27,'Recipe BOM'!$D:$D,"&lt;&gt;"))</f>
        <v/>
      </c>
      <c r="J27" s="5">
        <f>IF(A27="","",COUNTIFS('Recipe BOM'!$B:$B,A27,'Recipe BOM'!$D:$D,"&lt;&gt;",'Recipe BOM'!$L:$L,"&lt;&gt;OK"))</f>
        <v/>
      </c>
      <c r="K27" s="5">
        <f>IF(A27="","",IF(I27=0,"No recipe",IF(J27&gt;0,"Check recipe/items",IF(D27="","Enter selling price","OK"))))</f>
        <v/>
      </c>
    </row>
    <row r="28">
      <c r="A28" s="5">
        <f>IF(Products!A28="","",Products!A28)</f>
        <v/>
      </c>
      <c r="B28" s="5">
        <f>IF(A28="","",Products!B28)</f>
        <v/>
      </c>
      <c r="C28" s="5">
        <f>IF(A28="","",Products!C28)</f>
        <v/>
      </c>
      <c r="D28" s="13">
        <f>IF(A28="","",Products!D28)</f>
        <v/>
      </c>
      <c r="E28" s="13">
        <f>IF(A28="","",SUMIFS('Recipe BOM'!$K:$K,'Recipe BOM'!$B:$B,A28))</f>
        <v/>
      </c>
      <c r="F28" s="13">
        <f>IF(OR(A28="",D28="",E28=""),"",D28-E28)</f>
        <v/>
      </c>
      <c r="G28" s="14">
        <f>IF(OR(A28="",D28="",E28=""),"",F28/D28)</f>
        <v/>
      </c>
      <c r="H28" s="14">
        <f>IF(OR(A28="",D28="",E28=""),"",E28/D28)</f>
        <v/>
      </c>
      <c r="I28" s="5">
        <f>IF(A28="","",COUNTIFS('Recipe BOM'!$B:$B,A28,'Recipe BOM'!$D:$D,"&lt;&gt;"))</f>
        <v/>
      </c>
      <c r="J28" s="5">
        <f>IF(A28="","",COUNTIFS('Recipe BOM'!$B:$B,A28,'Recipe BOM'!$D:$D,"&lt;&gt;",'Recipe BOM'!$L:$L,"&lt;&gt;OK"))</f>
        <v/>
      </c>
      <c r="K28" s="5">
        <f>IF(A28="","",IF(I28=0,"No recipe",IF(J28&gt;0,"Check recipe/items",IF(D28="","Enter selling price","OK"))))</f>
        <v/>
      </c>
    </row>
    <row r="29">
      <c r="A29" s="5">
        <f>IF(Products!A29="","",Products!A29)</f>
        <v/>
      </c>
      <c r="B29" s="5">
        <f>IF(A29="","",Products!B29)</f>
        <v/>
      </c>
      <c r="C29" s="5">
        <f>IF(A29="","",Products!C29)</f>
        <v/>
      </c>
      <c r="D29" s="13">
        <f>IF(A29="","",Products!D29)</f>
        <v/>
      </c>
      <c r="E29" s="13">
        <f>IF(A29="","",SUMIFS('Recipe BOM'!$K:$K,'Recipe BOM'!$B:$B,A29))</f>
        <v/>
      </c>
      <c r="F29" s="13">
        <f>IF(OR(A29="",D29="",E29=""),"",D29-E29)</f>
        <v/>
      </c>
      <c r="G29" s="14">
        <f>IF(OR(A29="",D29="",E29=""),"",F29/D29)</f>
        <v/>
      </c>
      <c r="H29" s="14">
        <f>IF(OR(A29="",D29="",E29=""),"",E29/D29)</f>
        <v/>
      </c>
      <c r="I29" s="5">
        <f>IF(A29="","",COUNTIFS('Recipe BOM'!$B:$B,A29,'Recipe BOM'!$D:$D,"&lt;&gt;"))</f>
        <v/>
      </c>
      <c r="J29" s="5">
        <f>IF(A29="","",COUNTIFS('Recipe BOM'!$B:$B,A29,'Recipe BOM'!$D:$D,"&lt;&gt;",'Recipe BOM'!$L:$L,"&lt;&gt;OK"))</f>
        <v/>
      </c>
      <c r="K29" s="5">
        <f>IF(A29="","",IF(I29=0,"No recipe",IF(J29&gt;0,"Check recipe/items",IF(D29="","Enter selling price","OK"))))</f>
        <v/>
      </c>
    </row>
    <row r="30">
      <c r="A30" s="5">
        <f>IF(Products!A30="","",Products!A30)</f>
        <v/>
      </c>
      <c r="B30" s="5">
        <f>IF(A30="","",Products!B30)</f>
        <v/>
      </c>
      <c r="C30" s="5">
        <f>IF(A30="","",Products!C30)</f>
        <v/>
      </c>
      <c r="D30" s="13">
        <f>IF(A30="","",Products!D30)</f>
        <v/>
      </c>
      <c r="E30" s="13">
        <f>IF(A30="","",SUMIFS('Recipe BOM'!$K:$K,'Recipe BOM'!$B:$B,A30))</f>
        <v/>
      </c>
      <c r="F30" s="13">
        <f>IF(OR(A30="",D30="",E30=""),"",D30-E30)</f>
        <v/>
      </c>
      <c r="G30" s="14">
        <f>IF(OR(A30="",D30="",E30=""),"",F30/D30)</f>
        <v/>
      </c>
      <c r="H30" s="14">
        <f>IF(OR(A30="",D30="",E30=""),"",E30/D30)</f>
        <v/>
      </c>
      <c r="I30" s="5">
        <f>IF(A30="","",COUNTIFS('Recipe BOM'!$B:$B,A30,'Recipe BOM'!$D:$D,"&lt;&gt;"))</f>
        <v/>
      </c>
      <c r="J30" s="5">
        <f>IF(A30="","",COUNTIFS('Recipe BOM'!$B:$B,A30,'Recipe BOM'!$D:$D,"&lt;&gt;",'Recipe BOM'!$L:$L,"&lt;&gt;OK"))</f>
        <v/>
      </c>
      <c r="K30" s="5">
        <f>IF(A30="","",IF(I30=0,"No recipe",IF(J30&gt;0,"Check recipe/items",IF(D30="","Enter selling price","OK"))))</f>
        <v/>
      </c>
    </row>
    <row r="31">
      <c r="A31" s="5">
        <f>IF(Products!A31="","",Products!A31)</f>
        <v/>
      </c>
      <c r="B31" s="5">
        <f>IF(A31="","",Products!B31)</f>
        <v/>
      </c>
      <c r="C31" s="5">
        <f>IF(A31="","",Products!C31)</f>
        <v/>
      </c>
      <c r="D31" s="13">
        <f>IF(A31="","",Products!D31)</f>
        <v/>
      </c>
      <c r="E31" s="13">
        <f>IF(A31="","",SUMIFS('Recipe BOM'!$K:$K,'Recipe BOM'!$B:$B,A31))</f>
        <v/>
      </c>
      <c r="F31" s="13">
        <f>IF(OR(A31="",D31="",E31=""),"",D31-E31)</f>
        <v/>
      </c>
      <c r="G31" s="14">
        <f>IF(OR(A31="",D31="",E31=""),"",F31/D31)</f>
        <v/>
      </c>
      <c r="H31" s="14">
        <f>IF(OR(A31="",D31="",E31=""),"",E31/D31)</f>
        <v/>
      </c>
      <c r="I31" s="5">
        <f>IF(A31="","",COUNTIFS('Recipe BOM'!$B:$B,A31,'Recipe BOM'!$D:$D,"&lt;&gt;"))</f>
        <v/>
      </c>
      <c r="J31" s="5">
        <f>IF(A31="","",COUNTIFS('Recipe BOM'!$B:$B,A31,'Recipe BOM'!$D:$D,"&lt;&gt;",'Recipe BOM'!$L:$L,"&lt;&gt;OK"))</f>
        <v/>
      </c>
      <c r="K31" s="5">
        <f>IF(A31="","",IF(I31=0,"No recipe",IF(J31&gt;0,"Check recipe/items",IF(D31="","Enter selling price","OK"))))</f>
        <v/>
      </c>
    </row>
    <row r="32">
      <c r="A32" s="5">
        <f>IF(Products!A32="","",Products!A32)</f>
        <v/>
      </c>
      <c r="B32" s="5">
        <f>IF(A32="","",Products!B32)</f>
        <v/>
      </c>
      <c r="C32" s="5">
        <f>IF(A32="","",Products!C32)</f>
        <v/>
      </c>
      <c r="D32" s="13">
        <f>IF(A32="","",Products!D32)</f>
        <v/>
      </c>
      <c r="E32" s="13">
        <f>IF(A32="","",SUMIFS('Recipe BOM'!$K:$K,'Recipe BOM'!$B:$B,A32))</f>
        <v/>
      </c>
      <c r="F32" s="13">
        <f>IF(OR(A32="",D32="",E32=""),"",D32-E32)</f>
        <v/>
      </c>
      <c r="G32" s="14">
        <f>IF(OR(A32="",D32="",E32=""),"",F32/D32)</f>
        <v/>
      </c>
      <c r="H32" s="14">
        <f>IF(OR(A32="",D32="",E32=""),"",E32/D32)</f>
        <v/>
      </c>
      <c r="I32" s="5">
        <f>IF(A32="","",COUNTIFS('Recipe BOM'!$B:$B,A32,'Recipe BOM'!$D:$D,"&lt;&gt;"))</f>
        <v/>
      </c>
      <c r="J32" s="5">
        <f>IF(A32="","",COUNTIFS('Recipe BOM'!$B:$B,A32,'Recipe BOM'!$D:$D,"&lt;&gt;",'Recipe BOM'!$L:$L,"&lt;&gt;OK"))</f>
        <v/>
      </c>
      <c r="K32" s="5">
        <f>IF(A32="","",IF(I32=0,"No recipe",IF(J32&gt;0,"Check recipe/items",IF(D32="","Enter selling price","OK"))))</f>
        <v/>
      </c>
    </row>
    <row r="33">
      <c r="A33" s="5">
        <f>IF(Products!A33="","",Products!A33)</f>
        <v/>
      </c>
      <c r="B33" s="5">
        <f>IF(A33="","",Products!B33)</f>
        <v/>
      </c>
      <c r="C33" s="5">
        <f>IF(A33="","",Products!C33)</f>
        <v/>
      </c>
      <c r="D33" s="13">
        <f>IF(A33="","",Products!D33)</f>
        <v/>
      </c>
      <c r="E33" s="13">
        <f>IF(A33="","",SUMIFS('Recipe BOM'!$K:$K,'Recipe BOM'!$B:$B,A33))</f>
        <v/>
      </c>
      <c r="F33" s="13">
        <f>IF(OR(A33="",D33="",E33=""),"",D33-E33)</f>
        <v/>
      </c>
      <c r="G33" s="14">
        <f>IF(OR(A33="",D33="",E33=""),"",F33/D33)</f>
        <v/>
      </c>
      <c r="H33" s="14">
        <f>IF(OR(A33="",D33="",E33=""),"",E33/D33)</f>
        <v/>
      </c>
      <c r="I33" s="5">
        <f>IF(A33="","",COUNTIFS('Recipe BOM'!$B:$B,A33,'Recipe BOM'!$D:$D,"&lt;&gt;"))</f>
        <v/>
      </c>
      <c r="J33" s="5">
        <f>IF(A33="","",COUNTIFS('Recipe BOM'!$B:$B,A33,'Recipe BOM'!$D:$D,"&lt;&gt;",'Recipe BOM'!$L:$L,"&lt;&gt;OK"))</f>
        <v/>
      </c>
      <c r="K33" s="5">
        <f>IF(A33="","",IF(I33=0,"No recipe",IF(J33&gt;0,"Check recipe/items",IF(D33="","Enter selling price","OK"))))</f>
        <v/>
      </c>
    </row>
    <row r="34">
      <c r="A34" s="5">
        <f>IF(Products!A34="","",Products!A34)</f>
        <v/>
      </c>
      <c r="B34" s="5">
        <f>IF(A34="","",Products!B34)</f>
        <v/>
      </c>
      <c r="C34" s="5">
        <f>IF(A34="","",Products!C34)</f>
        <v/>
      </c>
      <c r="D34" s="13">
        <f>IF(A34="","",Products!D34)</f>
        <v/>
      </c>
      <c r="E34" s="13">
        <f>IF(A34="","",SUMIFS('Recipe BOM'!$K:$K,'Recipe BOM'!$B:$B,A34))</f>
        <v/>
      </c>
      <c r="F34" s="13">
        <f>IF(OR(A34="",D34="",E34=""),"",D34-E34)</f>
        <v/>
      </c>
      <c r="G34" s="14">
        <f>IF(OR(A34="",D34="",E34=""),"",F34/D34)</f>
        <v/>
      </c>
      <c r="H34" s="14">
        <f>IF(OR(A34="",D34="",E34=""),"",E34/D34)</f>
        <v/>
      </c>
      <c r="I34" s="5">
        <f>IF(A34="","",COUNTIFS('Recipe BOM'!$B:$B,A34,'Recipe BOM'!$D:$D,"&lt;&gt;"))</f>
        <v/>
      </c>
      <c r="J34" s="5">
        <f>IF(A34="","",COUNTIFS('Recipe BOM'!$B:$B,A34,'Recipe BOM'!$D:$D,"&lt;&gt;",'Recipe BOM'!$L:$L,"&lt;&gt;OK"))</f>
        <v/>
      </c>
      <c r="K34" s="5">
        <f>IF(A34="","",IF(I34=0,"No recipe",IF(J34&gt;0,"Check recipe/items",IF(D34="","Enter selling price","OK"))))</f>
        <v/>
      </c>
    </row>
    <row r="35">
      <c r="A35" s="5">
        <f>IF(Products!A35="","",Products!A35)</f>
        <v/>
      </c>
      <c r="B35" s="5">
        <f>IF(A35="","",Products!B35)</f>
        <v/>
      </c>
      <c r="C35" s="5">
        <f>IF(A35="","",Products!C35)</f>
        <v/>
      </c>
      <c r="D35" s="13">
        <f>IF(A35="","",Products!D35)</f>
        <v/>
      </c>
      <c r="E35" s="13">
        <f>IF(A35="","",SUMIFS('Recipe BOM'!$K:$K,'Recipe BOM'!$B:$B,A35))</f>
        <v/>
      </c>
      <c r="F35" s="13">
        <f>IF(OR(A35="",D35="",E35=""),"",D35-E35)</f>
        <v/>
      </c>
      <c r="G35" s="14">
        <f>IF(OR(A35="",D35="",E35=""),"",F35/D35)</f>
        <v/>
      </c>
      <c r="H35" s="14">
        <f>IF(OR(A35="",D35="",E35=""),"",E35/D35)</f>
        <v/>
      </c>
      <c r="I35" s="5">
        <f>IF(A35="","",COUNTIFS('Recipe BOM'!$B:$B,A35,'Recipe BOM'!$D:$D,"&lt;&gt;"))</f>
        <v/>
      </c>
      <c r="J35" s="5">
        <f>IF(A35="","",COUNTIFS('Recipe BOM'!$B:$B,A35,'Recipe BOM'!$D:$D,"&lt;&gt;",'Recipe BOM'!$L:$L,"&lt;&gt;OK"))</f>
        <v/>
      </c>
      <c r="K35" s="5">
        <f>IF(A35="","",IF(I35=0,"No recipe",IF(J35&gt;0,"Check recipe/items",IF(D35="","Enter selling price","OK"))))</f>
        <v/>
      </c>
    </row>
    <row r="36">
      <c r="A36" s="5">
        <f>IF(Products!A36="","",Products!A36)</f>
        <v/>
      </c>
      <c r="B36" s="5">
        <f>IF(A36="","",Products!B36)</f>
        <v/>
      </c>
      <c r="C36" s="5">
        <f>IF(A36="","",Products!C36)</f>
        <v/>
      </c>
      <c r="D36" s="13">
        <f>IF(A36="","",Products!D36)</f>
        <v/>
      </c>
      <c r="E36" s="13">
        <f>IF(A36="","",SUMIFS('Recipe BOM'!$K:$K,'Recipe BOM'!$B:$B,A36))</f>
        <v/>
      </c>
      <c r="F36" s="13">
        <f>IF(OR(A36="",D36="",E36=""),"",D36-E36)</f>
        <v/>
      </c>
      <c r="G36" s="14">
        <f>IF(OR(A36="",D36="",E36=""),"",F36/D36)</f>
        <v/>
      </c>
      <c r="H36" s="14">
        <f>IF(OR(A36="",D36="",E36=""),"",E36/D36)</f>
        <v/>
      </c>
      <c r="I36" s="5">
        <f>IF(A36="","",COUNTIFS('Recipe BOM'!$B:$B,A36,'Recipe BOM'!$D:$D,"&lt;&gt;"))</f>
        <v/>
      </c>
      <c r="J36" s="5">
        <f>IF(A36="","",COUNTIFS('Recipe BOM'!$B:$B,A36,'Recipe BOM'!$D:$D,"&lt;&gt;",'Recipe BOM'!$L:$L,"&lt;&gt;OK"))</f>
        <v/>
      </c>
      <c r="K36" s="5">
        <f>IF(A36="","",IF(I36=0,"No recipe",IF(J36&gt;0,"Check recipe/items",IF(D36="","Enter selling price","OK"))))</f>
        <v/>
      </c>
    </row>
    <row r="37">
      <c r="A37" s="5">
        <f>IF(Products!A37="","",Products!A37)</f>
        <v/>
      </c>
      <c r="B37" s="5">
        <f>IF(A37="","",Products!B37)</f>
        <v/>
      </c>
      <c r="C37" s="5">
        <f>IF(A37="","",Products!C37)</f>
        <v/>
      </c>
      <c r="D37" s="13">
        <f>IF(A37="","",Products!D37)</f>
        <v/>
      </c>
      <c r="E37" s="13">
        <f>IF(A37="","",SUMIFS('Recipe BOM'!$K:$K,'Recipe BOM'!$B:$B,A37))</f>
        <v/>
      </c>
      <c r="F37" s="13">
        <f>IF(OR(A37="",D37="",E37=""),"",D37-E37)</f>
        <v/>
      </c>
      <c r="G37" s="14">
        <f>IF(OR(A37="",D37="",E37=""),"",F37/D37)</f>
        <v/>
      </c>
      <c r="H37" s="14">
        <f>IF(OR(A37="",D37="",E37=""),"",E37/D37)</f>
        <v/>
      </c>
      <c r="I37" s="5">
        <f>IF(A37="","",COUNTIFS('Recipe BOM'!$B:$B,A37,'Recipe BOM'!$D:$D,"&lt;&gt;"))</f>
        <v/>
      </c>
      <c r="J37" s="5">
        <f>IF(A37="","",COUNTIFS('Recipe BOM'!$B:$B,A37,'Recipe BOM'!$D:$D,"&lt;&gt;",'Recipe BOM'!$L:$L,"&lt;&gt;OK"))</f>
        <v/>
      </c>
      <c r="K37" s="5">
        <f>IF(A37="","",IF(I37=0,"No recipe",IF(J37&gt;0,"Check recipe/items",IF(D37="","Enter selling price","OK"))))</f>
        <v/>
      </c>
    </row>
    <row r="38">
      <c r="A38" s="5">
        <f>IF(Products!A38="","",Products!A38)</f>
        <v/>
      </c>
      <c r="B38" s="5">
        <f>IF(A38="","",Products!B38)</f>
        <v/>
      </c>
      <c r="C38" s="5">
        <f>IF(A38="","",Products!C38)</f>
        <v/>
      </c>
      <c r="D38" s="13">
        <f>IF(A38="","",Products!D38)</f>
        <v/>
      </c>
      <c r="E38" s="13">
        <f>IF(A38="","",SUMIFS('Recipe BOM'!$K:$K,'Recipe BOM'!$B:$B,A38))</f>
        <v/>
      </c>
      <c r="F38" s="13">
        <f>IF(OR(A38="",D38="",E38=""),"",D38-E38)</f>
        <v/>
      </c>
      <c r="G38" s="14">
        <f>IF(OR(A38="",D38="",E38=""),"",F38/D38)</f>
        <v/>
      </c>
      <c r="H38" s="14">
        <f>IF(OR(A38="",D38="",E38=""),"",E38/D38)</f>
        <v/>
      </c>
      <c r="I38" s="5">
        <f>IF(A38="","",COUNTIFS('Recipe BOM'!$B:$B,A38,'Recipe BOM'!$D:$D,"&lt;&gt;"))</f>
        <v/>
      </c>
      <c r="J38" s="5">
        <f>IF(A38="","",COUNTIFS('Recipe BOM'!$B:$B,A38,'Recipe BOM'!$D:$D,"&lt;&gt;",'Recipe BOM'!$L:$L,"&lt;&gt;OK"))</f>
        <v/>
      </c>
      <c r="K38" s="5">
        <f>IF(A38="","",IF(I38=0,"No recipe",IF(J38&gt;0,"Check recipe/items",IF(D38="","Enter selling price","OK"))))</f>
        <v/>
      </c>
    </row>
    <row r="39">
      <c r="A39" s="5">
        <f>IF(Products!A39="","",Products!A39)</f>
        <v/>
      </c>
      <c r="B39" s="5">
        <f>IF(A39="","",Products!B39)</f>
        <v/>
      </c>
      <c r="C39" s="5">
        <f>IF(A39="","",Products!C39)</f>
        <v/>
      </c>
      <c r="D39" s="13">
        <f>IF(A39="","",Products!D39)</f>
        <v/>
      </c>
      <c r="E39" s="13">
        <f>IF(A39="","",SUMIFS('Recipe BOM'!$K:$K,'Recipe BOM'!$B:$B,A39))</f>
        <v/>
      </c>
      <c r="F39" s="13">
        <f>IF(OR(A39="",D39="",E39=""),"",D39-E39)</f>
        <v/>
      </c>
      <c r="G39" s="14">
        <f>IF(OR(A39="",D39="",E39=""),"",F39/D39)</f>
        <v/>
      </c>
      <c r="H39" s="14">
        <f>IF(OR(A39="",D39="",E39=""),"",E39/D39)</f>
        <v/>
      </c>
      <c r="I39" s="5">
        <f>IF(A39="","",COUNTIFS('Recipe BOM'!$B:$B,A39,'Recipe BOM'!$D:$D,"&lt;&gt;"))</f>
        <v/>
      </c>
      <c r="J39" s="5">
        <f>IF(A39="","",COUNTIFS('Recipe BOM'!$B:$B,A39,'Recipe BOM'!$D:$D,"&lt;&gt;",'Recipe BOM'!$L:$L,"&lt;&gt;OK"))</f>
        <v/>
      </c>
      <c r="K39" s="5">
        <f>IF(A39="","",IF(I39=0,"No recipe",IF(J39&gt;0,"Check recipe/items",IF(D39="","Enter selling price","OK"))))</f>
        <v/>
      </c>
    </row>
    <row r="40">
      <c r="A40" s="5">
        <f>IF(Products!A40="","",Products!A40)</f>
        <v/>
      </c>
      <c r="B40" s="5">
        <f>IF(A40="","",Products!B40)</f>
        <v/>
      </c>
      <c r="C40" s="5">
        <f>IF(A40="","",Products!C40)</f>
        <v/>
      </c>
      <c r="D40" s="13">
        <f>IF(A40="","",Products!D40)</f>
        <v/>
      </c>
      <c r="E40" s="13">
        <f>IF(A40="","",SUMIFS('Recipe BOM'!$K:$K,'Recipe BOM'!$B:$B,A40))</f>
        <v/>
      </c>
      <c r="F40" s="13">
        <f>IF(OR(A40="",D40="",E40=""),"",D40-E40)</f>
        <v/>
      </c>
      <c r="G40" s="14">
        <f>IF(OR(A40="",D40="",E40=""),"",F40/D40)</f>
        <v/>
      </c>
      <c r="H40" s="14">
        <f>IF(OR(A40="",D40="",E40=""),"",E40/D40)</f>
        <v/>
      </c>
      <c r="I40" s="5">
        <f>IF(A40="","",COUNTIFS('Recipe BOM'!$B:$B,A40,'Recipe BOM'!$D:$D,"&lt;&gt;"))</f>
        <v/>
      </c>
      <c r="J40" s="5">
        <f>IF(A40="","",COUNTIFS('Recipe BOM'!$B:$B,A40,'Recipe BOM'!$D:$D,"&lt;&gt;",'Recipe BOM'!$L:$L,"&lt;&gt;OK"))</f>
        <v/>
      </c>
      <c r="K40" s="5">
        <f>IF(A40="","",IF(I40=0,"No recipe",IF(J40&gt;0,"Check recipe/items",IF(D40="","Enter selling price","OK"))))</f>
        <v/>
      </c>
    </row>
    <row r="41">
      <c r="A41" s="5">
        <f>IF(Products!A41="","",Products!A41)</f>
        <v/>
      </c>
      <c r="B41" s="5">
        <f>IF(A41="","",Products!B41)</f>
        <v/>
      </c>
      <c r="C41" s="5">
        <f>IF(A41="","",Products!C41)</f>
        <v/>
      </c>
      <c r="D41" s="13">
        <f>IF(A41="","",Products!D41)</f>
        <v/>
      </c>
      <c r="E41" s="13">
        <f>IF(A41="","",SUMIFS('Recipe BOM'!$K:$K,'Recipe BOM'!$B:$B,A41))</f>
        <v/>
      </c>
      <c r="F41" s="13">
        <f>IF(OR(A41="",D41="",E41=""),"",D41-E41)</f>
        <v/>
      </c>
      <c r="G41" s="14">
        <f>IF(OR(A41="",D41="",E41=""),"",F41/D41)</f>
        <v/>
      </c>
      <c r="H41" s="14">
        <f>IF(OR(A41="",D41="",E41=""),"",E41/D41)</f>
        <v/>
      </c>
      <c r="I41" s="5">
        <f>IF(A41="","",COUNTIFS('Recipe BOM'!$B:$B,A41,'Recipe BOM'!$D:$D,"&lt;&gt;"))</f>
        <v/>
      </c>
      <c r="J41" s="5">
        <f>IF(A41="","",COUNTIFS('Recipe BOM'!$B:$B,A41,'Recipe BOM'!$D:$D,"&lt;&gt;",'Recipe BOM'!$L:$L,"&lt;&gt;OK"))</f>
        <v/>
      </c>
      <c r="K41" s="5">
        <f>IF(A41="","",IF(I41=0,"No recipe",IF(J41&gt;0,"Check recipe/items",IF(D41="","Enter selling price","OK"))))</f>
        <v/>
      </c>
    </row>
    <row r="42">
      <c r="A42" s="5">
        <f>IF(Products!A42="","",Products!A42)</f>
        <v/>
      </c>
      <c r="B42" s="5">
        <f>IF(A42="","",Products!B42)</f>
        <v/>
      </c>
      <c r="C42" s="5">
        <f>IF(A42="","",Products!C42)</f>
        <v/>
      </c>
      <c r="D42" s="13">
        <f>IF(A42="","",Products!D42)</f>
        <v/>
      </c>
      <c r="E42" s="13">
        <f>IF(A42="","",SUMIFS('Recipe BOM'!$K:$K,'Recipe BOM'!$B:$B,A42))</f>
        <v/>
      </c>
      <c r="F42" s="13">
        <f>IF(OR(A42="",D42="",E42=""),"",D42-E42)</f>
        <v/>
      </c>
      <c r="G42" s="14">
        <f>IF(OR(A42="",D42="",E42=""),"",F42/D42)</f>
        <v/>
      </c>
      <c r="H42" s="14">
        <f>IF(OR(A42="",D42="",E42=""),"",E42/D42)</f>
        <v/>
      </c>
      <c r="I42" s="5">
        <f>IF(A42="","",COUNTIFS('Recipe BOM'!$B:$B,A42,'Recipe BOM'!$D:$D,"&lt;&gt;"))</f>
        <v/>
      </c>
      <c r="J42" s="5">
        <f>IF(A42="","",COUNTIFS('Recipe BOM'!$B:$B,A42,'Recipe BOM'!$D:$D,"&lt;&gt;",'Recipe BOM'!$L:$L,"&lt;&gt;OK"))</f>
        <v/>
      </c>
      <c r="K42" s="5">
        <f>IF(A42="","",IF(I42=0,"No recipe",IF(J42&gt;0,"Check recipe/items",IF(D42="","Enter selling price","OK"))))</f>
        <v/>
      </c>
    </row>
    <row r="43">
      <c r="A43" s="5">
        <f>IF(Products!A43="","",Products!A43)</f>
        <v/>
      </c>
      <c r="B43" s="5">
        <f>IF(A43="","",Products!B43)</f>
        <v/>
      </c>
      <c r="C43" s="5">
        <f>IF(A43="","",Products!C43)</f>
        <v/>
      </c>
      <c r="D43" s="13">
        <f>IF(A43="","",Products!D43)</f>
        <v/>
      </c>
      <c r="E43" s="13">
        <f>IF(A43="","",SUMIFS('Recipe BOM'!$K:$K,'Recipe BOM'!$B:$B,A43))</f>
        <v/>
      </c>
      <c r="F43" s="13">
        <f>IF(OR(A43="",D43="",E43=""),"",D43-E43)</f>
        <v/>
      </c>
      <c r="G43" s="14">
        <f>IF(OR(A43="",D43="",E43=""),"",F43/D43)</f>
        <v/>
      </c>
      <c r="H43" s="14">
        <f>IF(OR(A43="",D43="",E43=""),"",E43/D43)</f>
        <v/>
      </c>
      <c r="I43" s="5">
        <f>IF(A43="","",COUNTIFS('Recipe BOM'!$B:$B,A43,'Recipe BOM'!$D:$D,"&lt;&gt;"))</f>
        <v/>
      </c>
      <c r="J43" s="5">
        <f>IF(A43="","",COUNTIFS('Recipe BOM'!$B:$B,A43,'Recipe BOM'!$D:$D,"&lt;&gt;",'Recipe BOM'!$L:$L,"&lt;&gt;OK"))</f>
        <v/>
      </c>
      <c r="K43" s="5">
        <f>IF(A43="","",IF(I43=0,"No recipe",IF(J43&gt;0,"Check recipe/items",IF(D43="","Enter selling price","OK"))))</f>
        <v/>
      </c>
    </row>
    <row r="44">
      <c r="A44" s="5">
        <f>IF(Products!A44="","",Products!A44)</f>
        <v/>
      </c>
      <c r="B44" s="5">
        <f>IF(A44="","",Products!B44)</f>
        <v/>
      </c>
      <c r="C44" s="5">
        <f>IF(A44="","",Products!C44)</f>
        <v/>
      </c>
      <c r="D44" s="13">
        <f>IF(A44="","",Products!D44)</f>
        <v/>
      </c>
      <c r="E44" s="13">
        <f>IF(A44="","",SUMIFS('Recipe BOM'!$K:$K,'Recipe BOM'!$B:$B,A44))</f>
        <v/>
      </c>
      <c r="F44" s="13">
        <f>IF(OR(A44="",D44="",E44=""),"",D44-E44)</f>
        <v/>
      </c>
      <c r="G44" s="14">
        <f>IF(OR(A44="",D44="",E44=""),"",F44/D44)</f>
        <v/>
      </c>
      <c r="H44" s="14">
        <f>IF(OR(A44="",D44="",E44=""),"",E44/D44)</f>
        <v/>
      </c>
      <c r="I44" s="5">
        <f>IF(A44="","",COUNTIFS('Recipe BOM'!$B:$B,A44,'Recipe BOM'!$D:$D,"&lt;&gt;"))</f>
        <v/>
      </c>
      <c r="J44" s="5">
        <f>IF(A44="","",COUNTIFS('Recipe BOM'!$B:$B,A44,'Recipe BOM'!$D:$D,"&lt;&gt;",'Recipe BOM'!$L:$L,"&lt;&gt;OK"))</f>
        <v/>
      </c>
      <c r="K44" s="5">
        <f>IF(A44="","",IF(I44=0,"No recipe",IF(J44&gt;0,"Check recipe/items",IF(D44="","Enter selling price","OK"))))</f>
        <v/>
      </c>
    </row>
    <row r="45">
      <c r="A45" s="5">
        <f>IF(Products!A45="","",Products!A45)</f>
        <v/>
      </c>
      <c r="B45" s="5">
        <f>IF(A45="","",Products!B45)</f>
        <v/>
      </c>
      <c r="C45" s="5">
        <f>IF(A45="","",Products!C45)</f>
        <v/>
      </c>
      <c r="D45" s="13">
        <f>IF(A45="","",Products!D45)</f>
        <v/>
      </c>
      <c r="E45" s="13">
        <f>IF(A45="","",SUMIFS('Recipe BOM'!$K:$K,'Recipe BOM'!$B:$B,A45))</f>
        <v/>
      </c>
      <c r="F45" s="13">
        <f>IF(OR(A45="",D45="",E45=""),"",D45-E45)</f>
        <v/>
      </c>
      <c r="G45" s="14">
        <f>IF(OR(A45="",D45="",E45=""),"",F45/D45)</f>
        <v/>
      </c>
      <c r="H45" s="14">
        <f>IF(OR(A45="",D45="",E45=""),"",E45/D45)</f>
        <v/>
      </c>
      <c r="I45" s="5">
        <f>IF(A45="","",COUNTIFS('Recipe BOM'!$B:$B,A45,'Recipe BOM'!$D:$D,"&lt;&gt;"))</f>
        <v/>
      </c>
      <c r="J45" s="5">
        <f>IF(A45="","",COUNTIFS('Recipe BOM'!$B:$B,A45,'Recipe BOM'!$D:$D,"&lt;&gt;",'Recipe BOM'!$L:$L,"&lt;&gt;OK"))</f>
        <v/>
      </c>
      <c r="K45" s="5">
        <f>IF(A45="","",IF(I45=0,"No recipe",IF(J45&gt;0,"Check recipe/items",IF(D45="","Enter selling price","OK"))))</f>
        <v/>
      </c>
    </row>
    <row r="46">
      <c r="A46" s="5">
        <f>IF(Products!A46="","",Products!A46)</f>
        <v/>
      </c>
      <c r="B46" s="5">
        <f>IF(A46="","",Products!B46)</f>
        <v/>
      </c>
      <c r="C46" s="5">
        <f>IF(A46="","",Products!C46)</f>
        <v/>
      </c>
      <c r="D46" s="13">
        <f>IF(A46="","",Products!D46)</f>
        <v/>
      </c>
      <c r="E46" s="13">
        <f>IF(A46="","",SUMIFS('Recipe BOM'!$K:$K,'Recipe BOM'!$B:$B,A46))</f>
        <v/>
      </c>
      <c r="F46" s="13">
        <f>IF(OR(A46="",D46="",E46=""),"",D46-E46)</f>
        <v/>
      </c>
      <c r="G46" s="14">
        <f>IF(OR(A46="",D46="",E46=""),"",F46/D46)</f>
        <v/>
      </c>
      <c r="H46" s="14">
        <f>IF(OR(A46="",D46="",E46=""),"",E46/D46)</f>
        <v/>
      </c>
      <c r="I46" s="5">
        <f>IF(A46="","",COUNTIFS('Recipe BOM'!$B:$B,A46,'Recipe BOM'!$D:$D,"&lt;&gt;"))</f>
        <v/>
      </c>
      <c r="J46" s="5">
        <f>IF(A46="","",COUNTIFS('Recipe BOM'!$B:$B,A46,'Recipe BOM'!$D:$D,"&lt;&gt;",'Recipe BOM'!$L:$L,"&lt;&gt;OK"))</f>
        <v/>
      </c>
      <c r="K46" s="5">
        <f>IF(A46="","",IF(I46=0,"No recipe",IF(J46&gt;0,"Check recipe/items",IF(D46="","Enter selling price","OK"))))</f>
        <v/>
      </c>
    </row>
    <row r="47">
      <c r="A47" s="5">
        <f>IF(Products!A47="","",Products!A47)</f>
        <v/>
      </c>
      <c r="B47" s="5">
        <f>IF(A47="","",Products!B47)</f>
        <v/>
      </c>
      <c r="C47" s="5">
        <f>IF(A47="","",Products!C47)</f>
        <v/>
      </c>
      <c r="D47" s="13">
        <f>IF(A47="","",Products!D47)</f>
        <v/>
      </c>
      <c r="E47" s="13">
        <f>IF(A47="","",SUMIFS('Recipe BOM'!$K:$K,'Recipe BOM'!$B:$B,A47))</f>
        <v/>
      </c>
      <c r="F47" s="13">
        <f>IF(OR(A47="",D47="",E47=""),"",D47-E47)</f>
        <v/>
      </c>
      <c r="G47" s="14">
        <f>IF(OR(A47="",D47="",E47=""),"",F47/D47)</f>
        <v/>
      </c>
      <c r="H47" s="14">
        <f>IF(OR(A47="",D47="",E47=""),"",E47/D47)</f>
        <v/>
      </c>
      <c r="I47" s="5">
        <f>IF(A47="","",COUNTIFS('Recipe BOM'!$B:$B,A47,'Recipe BOM'!$D:$D,"&lt;&gt;"))</f>
        <v/>
      </c>
      <c r="J47" s="5">
        <f>IF(A47="","",COUNTIFS('Recipe BOM'!$B:$B,A47,'Recipe BOM'!$D:$D,"&lt;&gt;",'Recipe BOM'!$L:$L,"&lt;&gt;OK"))</f>
        <v/>
      </c>
      <c r="K47" s="5">
        <f>IF(A47="","",IF(I47=0,"No recipe",IF(J47&gt;0,"Check recipe/items",IF(D47="","Enter selling price","OK"))))</f>
        <v/>
      </c>
    </row>
    <row r="48">
      <c r="A48" s="5">
        <f>IF(Products!A48="","",Products!A48)</f>
        <v/>
      </c>
      <c r="B48" s="5">
        <f>IF(A48="","",Products!B48)</f>
        <v/>
      </c>
      <c r="C48" s="5">
        <f>IF(A48="","",Products!C48)</f>
        <v/>
      </c>
      <c r="D48" s="13">
        <f>IF(A48="","",Products!D48)</f>
        <v/>
      </c>
      <c r="E48" s="13">
        <f>IF(A48="","",SUMIFS('Recipe BOM'!$K:$K,'Recipe BOM'!$B:$B,A48))</f>
        <v/>
      </c>
      <c r="F48" s="13">
        <f>IF(OR(A48="",D48="",E48=""),"",D48-E48)</f>
        <v/>
      </c>
      <c r="G48" s="14">
        <f>IF(OR(A48="",D48="",E48=""),"",F48/D48)</f>
        <v/>
      </c>
      <c r="H48" s="14">
        <f>IF(OR(A48="",D48="",E48=""),"",E48/D48)</f>
        <v/>
      </c>
      <c r="I48" s="5">
        <f>IF(A48="","",COUNTIFS('Recipe BOM'!$B:$B,A48,'Recipe BOM'!$D:$D,"&lt;&gt;"))</f>
        <v/>
      </c>
      <c r="J48" s="5">
        <f>IF(A48="","",COUNTIFS('Recipe BOM'!$B:$B,A48,'Recipe BOM'!$D:$D,"&lt;&gt;",'Recipe BOM'!$L:$L,"&lt;&gt;OK"))</f>
        <v/>
      </c>
      <c r="K48" s="5">
        <f>IF(A48="","",IF(I48=0,"No recipe",IF(J48&gt;0,"Check recipe/items",IF(D48="","Enter selling price","OK"))))</f>
        <v/>
      </c>
    </row>
    <row r="49">
      <c r="A49" s="5">
        <f>IF(Products!A49="","",Products!A49)</f>
        <v/>
      </c>
      <c r="B49" s="5">
        <f>IF(A49="","",Products!B49)</f>
        <v/>
      </c>
      <c r="C49" s="5">
        <f>IF(A49="","",Products!C49)</f>
        <v/>
      </c>
      <c r="D49" s="13">
        <f>IF(A49="","",Products!D49)</f>
        <v/>
      </c>
      <c r="E49" s="13">
        <f>IF(A49="","",SUMIFS('Recipe BOM'!$K:$K,'Recipe BOM'!$B:$B,A49))</f>
        <v/>
      </c>
      <c r="F49" s="13">
        <f>IF(OR(A49="",D49="",E49=""),"",D49-E49)</f>
        <v/>
      </c>
      <c r="G49" s="14">
        <f>IF(OR(A49="",D49="",E49=""),"",F49/D49)</f>
        <v/>
      </c>
      <c r="H49" s="14">
        <f>IF(OR(A49="",D49="",E49=""),"",E49/D49)</f>
        <v/>
      </c>
      <c r="I49" s="5">
        <f>IF(A49="","",COUNTIFS('Recipe BOM'!$B:$B,A49,'Recipe BOM'!$D:$D,"&lt;&gt;"))</f>
        <v/>
      </c>
      <c r="J49" s="5">
        <f>IF(A49="","",COUNTIFS('Recipe BOM'!$B:$B,A49,'Recipe BOM'!$D:$D,"&lt;&gt;",'Recipe BOM'!$L:$L,"&lt;&gt;OK"))</f>
        <v/>
      </c>
      <c r="K49" s="5">
        <f>IF(A49="","",IF(I49=0,"No recipe",IF(J49&gt;0,"Check recipe/items",IF(D49="","Enter selling price","OK"))))</f>
        <v/>
      </c>
    </row>
    <row r="50">
      <c r="A50" s="5">
        <f>IF(Products!A50="","",Products!A50)</f>
        <v/>
      </c>
      <c r="B50" s="5">
        <f>IF(A50="","",Products!B50)</f>
        <v/>
      </c>
      <c r="C50" s="5">
        <f>IF(A50="","",Products!C50)</f>
        <v/>
      </c>
      <c r="D50" s="13">
        <f>IF(A50="","",Products!D50)</f>
        <v/>
      </c>
      <c r="E50" s="13">
        <f>IF(A50="","",SUMIFS('Recipe BOM'!$K:$K,'Recipe BOM'!$B:$B,A50))</f>
        <v/>
      </c>
      <c r="F50" s="13">
        <f>IF(OR(A50="",D50="",E50=""),"",D50-E50)</f>
        <v/>
      </c>
      <c r="G50" s="14">
        <f>IF(OR(A50="",D50="",E50=""),"",F50/D50)</f>
        <v/>
      </c>
      <c r="H50" s="14">
        <f>IF(OR(A50="",D50="",E50=""),"",E50/D50)</f>
        <v/>
      </c>
      <c r="I50" s="5">
        <f>IF(A50="","",COUNTIFS('Recipe BOM'!$B:$B,A50,'Recipe BOM'!$D:$D,"&lt;&gt;"))</f>
        <v/>
      </c>
      <c r="J50" s="5">
        <f>IF(A50="","",COUNTIFS('Recipe BOM'!$B:$B,A50,'Recipe BOM'!$D:$D,"&lt;&gt;",'Recipe BOM'!$L:$L,"&lt;&gt;OK"))</f>
        <v/>
      </c>
      <c r="K50" s="5">
        <f>IF(A50="","",IF(I50=0,"No recipe",IF(J50&gt;0,"Check recipe/items",IF(D50="","Enter selling price","OK"))))</f>
        <v/>
      </c>
    </row>
    <row r="51">
      <c r="A51" s="5">
        <f>IF(Products!A51="","",Products!A51)</f>
        <v/>
      </c>
      <c r="B51" s="5">
        <f>IF(A51="","",Products!B51)</f>
        <v/>
      </c>
      <c r="C51" s="5">
        <f>IF(A51="","",Products!C51)</f>
        <v/>
      </c>
      <c r="D51" s="13">
        <f>IF(A51="","",Products!D51)</f>
        <v/>
      </c>
      <c r="E51" s="13">
        <f>IF(A51="","",SUMIFS('Recipe BOM'!$K:$K,'Recipe BOM'!$B:$B,A51))</f>
        <v/>
      </c>
      <c r="F51" s="13">
        <f>IF(OR(A51="",D51="",E51=""),"",D51-E51)</f>
        <v/>
      </c>
      <c r="G51" s="14">
        <f>IF(OR(A51="",D51="",E51=""),"",F51/D51)</f>
        <v/>
      </c>
      <c r="H51" s="14">
        <f>IF(OR(A51="",D51="",E51=""),"",E51/D51)</f>
        <v/>
      </c>
      <c r="I51" s="5">
        <f>IF(A51="","",COUNTIFS('Recipe BOM'!$B:$B,A51,'Recipe BOM'!$D:$D,"&lt;&gt;"))</f>
        <v/>
      </c>
      <c r="J51" s="5">
        <f>IF(A51="","",COUNTIFS('Recipe BOM'!$B:$B,A51,'Recipe BOM'!$D:$D,"&lt;&gt;",'Recipe BOM'!$L:$L,"&lt;&gt;OK"))</f>
        <v/>
      </c>
      <c r="K51" s="5">
        <f>IF(A51="","",IF(I51=0,"No recipe",IF(J51&gt;0,"Check recipe/items",IF(D51="","Enter selling price","OK"))))</f>
        <v/>
      </c>
    </row>
    <row r="52">
      <c r="A52" s="5">
        <f>IF(Products!A52="","",Products!A52)</f>
        <v/>
      </c>
      <c r="B52" s="5">
        <f>IF(A52="","",Products!B52)</f>
        <v/>
      </c>
      <c r="C52" s="5">
        <f>IF(A52="","",Products!C52)</f>
        <v/>
      </c>
      <c r="D52" s="13">
        <f>IF(A52="","",Products!D52)</f>
        <v/>
      </c>
      <c r="E52" s="13">
        <f>IF(A52="","",SUMIFS('Recipe BOM'!$K:$K,'Recipe BOM'!$B:$B,A52))</f>
        <v/>
      </c>
      <c r="F52" s="13">
        <f>IF(OR(A52="",D52="",E52=""),"",D52-E52)</f>
        <v/>
      </c>
      <c r="G52" s="14">
        <f>IF(OR(A52="",D52="",E52=""),"",F52/D52)</f>
        <v/>
      </c>
      <c r="H52" s="14">
        <f>IF(OR(A52="",D52="",E52=""),"",E52/D52)</f>
        <v/>
      </c>
      <c r="I52" s="5">
        <f>IF(A52="","",COUNTIFS('Recipe BOM'!$B:$B,A52,'Recipe BOM'!$D:$D,"&lt;&gt;"))</f>
        <v/>
      </c>
      <c r="J52" s="5">
        <f>IF(A52="","",COUNTIFS('Recipe BOM'!$B:$B,A52,'Recipe BOM'!$D:$D,"&lt;&gt;",'Recipe BOM'!$L:$L,"&lt;&gt;OK"))</f>
        <v/>
      </c>
      <c r="K52" s="5">
        <f>IF(A52="","",IF(I52=0,"No recipe",IF(J52&gt;0,"Check recipe/items",IF(D52="","Enter selling price","OK"))))</f>
        <v/>
      </c>
    </row>
    <row r="53">
      <c r="A53" s="5">
        <f>IF(Products!A53="","",Products!A53)</f>
        <v/>
      </c>
      <c r="B53" s="5">
        <f>IF(A53="","",Products!B53)</f>
        <v/>
      </c>
      <c r="C53" s="5">
        <f>IF(A53="","",Products!C53)</f>
        <v/>
      </c>
      <c r="D53" s="13">
        <f>IF(A53="","",Products!D53)</f>
        <v/>
      </c>
      <c r="E53" s="13">
        <f>IF(A53="","",SUMIFS('Recipe BOM'!$K:$K,'Recipe BOM'!$B:$B,A53))</f>
        <v/>
      </c>
      <c r="F53" s="13">
        <f>IF(OR(A53="",D53="",E53=""),"",D53-E53)</f>
        <v/>
      </c>
      <c r="G53" s="14">
        <f>IF(OR(A53="",D53="",E53=""),"",F53/D53)</f>
        <v/>
      </c>
      <c r="H53" s="14">
        <f>IF(OR(A53="",D53="",E53=""),"",E53/D53)</f>
        <v/>
      </c>
      <c r="I53" s="5">
        <f>IF(A53="","",COUNTIFS('Recipe BOM'!$B:$B,A53,'Recipe BOM'!$D:$D,"&lt;&gt;"))</f>
        <v/>
      </c>
      <c r="J53" s="5">
        <f>IF(A53="","",COUNTIFS('Recipe BOM'!$B:$B,A53,'Recipe BOM'!$D:$D,"&lt;&gt;",'Recipe BOM'!$L:$L,"&lt;&gt;OK"))</f>
        <v/>
      </c>
      <c r="K53" s="5">
        <f>IF(A53="","",IF(I53=0,"No recipe",IF(J53&gt;0,"Check recipe/items",IF(D53="","Enter selling price","OK"))))</f>
        <v/>
      </c>
    </row>
    <row r="54">
      <c r="A54" s="5">
        <f>IF(Products!A54="","",Products!A54)</f>
        <v/>
      </c>
      <c r="B54" s="5">
        <f>IF(A54="","",Products!B54)</f>
        <v/>
      </c>
      <c r="C54" s="5">
        <f>IF(A54="","",Products!C54)</f>
        <v/>
      </c>
      <c r="D54" s="13">
        <f>IF(A54="","",Products!D54)</f>
        <v/>
      </c>
      <c r="E54" s="13">
        <f>IF(A54="","",SUMIFS('Recipe BOM'!$K:$K,'Recipe BOM'!$B:$B,A54))</f>
        <v/>
      </c>
      <c r="F54" s="13">
        <f>IF(OR(A54="",D54="",E54=""),"",D54-E54)</f>
        <v/>
      </c>
      <c r="G54" s="14">
        <f>IF(OR(A54="",D54="",E54=""),"",F54/D54)</f>
        <v/>
      </c>
      <c r="H54" s="14">
        <f>IF(OR(A54="",D54="",E54=""),"",E54/D54)</f>
        <v/>
      </c>
      <c r="I54" s="5">
        <f>IF(A54="","",COUNTIFS('Recipe BOM'!$B:$B,A54,'Recipe BOM'!$D:$D,"&lt;&gt;"))</f>
        <v/>
      </c>
      <c r="J54" s="5">
        <f>IF(A54="","",COUNTIFS('Recipe BOM'!$B:$B,A54,'Recipe BOM'!$D:$D,"&lt;&gt;",'Recipe BOM'!$L:$L,"&lt;&gt;OK"))</f>
        <v/>
      </c>
      <c r="K54" s="5">
        <f>IF(A54="","",IF(I54=0,"No recipe",IF(J54&gt;0,"Check recipe/items",IF(D54="","Enter selling price","OK"))))</f>
        <v/>
      </c>
    </row>
    <row r="55">
      <c r="A55" s="5">
        <f>IF(Products!A55="","",Products!A55)</f>
        <v/>
      </c>
      <c r="B55" s="5">
        <f>IF(A55="","",Products!B55)</f>
        <v/>
      </c>
      <c r="C55" s="5">
        <f>IF(A55="","",Products!C55)</f>
        <v/>
      </c>
      <c r="D55" s="13">
        <f>IF(A55="","",Products!D55)</f>
        <v/>
      </c>
      <c r="E55" s="13">
        <f>IF(A55="","",SUMIFS('Recipe BOM'!$K:$K,'Recipe BOM'!$B:$B,A55))</f>
        <v/>
      </c>
      <c r="F55" s="13">
        <f>IF(OR(A55="",D55="",E55=""),"",D55-E55)</f>
        <v/>
      </c>
      <c r="G55" s="14">
        <f>IF(OR(A55="",D55="",E55=""),"",F55/D55)</f>
        <v/>
      </c>
      <c r="H55" s="14">
        <f>IF(OR(A55="",D55="",E55=""),"",E55/D55)</f>
        <v/>
      </c>
      <c r="I55" s="5">
        <f>IF(A55="","",COUNTIFS('Recipe BOM'!$B:$B,A55,'Recipe BOM'!$D:$D,"&lt;&gt;"))</f>
        <v/>
      </c>
      <c r="J55" s="5">
        <f>IF(A55="","",COUNTIFS('Recipe BOM'!$B:$B,A55,'Recipe BOM'!$D:$D,"&lt;&gt;",'Recipe BOM'!$L:$L,"&lt;&gt;OK"))</f>
        <v/>
      </c>
      <c r="K55" s="5">
        <f>IF(A55="","",IF(I55=0,"No recipe",IF(J55&gt;0,"Check recipe/items",IF(D55="","Enter selling price","OK"))))</f>
        <v/>
      </c>
    </row>
    <row r="56">
      <c r="A56" s="5">
        <f>IF(Products!A56="","",Products!A56)</f>
        <v/>
      </c>
      <c r="B56" s="5">
        <f>IF(A56="","",Products!B56)</f>
        <v/>
      </c>
      <c r="C56" s="5">
        <f>IF(A56="","",Products!C56)</f>
        <v/>
      </c>
      <c r="D56" s="13">
        <f>IF(A56="","",Products!D56)</f>
        <v/>
      </c>
      <c r="E56" s="13">
        <f>IF(A56="","",SUMIFS('Recipe BOM'!$K:$K,'Recipe BOM'!$B:$B,A56))</f>
        <v/>
      </c>
      <c r="F56" s="13">
        <f>IF(OR(A56="",D56="",E56=""),"",D56-E56)</f>
        <v/>
      </c>
      <c r="G56" s="14">
        <f>IF(OR(A56="",D56="",E56=""),"",F56/D56)</f>
        <v/>
      </c>
      <c r="H56" s="14">
        <f>IF(OR(A56="",D56="",E56=""),"",E56/D56)</f>
        <v/>
      </c>
      <c r="I56" s="5">
        <f>IF(A56="","",COUNTIFS('Recipe BOM'!$B:$B,A56,'Recipe BOM'!$D:$D,"&lt;&gt;"))</f>
        <v/>
      </c>
      <c r="J56" s="5">
        <f>IF(A56="","",COUNTIFS('Recipe BOM'!$B:$B,A56,'Recipe BOM'!$D:$D,"&lt;&gt;",'Recipe BOM'!$L:$L,"&lt;&gt;OK"))</f>
        <v/>
      </c>
      <c r="K56" s="5">
        <f>IF(A56="","",IF(I56=0,"No recipe",IF(J56&gt;0,"Check recipe/items",IF(D56="","Enter selling price","OK"))))</f>
        <v/>
      </c>
    </row>
    <row r="57">
      <c r="A57" s="5">
        <f>IF(Products!A57="","",Products!A57)</f>
        <v/>
      </c>
      <c r="B57" s="5">
        <f>IF(A57="","",Products!B57)</f>
        <v/>
      </c>
      <c r="C57" s="5">
        <f>IF(A57="","",Products!C57)</f>
        <v/>
      </c>
      <c r="D57" s="13">
        <f>IF(A57="","",Products!D57)</f>
        <v/>
      </c>
      <c r="E57" s="13">
        <f>IF(A57="","",SUMIFS('Recipe BOM'!$K:$K,'Recipe BOM'!$B:$B,A57))</f>
        <v/>
      </c>
      <c r="F57" s="13">
        <f>IF(OR(A57="",D57="",E57=""),"",D57-E57)</f>
        <v/>
      </c>
      <c r="G57" s="14">
        <f>IF(OR(A57="",D57="",E57=""),"",F57/D57)</f>
        <v/>
      </c>
      <c r="H57" s="14">
        <f>IF(OR(A57="",D57="",E57=""),"",E57/D57)</f>
        <v/>
      </c>
      <c r="I57" s="5">
        <f>IF(A57="","",COUNTIFS('Recipe BOM'!$B:$B,A57,'Recipe BOM'!$D:$D,"&lt;&gt;"))</f>
        <v/>
      </c>
      <c r="J57" s="5">
        <f>IF(A57="","",COUNTIFS('Recipe BOM'!$B:$B,A57,'Recipe BOM'!$D:$D,"&lt;&gt;",'Recipe BOM'!$L:$L,"&lt;&gt;OK"))</f>
        <v/>
      </c>
      <c r="K57" s="5">
        <f>IF(A57="","",IF(I57=0,"No recipe",IF(J57&gt;0,"Check recipe/items",IF(D57="","Enter selling price","OK"))))</f>
        <v/>
      </c>
    </row>
    <row r="58">
      <c r="A58" s="5">
        <f>IF(Products!A58="","",Products!A58)</f>
        <v/>
      </c>
      <c r="B58" s="5">
        <f>IF(A58="","",Products!B58)</f>
        <v/>
      </c>
      <c r="C58" s="5">
        <f>IF(A58="","",Products!C58)</f>
        <v/>
      </c>
      <c r="D58" s="13">
        <f>IF(A58="","",Products!D58)</f>
        <v/>
      </c>
      <c r="E58" s="13">
        <f>IF(A58="","",SUMIFS('Recipe BOM'!$K:$K,'Recipe BOM'!$B:$B,A58))</f>
        <v/>
      </c>
      <c r="F58" s="13">
        <f>IF(OR(A58="",D58="",E58=""),"",D58-E58)</f>
        <v/>
      </c>
      <c r="G58" s="14">
        <f>IF(OR(A58="",D58="",E58=""),"",F58/D58)</f>
        <v/>
      </c>
      <c r="H58" s="14">
        <f>IF(OR(A58="",D58="",E58=""),"",E58/D58)</f>
        <v/>
      </c>
      <c r="I58" s="5">
        <f>IF(A58="","",COUNTIFS('Recipe BOM'!$B:$B,A58,'Recipe BOM'!$D:$D,"&lt;&gt;"))</f>
        <v/>
      </c>
      <c r="J58" s="5">
        <f>IF(A58="","",COUNTIFS('Recipe BOM'!$B:$B,A58,'Recipe BOM'!$D:$D,"&lt;&gt;",'Recipe BOM'!$L:$L,"&lt;&gt;OK"))</f>
        <v/>
      </c>
      <c r="K58" s="5">
        <f>IF(A58="","",IF(I58=0,"No recipe",IF(J58&gt;0,"Check recipe/items",IF(D58="","Enter selling price","OK"))))</f>
        <v/>
      </c>
    </row>
    <row r="59">
      <c r="A59" s="5">
        <f>IF(Products!A59="","",Products!A59)</f>
        <v/>
      </c>
      <c r="B59" s="5">
        <f>IF(A59="","",Products!B59)</f>
        <v/>
      </c>
      <c r="C59" s="5">
        <f>IF(A59="","",Products!C59)</f>
        <v/>
      </c>
      <c r="D59" s="13">
        <f>IF(A59="","",Products!D59)</f>
        <v/>
      </c>
      <c r="E59" s="13">
        <f>IF(A59="","",SUMIFS('Recipe BOM'!$K:$K,'Recipe BOM'!$B:$B,A59))</f>
        <v/>
      </c>
      <c r="F59" s="13">
        <f>IF(OR(A59="",D59="",E59=""),"",D59-E59)</f>
        <v/>
      </c>
      <c r="G59" s="14">
        <f>IF(OR(A59="",D59="",E59=""),"",F59/D59)</f>
        <v/>
      </c>
      <c r="H59" s="14">
        <f>IF(OR(A59="",D59="",E59=""),"",E59/D59)</f>
        <v/>
      </c>
      <c r="I59" s="5">
        <f>IF(A59="","",COUNTIFS('Recipe BOM'!$B:$B,A59,'Recipe BOM'!$D:$D,"&lt;&gt;"))</f>
        <v/>
      </c>
      <c r="J59" s="5">
        <f>IF(A59="","",COUNTIFS('Recipe BOM'!$B:$B,A59,'Recipe BOM'!$D:$D,"&lt;&gt;",'Recipe BOM'!$L:$L,"&lt;&gt;OK"))</f>
        <v/>
      </c>
      <c r="K59" s="5">
        <f>IF(A59="","",IF(I59=0,"No recipe",IF(J59&gt;0,"Check recipe/items",IF(D59="","Enter selling price","OK"))))</f>
        <v/>
      </c>
    </row>
    <row r="60">
      <c r="A60" s="5">
        <f>IF(Products!A60="","",Products!A60)</f>
        <v/>
      </c>
      <c r="B60" s="5">
        <f>IF(A60="","",Products!B60)</f>
        <v/>
      </c>
      <c r="C60" s="5">
        <f>IF(A60="","",Products!C60)</f>
        <v/>
      </c>
      <c r="D60" s="13">
        <f>IF(A60="","",Products!D60)</f>
        <v/>
      </c>
      <c r="E60" s="13">
        <f>IF(A60="","",SUMIFS('Recipe BOM'!$K:$K,'Recipe BOM'!$B:$B,A60))</f>
        <v/>
      </c>
      <c r="F60" s="13">
        <f>IF(OR(A60="",D60="",E60=""),"",D60-E60)</f>
        <v/>
      </c>
      <c r="G60" s="14">
        <f>IF(OR(A60="",D60="",E60=""),"",F60/D60)</f>
        <v/>
      </c>
      <c r="H60" s="14">
        <f>IF(OR(A60="",D60="",E60=""),"",E60/D60)</f>
        <v/>
      </c>
      <c r="I60" s="5">
        <f>IF(A60="","",COUNTIFS('Recipe BOM'!$B:$B,A60,'Recipe BOM'!$D:$D,"&lt;&gt;"))</f>
        <v/>
      </c>
      <c r="J60" s="5">
        <f>IF(A60="","",COUNTIFS('Recipe BOM'!$B:$B,A60,'Recipe BOM'!$D:$D,"&lt;&gt;",'Recipe BOM'!$L:$L,"&lt;&gt;OK"))</f>
        <v/>
      </c>
      <c r="K60" s="5">
        <f>IF(A60="","",IF(I60=0,"No recipe",IF(J60&gt;0,"Check recipe/items",IF(D60="","Enter selling price","OK"))))</f>
        <v/>
      </c>
    </row>
    <row r="61">
      <c r="A61" s="5">
        <f>IF(Products!A61="","",Products!A61)</f>
        <v/>
      </c>
      <c r="B61" s="5">
        <f>IF(A61="","",Products!B61)</f>
        <v/>
      </c>
      <c r="C61" s="5">
        <f>IF(A61="","",Products!C61)</f>
        <v/>
      </c>
      <c r="D61" s="13">
        <f>IF(A61="","",Products!D61)</f>
        <v/>
      </c>
      <c r="E61" s="13">
        <f>IF(A61="","",SUMIFS('Recipe BOM'!$K:$K,'Recipe BOM'!$B:$B,A61))</f>
        <v/>
      </c>
      <c r="F61" s="13">
        <f>IF(OR(A61="",D61="",E61=""),"",D61-E61)</f>
        <v/>
      </c>
      <c r="G61" s="14">
        <f>IF(OR(A61="",D61="",E61=""),"",F61/D61)</f>
        <v/>
      </c>
      <c r="H61" s="14">
        <f>IF(OR(A61="",D61="",E61=""),"",E61/D61)</f>
        <v/>
      </c>
      <c r="I61" s="5">
        <f>IF(A61="","",COUNTIFS('Recipe BOM'!$B:$B,A61,'Recipe BOM'!$D:$D,"&lt;&gt;"))</f>
        <v/>
      </c>
      <c r="J61" s="5">
        <f>IF(A61="","",COUNTIFS('Recipe BOM'!$B:$B,A61,'Recipe BOM'!$D:$D,"&lt;&gt;",'Recipe BOM'!$L:$L,"&lt;&gt;OK"))</f>
        <v/>
      </c>
      <c r="K61" s="5">
        <f>IF(A61="","",IF(I61=0,"No recipe",IF(J61&gt;0,"Check recipe/items",IF(D61="","Enter selling price","OK"))))</f>
        <v/>
      </c>
    </row>
    <row r="62">
      <c r="A62" s="5">
        <f>IF(Products!A62="","",Products!A62)</f>
        <v/>
      </c>
      <c r="B62" s="5">
        <f>IF(A62="","",Products!B62)</f>
        <v/>
      </c>
      <c r="C62" s="5">
        <f>IF(A62="","",Products!C62)</f>
        <v/>
      </c>
      <c r="D62" s="13">
        <f>IF(A62="","",Products!D62)</f>
        <v/>
      </c>
      <c r="E62" s="13">
        <f>IF(A62="","",SUMIFS('Recipe BOM'!$K:$K,'Recipe BOM'!$B:$B,A62))</f>
        <v/>
      </c>
      <c r="F62" s="13">
        <f>IF(OR(A62="",D62="",E62=""),"",D62-E62)</f>
        <v/>
      </c>
      <c r="G62" s="14">
        <f>IF(OR(A62="",D62="",E62=""),"",F62/D62)</f>
        <v/>
      </c>
      <c r="H62" s="14">
        <f>IF(OR(A62="",D62="",E62=""),"",E62/D62)</f>
        <v/>
      </c>
      <c r="I62" s="5">
        <f>IF(A62="","",COUNTIFS('Recipe BOM'!$B:$B,A62,'Recipe BOM'!$D:$D,"&lt;&gt;"))</f>
        <v/>
      </c>
      <c r="J62" s="5">
        <f>IF(A62="","",COUNTIFS('Recipe BOM'!$B:$B,A62,'Recipe BOM'!$D:$D,"&lt;&gt;",'Recipe BOM'!$L:$L,"&lt;&gt;OK"))</f>
        <v/>
      </c>
      <c r="K62" s="5">
        <f>IF(A62="","",IF(I62=0,"No recipe",IF(J62&gt;0,"Check recipe/items",IF(D62="","Enter selling price","OK"))))</f>
        <v/>
      </c>
    </row>
    <row r="63">
      <c r="A63" s="5">
        <f>IF(Products!A63="","",Products!A63)</f>
        <v/>
      </c>
      <c r="B63" s="5">
        <f>IF(A63="","",Products!B63)</f>
        <v/>
      </c>
      <c r="C63" s="5">
        <f>IF(A63="","",Products!C63)</f>
        <v/>
      </c>
      <c r="D63" s="13">
        <f>IF(A63="","",Products!D63)</f>
        <v/>
      </c>
      <c r="E63" s="13">
        <f>IF(A63="","",SUMIFS('Recipe BOM'!$K:$K,'Recipe BOM'!$B:$B,A63))</f>
        <v/>
      </c>
      <c r="F63" s="13">
        <f>IF(OR(A63="",D63="",E63=""),"",D63-E63)</f>
        <v/>
      </c>
      <c r="G63" s="14">
        <f>IF(OR(A63="",D63="",E63=""),"",F63/D63)</f>
        <v/>
      </c>
      <c r="H63" s="14">
        <f>IF(OR(A63="",D63="",E63=""),"",E63/D63)</f>
        <v/>
      </c>
      <c r="I63" s="5">
        <f>IF(A63="","",COUNTIFS('Recipe BOM'!$B:$B,A63,'Recipe BOM'!$D:$D,"&lt;&gt;"))</f>
        <v/>
      </c>
      <c r="J63" s="5">
        <f>IF(A63="","",COUNTIFS('Recipe BOM'!$B:$B,A63,'Recipe BOM'!$D:$D,"&lt;&gt;",'Recipe BOM'!$L:$L,"&lt;&gt;OK"))</f>
        <v/>
      </c>
      <c r="K63" s="5">
        <f>IF(A63="","",IF(I63=0,"No recipe",IF(J63&gt;0,"Check recipe/items",IF(D63="","Enter selling price","OK"))))</f>
        <v/>
      </c>
    </row>
    <row r="64">
      <c r="A64" s="5">
        <f>IF(Products!A64="","",Products!A64)</f>
        <v/>
      </c>
      <c r="B64" s="5">
        <f>IF(A64="","",Products!B64)</f>
        <v/>
      </c>
      <c r="C64" s="5">
        <f>IF(A64="","",Products!C64)</f>
        <v/>
      </c>
      <c r="D64" s="13">
        <f>IF(A64="","",Products!D64)</f>
        <v/>
      </c>
      <c r="E64" s="13">
        <f>IF(A64="","",SUMIFS('Recipe BOM'!$K:$K,'Recipe BOM'!$B:$B,A64))</f>
        <v/>
      </c>
      <c r="F64" s="13">
        <f>IF(OR(A64="",D64="",E64=""),"",D64-E64)</f>
        <v/>
      </c>
      <c r="G64" s="14">
        <f>IF(OR(A64="",D64="",E64=""),"",F64/D64)</f>
        <v/>
      </c>
      <c r="H64" s="14">
        <f>IF(OR(A64="",D64="",E64=""),"",E64/D64)</f>
        <v/>
      </c>
      <c r="I64" s="5">
        <f>IF(A64="","",COUNTIFS('Recipe BOM'!$B:$B,A64,'Recipe BOM'!$D:$D,"&lt;&gt;"))</f>
        <v/>
      </c>
      <c r="J64" s="5">
        <f>IF(A64="","",COUNTIFS('Recipe BOM'!$B:$B,A64,'Recipe BOM'!$D:$D,"&lt;&gt;",'Recipe BOM'!$L:$L,"&lt;&gt;OK"))</f>
        <v/>
      </c>
      <c r="K64" s="5">
        <f>IF(A64="","",IF(I64=0,"No recipe",IF(J64&gt;0,"Check recipe/items",IF(D64="","Enter selling price","OK"))))</f>
        <v/>
      </c>
    </row>
    <row r="65">
      <c r="A65" s="5">
        <f>IF(Products!A65="","",Products!A65)</f>
        <v/>
      </c>
      <c r="B65" s="5">
        <f>IF(A65="","",Products!B65)</f>
        <v/>
      </c>
      <c r="C65" s="5">
        <f>IF(A65="","",Products!C65)</f>
        <v/>
      </c>
      <c r="D65" s="13">
        <f>IF(A65="","",Products!D65)</f>
        <v/>
      </c>
      <c r="E65" s="13">
        <f>IF(A65="","",SUMIFS('Recipe BOM'!$K:$K,'Recipe BOM'!$B:$B,A65))</f>
        <v/>
      </c>
      <c r="F65" s="13">
        <f>IF(OR(A65="",D65="",E65=""),"",D65-E65)</f>
        <v/>
      </c>
      <c r="G65" s="14">
        <f>IF(OR(A65="",D65="",E65=""),"",F65/D65)</f>
        <v/>
      </c>
      <c r="H65" s="14">
        <f>IF(OR(A65="",D65="",E65=""),"",E65/D65)</f>
        <v/>
      </c>
      <c r="I65" s="5">
        <f>IF(A65="","",COUNTIFS('Recipe BOM'!$B:$B,A65,'Recipe BOM'!$D:$D,"&lt;&gt;"))</f>
        <v/>
      </c>
      <c r="J65" s="5">
        <f>IF(A65="","",COUNTIFS('Recipe BOM'!$B:$B,A65,'Recipe BOM'!$D:$D,"&lt;&gt;",'Recipe BOM'!$L:$L,"&lt;&gt;OK"))</f>
        <v/>
      </c>
      <c r="K65" s="5">
        <f>IF(A65="","",IF(I65=0,"No recipe",IF(J65&gt;0,"Check recipe/items",IF(D65="","Enter selling price","OK"))))</f>
        <v/>
      </c>
    </row>
    <row r="66">
      <c r="A66" s="5">
        <f>IF(Products!A66="","",Products!A66)</f>
        <v/>
      </c>
      <c r="B66" s="5">
        <f>IF(A66="","",Products!B66)</f>
        <v/>
      </c>
      <c r="C66" s="5">
        <f>IF(A66="","",Products!C66)</f>
        <v/>
      </c>
      <c r="D66" s="13">
        <f>IF(A66="","",Products!D66)</f>
        <v/>
      </c>
      <c r="E66" s="13">
        <f>IF(A66="","",SUMIFS('Recipe BOM'!$K:$K,'Recipe BOM'!$B:$B,A66))</f>
        <v/>
      </c>
      <c r="F66" s="13">
        <f>IF(OR(A66="",D66="",E66=""),"",D66-E66)</f>
        <v/>
      </c>
      <c r="G66" s="14">
        <f>IF(OR(A66="",D66="",E66=""),"",F66/D66)</f>
        <v/>
      </c>
      <c r="H66" s="14">
        <f>IF(OR(A66="",D66="",E66=""),"",E66/D66)</f>
        <v/>
      </c>
      <c r="I66" s="5">
        <f>IF(A66="","",COUNTIFS('Recipe BOM'!$B:$B,A66,'Recipe BOM'!$D:$D,"&lt;&gt;"))</f>
        <v/>
      </c>
      <c r="J66" s="5">
        <f>IF(A66="","",COUNTIFS('Recipe BOM'!$B:$B,A66,'Recipe BOM'!$D:$D,"&lt;&gt;",'Recipe BOM'!$L:$L,"&lt;&gt;OK"))</f>
        <v/>
      </c>
      <c r="K66" s="5">
        <f>IF(A66="","",IF(I66=0,"No recipe",IF(J66&gt;0,"Check recipe/items",IF(D66="","Enter selling price","OK"))))</f>
        <v/>
      </c>
    </row>
    <row r="67">
      <c r="A67" s="5">
        <f>IF(Products!A67="","",Products!A67)</f>
        <v/>
      </c>
      <c r="B67" s="5">
        <f>IF(A67="","",Products!B67)</f>
        <v/>
      </c>
      <c r="C67" s="5">
        <f>IF(A67="","",Products!C67)</f>
        <v/>
      </c>
      <c r="D67" s="13">
        <f>IF(A67="","",Products!D67)</f>
        <v/>
      </c>
      <c r="E67" s="13">
        <f>IF(A67="","",SUMIFS('Recipe BOM'!$K:$K,'Recipe BOM'!$B:$B,A67))</f>
        <v/>
      </c>
      <c r="F67" s="13">
        <f>IF(OR(A67="",D67="",E67=""),"",D67-E67)</f>
        <v/>
      </c>
      <c r="G67" s="14">
        <f>IF(OR(A67="",D67="",E67=""),"",F67/D67)</f>
        <v/>
      </c>
      <c r="H67" s="14">
        <f>IF(OR(A67="",D67="",E67=""),"",E67/D67)</f>
        <v/>
      </c>
      <c r="I67" s="5">
        <f>IF(A67="","",COUNTIFS('Recipe BOM'!$B:$B,A67,'Recipe BOM'!$D:$D,"&lt;&gt;"))</f>
        <v/>
      </c>
      <c r="J67" s="5">
        <f>IF(A67="","",COUNTIFS('Recipe BOM'!$B:$B,A67,'Recipe BOM'!$D:$D,"&lt;&gt;",'Recipe BOM'!$L:$L,"&lt;&gt;OK"))</f>
        <v/>
      </c>
      <c r="K67" s="5">
        <f>IF(A67="","",IF(I67=0,"No recipe",IF(J67&gt;0,"Check recipe/items",IF(D67="","Enter selling price","OK"))))</f>
        <v/>
      </c>
    </row>
    <row r="68">
      <c r="A68" s="5">
        <f>IF(Products!A68="","",Products!A68)</f>
        <v/>
      </c>
      <c r="B68" s="5">
        <f>IF(A68="","",Products!B68)</f>
        <v/>
      </c>
      <c r="C68" s="5">
        <f>IF(A68="","",Products!C68)</f>
        <v/>
      </c>
      <c r="D68" s="13">
        <f>IF(A68="","",Products!D68)</f>
        <v/>
      </c>
      <c r="E68" s="13">
        <f>IF(A68="","",SUMIFS('Recipe BOM'!$K:$K,'Recipe BOM'!$B:$B,A68))</f>
        <v/>
      </c>
      <c r="F68" s="13">
        <f>IF(OR(A68="",D68="",E68=""),"",D68-E68)</f>
        <v/>
      </c>
      <c r="G68" s="14">
        <f>IF(OR(A68="",D68="",E68=""),"",F68/D68)</f>
        <v/>
      </c>
      <c r="H68" s="14">
        <f>IF(OR(A68="",D68="",E68=""),"",E68/D68)</f>
        <v/>
      </c>
      <c r="I68" s="5">
        <f>IF(A68="","",COUNTIFS('Recipe BOM'!$B:$B,A68,'Recipe BOM'!$D:$D,"&lt;&gt;"))</f>
        <v/>
      </c>
      <c r="J68" s="5">
        <f>IF(A68="","",COUNTIFS('Recipe BOM'!$B:$B,A68,'Recipe BOM'!$D:$D,"&lt;&gt;",'Recipe BOM'!$L:$L,"&lt;&gt;OK"))</f>
        <v/>
      </c>
      <c r="K68" s="5">
        <f>IF(A68="","",IF(I68=0,"No recipe",IF(J68&gt;0,"Check recipe/items",IF(D68="","Enter selling price","OK"))))</f>
        <v/>
      </c>
    </row>
    <row r="69">
      <c r="A69" s="5">
        <f>IF(Products!A69="","",Products!A69)</f>
        <v/>
      </c>
      <c r="B69" s="5">
        <f>IF(A69="","",Products!B69)</f>
        <v/>
      </c>
      <c r="C69" s="5">
        <f>IF(A69="","",Products!C69)</f>
        <v/>
      </c>
      <c r="D69" s="13">
        <f>IF(A69="","",Products!D69)</f>
        <v/>
      </c>
      <c r="E69" s="13">
        <f>IF(A69="","",SUMIFS('Recipe BOM'!$K:$K,'Recipe BOM'!$B:$B,A69))</f>
        <v/>
      </c>
      <c r="F69" s="13">
        <f>IF(OR(A69="",D69="",E69=""),"",D69-E69)</f>
        <v/>
      </c>
      <c r="G69" s="14">
        <f>IF(OR(A69="",D69="",E69=""),"",F69/D69)</f>
        <v/>
      </c>
      <c r="H69" s="14">
        <f>IF(OR(A69="",D69="",E69=""),"",E69/D69)</f>
        <v/>
      </c>
      <c r="I69" s="5">
        <f>IF(A69="","",COUNTIFS('Recipe BOM'!$B:$B,A69,'Recipe BOM'!$D:$D,"&lt;&gt;"))</f>
        <v/>
      </c>
      <c r="J69" s="5">
        <f>IF(A69="","",COUNTIFS('Recipe BOM'!$B:$B,A69,'Recipe BOM'!$D:$D,"&lt;&gt;",'Recipe BOM'!$L:$L,"&lt;&gt;OK"))</f>
        <v/>
      </c>
      <c r="K69" s="5">
        <f>IF(A69="","",IF(I69=0,"No recipe",IF(J69&gt;0,"Check recipe/items",IF(D69="","Enter selling price","OK"))))</f>
        <v/>
      </c>
    </row>
    <row r="70">
      <c r="A70" s="5">
        <f>IF(Products!A70="","",Products!A70)</f>
        <v/>
      </c>
      <c r="B70" s="5">
        <f>IF(A70="","",Products!B70)</f>
        <v/>
      </c>
      <c r="C70" s="5">
        <f>IF(A70="","",Products!C70)</f>
        <v/>
      </c>
      <c r="D70" s="13">
        <f>IF(A70="","",Products!D70)</f>
        <v/>
      </c>
      <c r="E70" s="13">
        <f>IF(A70="","",SUMIFS('Recipe BOM'!$K:$K,'Recipe BOM'!$B:$B,A70))</f>
        <v/>
      </c>
      <c r="F70" s="13">
        <f>IF(OR(A70="",D70="",E70=""),"",D70-E70)</f>
        <v/>
      </c>
      <c r="G70" s="14">
        <f>IF(OR(A70="",D70="",E70=""),"",F70/D70)</f>
        <v/>
      </c>
      <c r="H70" s="14">
        <f>IF(OR(A70="",D70="",E70=""),"",E70/D70)</f>
        <v/>
      </c>
      <c r="I70" s="5">
        <f>IF(A70="","",COUNTIFS('Recipe BOM'!$B:$B,A70,'Recipe BOM'!$D:$D,"&lt;&gt;"))</f>
        <v/>
      </c>
      <c r="J70" s="5">
        <f>IF(A70="","",COUNTIFS('Recipe BOM'!$B:$B,A70,'Recipe BOM'!$D:$D,"&lt;&gt;",'Recipe BOM'!$L:$L,"&lt;&gt;OK"))</f>
        <v/>
      </c>
      <c r="K70" s="5">
        <f>IF(A70="","",IF(I70=0,"No recipe",IF(J70&gt;0,"Check recipe/items",IF(D70="","Enter selling price","OK"))))</f>
        <v/>
      </c>
    </row>
    <row r="71">
      <c r="A71" s="5">
        <f>IF(Products!A71="","",Products!A71)</f>
        <v/>
      </c>
      <c r="B71" s="5">
        <f>IF(A71="","",Products!B71)</f>
        <v/>
      </c>
      <c r="C71" s="5">
        <f>IF(A71="","",Products!C71)</f>
        <v/>
      </c>
      <c r="D71" s="13">
        <f>IF(A71="","",Products!D71)</f>
        <v/>
      </c>
      <c r="E71" s="13">
        <f>IF(A71="","",SUMIFS('Recipe BOM'!$K:$K,'Recipe BOM'!$B:$B,A71))</f>
        <v/>
      </c>
      <c r="F71" s="13">
        <f>IF(OR(A71="",D71="",E71=""),"",D71-E71)</f>
        <v/>
      </c>
      <c r="G71" s="14">
        <f>IF(OR(A71="",D71="",E71=""),"",F71/D71)</f>
        <v/>
      </c>
      <c r="H71" s="14">
        <f>IF(OR(A71="",D71="",E71=""),"",E71/D71)</f>
        <v/>
      </c>
      <c r="I71" s="5">
        <f>IF(A71="","",COUNTIFS('Recipe BOM'!$B:$B,A71,'Recipe BOM'!$D:$D,"&lt;&gt;"))</f>
        <v/>
      </c>
      <c r="J71" s="5">
        <f>IF(A71="","",COUNTIFS('Recipe BOM'!$B:$B,A71,'Recipe BOM'!$D:$D,"&lt;&gt;",'Recipe BOM'!$L:$L,"&lt;&gt;OK"))</f>
        <v/>
      </c>
      <c r="K71" s="5">
        <f>IF(A71="","",IF(I71=0,"No recipe",IF(J71&gt;0,"Check recipe/items",IF(D71="","Enter selling price","OK"))))</f>
        <v/>
      </c>
    </row>
    <row r="72">
      <c r="A72" s="5">
        <f>IF(Products!A72="","",Products!A72)</f>
        <v/>
      </c>
      <c r="B72" s="5">
        <f>IF(A72="","",Products!B72)</f>
        <v/>
      </c>
      <c r="C72" s="5">
        <f>IF(A72="","",Products!C72)</f>
        <v/>
      </c>
      <c r="D72" s="13">
        <f>IF(A72="","",Products!D72)</f>
        <v/>
      </c>
      <c r="E72" s="13">
        <f>IF(A72="","",SUMIFS('Recipe BOM'!$K:$K,'Recipe BOM'!$B:$B,A72))</f>
        <v/>
      </c>
      <c r="F72" s="13">
        <f>IF(OR(A72="",D72="",E72=""),"",D72-E72)</f>
        <v/>
      </c>
      <c r="G72" s="14">
        <f>IF(OR(A72="",D72="",E72=""),"",F72/D72)</f>
        <v/>
      </c>
      <c r="H72" s="14">
        <f>IF(OR(A72="",D72="",E72=""),"",E72/D72)</f>
        <v/>
      </c>
      <c r="I72" s="5">
        <f>IF(A72="","",COUNTIFS('Recipe BOM'!$B:$B,A72,'Recipe BOM'!$D:$D,"&lt;&gt;"))</f>
        <v/>
      </c>
      <c r="J72" s="5">
        <f>IF(A72="","",COUNTIFS('Recipe BOM'!$B:$B,A72,'Recipe BOM'!$D:$D,"&lt;&gt;",'Recipe BOM'!$L:$L,"&lt;&gt;OK"))</f>
        <v/>
      </c>
      <c r="K72" s="5">
        <f>IF(A72="","",IF(I72=0,"No recipe",IF(J72&gt;0,"Check recipe/items",IF(D72="","Enter selling price","OK"))))</f>
        <v/>
      </c>
    </row>
    <row r="73">
      <c r="A73" s="5">
        <f>IF(Products!A73="","",Products!A73)</f>
        <v/>
      </c>
      <c r="B73" s="5">
        <f>IF(A73="","",Products!B73)</f>
        <v/>
      </c>
      <c r="C73" s="5">
        <f>IF(A73="","",Products!C73)</f>
        <v/>
      </c>
      <c r="D73" s="13">
        <f>IF(A73="","",Products!D73)</f>
        <v/>
      </c>
      <c r="E73" s="13">
        <f>IF(A73="","",SUMIFS('Recipe BOM'!$K:$K,'Recipe BOM'!$B:$B,A73))</f>
        <v/>
      </c>
      <c r="F73" s="13">
        <f>IF(OR(A73="",D73="",E73=""),"",D73-E73)</f>
        <v/>
      </c>
      <c r="G73" s="14">
        <f>IF(OR(A73="",D73="",E73=""),"",F73/D73)</f>
        <v/>
      </c>
      <c r="H73" s="14">
        <f>IF(OR(A73="",D73="",E73=""),"",E73/D73)</f>
        <v/>
      </c>
      <c r="I73" s="5">
        <f>IF(A73="","",COUNTIFS('Recipe BOM'!$B:$B,A73,'Recipe BOM'!$D:$D,"&lt;&gt;"))</f>
        <v/>
      </c>
      <c r="J73" s="5">
        <f>IF(A73="","",COUNTIFS('Recipe BOM'!$B:$B,A73,'Recipe BOM'!$D:$D,"&lt;&gt;",'Recipe BOM'!$L:$L,"&lt;&gt;OK"))</f>
        <v/>
      </c>
      <c r="K73" s="5">
        <f>IF(A73="","",IF(I73=0,"No recipe",IF(J73&gt;0,"Check recipe/items",IF(D73="","Enter selling price","OK"))))</f>
        <v/>
      </c>
    </row>
    <row r="74">
      <c r="A74" s="5">
        <f>IF(Products!A74="","",Products!A74)</f>
        <v/>
      </c>
      <c r="B74" s="5">
        <f>IF(A74="","",Products!B74)</f>
        <v/>
      </c>
      <c r="C74" s="5">
        <f>IF(A74="","",Products!C74)</f>
        <v/>
      </c>
      <c r="D74" s="13">
        <f>IF(A74="","",Products!D74)</f>
        <v/>
      </c>
      <c r="E74" s="13">
        <f>IF(A74="","",SUMIFS('Recipe BOM'!$K:$K,'Recipe BOM'!$B:$B,A74))</f>
        <v/>
      </c>
      <c r="F74" s="13">
        <f>IF(OR(A74="",D74="",E74=""),"",D74-E74)</f>
        <v/>
      </c>
      <c r="G74" s="14">
        <f>IF(OR(A74="",D74="",E74=""),"",F74/D74)</f>
        <v/>
      </c>
      <c r="H74" s="14">
        <f>IF(OR(A74="",D74="",E74=""),"",E74/D74)</f>
        <v/>
      </c>
      <c r="I74" s="5">
        <f>IF(A74="","",COUNTIFS('Recipe BOM'!$B:$B,A74,'Recipe BOM'!$D:$D,"&lt;&gt;"))</f>
        <v/>
      </c>
      <c r="J74" s="5">
        <f>IF(A74="","",COUNTIFS('Recipe BOM'!$B:$B,A74,'Recipe BOM'!$D:$D,"&lt;&gt;",'Recipe BOM'!$L:$L,"&lt;&gt;OK"))</f>
        <v/>
      </c>
      <c r="K74" s="5">
        <f>IF(A74="","",IF(I74=0,"No recipe",IF(J74&gt;0,"Check recipe/items",IF(D74="","Enter selling price","OK"))))</f>
        <v/>
      </c>
    </row>
    <row r="75">
      <c r="A75" s="5">
        <f>IF(Products!A75="","",Products!A75)</f>
        <v/>
      </c>
      <c r="B75" s="5">
        <f>IF(A75="","",Products!B75)</f>
        <v/>
      </c>
      <c r="C75" s="5">
        <f>IF(A75="","",Products!C75)</f>
        <v/>
      </c>
      <c r="D75" s="13">
        <f>IF(A75="","",Products!D75)</f>
        <v/>
      </c>
      <c r="E75" s="13">
        <f>IF(A75="","",SUMIFS('Recipe BOM'!$K:$K,'Recipe BOM'!$B:$B,A75))</f>
        <v/>
      </c>
      <c r="F75" s="13">
        <f>IF(OR(A75="",D75="",E75=""),"",D75-E75)</f>
        <v/>
      </c>
      <c r="G75" s="14">
        <f>IF(OR(A75="",D75="",E75=""),"",F75/D75)</f>
        <v/>
      </c>
      <c r="H75" s="14">
        <f>IF(OR(A75="",D75="",E75=""),"",E75/D75)</f>
        <v/>
      </c>
      <c r="I75" s="5">
        <f>IF(A75="","",COUNTIFS('Recipe BOM'!$B:$B,A75,'Recipe BOM'!$D:$D,"&lt;&gt;"))</f>
        <v/>
      </c>
      <c r="J75" s="5">
        <f>IF(A75="","",COUNTIFS('Recipe BOM'!$B:$B,A75,'Recipe BOM'!$D:$D,"&lt;&gt;",'Recipe BOM'!$L:$L,"&lt;&gt;OK"))</f>
        <v/>
      </c>
      <c r="K75" s="5">
        <f>IF(A75="","",IF(I75=0,"No recipe",IF(J75&gt;0,"Check recipe/items",IF(D75="","Enter selling price","OK"))))</f>
        <v/>
      </c>
    </row>
    <row r="76">
      <c r="A76" s="5">
        <f>IF(Products!A76="","",Products!A76)</f>
        <v/>
      </c>
      <c r="B76" s="5">
        <f>IF(A76="","",Products!B76)</f>
        <v/>
      </c>
      <c r="C76" s="5">
        <f>IF(A76="","",Products!C76)</f>
        <v/>
      </c>
      <c r="D76" s="13">
        <f>IF(A76="","",Products!D76)</f>
        <v/>
      </c>
      <c r="E76" s="13">
        <f>IF(A76="","",SUMIFS('Recipe BOM'!$K:$K,'Recipe BOM'!$B:$B,A76))</f>
        <v/>
      </c>
      <c r="F76" s="13">
        <f>IF(OR(A76="",D76="",E76=""),"",D76-E76)</f>
        <v/>
      </c>
      <c r="G76" s="14">
        <f>IF(OR(A76="",D76="",E76=""),"",F76/D76)</f>
        <v/>
      </c>
      <c r="H76" s="14">
        <f>IF(OR(A76="",D76="",E76=""),"",E76/D76)</f>
        <v/>
      </c>
      <c r="I76" s="5">
        <f>IF(A76="","",COUNTIFS('Recipe BOM'!$B:$B,A76,'Recipe BOM'!$D:$D,"&lt;&gt;"))</f>
        <v/>
      </c>
      <c r="J76" s="5">
        <f>IF(A76="","",COUNTIFS('Recipe BOM'!$B:$B,A76,'Recipe BOM'!$D:$D,"&lt;&gt;",'Recipe BOM'!$L:$L,"&lt;&gt;OK"))</f>
        <v/>
      </c>
      <c r="K76" s="5">
        <f>IF(A76="","",IF(I76=0,"No recipe",IF(J76&gt;0,"Check recipe/items",IF(D76="","Enter selling price","OK"))))</f>
        <v/>
      </c>
    </row>
    <row r="77">
      <c r="A77" s="5">
        <f>IF(Products!A77="","",Products!A77)</f>
        <v/>
      </c>
      <c r="B77" s="5">
        <f>IF(A77="","",Products!B77)</f>
        <v/>
      </c>
      <c r="C77" s="5">
        <f>IF(A77="","",Products!C77)</f>
        <v/>
      </c>
      <c r="D77" s="13">
        <f>IF(A77="","",Products!D77)</f>
        <v/>
      </c>
      <c r="E77" s="13">
        <f>IF(A77="","",SUMIFS('Recipe BOM'!$K:$K,'Recipe BOM'!$B:$B,A77))</f>
        <v/>
      </c>
      <c r="F77" s="13">
        <f>IF(OR(A77="",D77="",E77=""),"",D77-E77)</f>
        <v/>
      </c>
      <c r="G77" s="14">
        <f>IF(OR(A77="",D77="",E77=""),"",F77/D77)</f>
        <v/>
      </c>
      <c r="H77" s="14">
        <f>IF(OR(A77="",D77="",E77=""),"",E77/D77)</f>
        <v/>
      </c>
      <c r="I77" s="5">
        <f>IF(A77="","",COUNTIFS('Recipe BOM'!$B:$B,A77,'Recipe BOM'!$D:$D,"&lt;&gt;"))</f>
        <v/>
      </c>
      <c r="J77" s="5">
        <f>IF(A77="","",COUNTIFS('Recipe BOM'!$B:$B,A77,'Recipe BOM'!$D:$D,"&lt;&gt;",'Recipe BOM'!$L:$L,"&lt;&gt;OK"))</f>
        <v/>
      </c>
      <c r="K77" s="5">
        <f>IF(A77="","",IF(I77=0,"No recipe",IF(J77&gt;0,"Check recipe/items",IF(D77="","Enter selling price","OK"))))</f>
        <v/>
      </c>
    </row>
    <row r="78">
      <c r="A78" s="5">
        <f>IF(Products!A78="","",Products!A78)</f>
        <v/>
      </c>
      <c r="B78" s="5">
        <f>IF(A78="","",Products!B78)</f>
        <v/>
      </c>
      <c r="C78" s="5">
        <f>IF(A78="","",Products!C78)</f>
        <v/>
      </c>
      <c r="D78" s="13">
        <f>IF(A78="","",Products!D78)</f>
        <v/>
      </c>
      <c r="E78" s="13">
        <f>IF(A78="","",SUMIFS('Recipe BOM'!$K:$K,'Recipe BOM'!$B:$B,A78))</f>
        <v/>
      </c>
      <c r="F78" s="13">
        <f>IF(OR(A78="",D78="",E78=""),"",D78-E78)</f>
        <v/>
      </c>
      <c r="G78" s="14">
        <f>IF(OR(A78="",D78="",E78=""),"",F78/D78)</f>
        <v/>
      </c>
      <c r="H78" s="14">
        <f>IF(OR(A78="",D78="",E78=""),"",E78/D78)</f>
        <v/>
      </c>
      <c r="I78" s="5">
        <f>IF(A78="","",COUNTIFS('Recipe BOM'!$B:$B,A78,'Recipe BOM'!$D:$D,"&lt;&gt;"))</f>
        <v/>
      </c>
      <c r="J78" s="5">
        <f>IF(A78="","",COUNTIFS('Recipe BOM'!$B:$B,A78,'Recipe BOM'!$D:$D,"&lt;&gt;",'Recipe BOM'!$L:$L,"&lt;&gt;OK"))</f>
        <v/>
      </c>
      <c r="K78" s="5">
        <f>IF(A78="","",IF(I78=0,"No recipe",IF(J78&gt;0,"Check recipe/items",IF(D78="","Enter selling price","OK"))))</f>
        <v/>
      </c>
    </row>
    <row r="79">
      <c r="A79" s="5">
        <f>IF(Products!A79="","",Products!A79)</f>
        <v/>
      </c>
      <c r="B79" s="5">
        <f>IF(A79="","",Products!B79)</f>
        <v/>
      </c>
      <c r="C79" s="5">
        <f>IF(A79="","",Products!C79)</f>
        <v/>
      </c>
      <c r="D79" s="13">
        <f>IF(A79="","",Products!D79)</f>
        <v/>
      </c>
      <c r="E79" s="13">
        <f>IF(A79="","",SUMIFS('Recipe BOM'!$K:$K,'Recipe BOM'!$B:$B,A79))</f>
        <v/>
      </c>
      <c r="F79" s="13">
        <f>IF(OR(A79="",D79="",E79=""),"",D79-E79)</f>
        <v/>
      </c>
      <c r="G79" s="14">
        <f>IF(OR(A79="",D79="",E79=""),"",F79/D79)</f>
        <v/>
      </c>
      <c r="H79" s="14">
        <f>IF(OR(A79="",D79="",E79=""),"",E79/D79)</f>
        <v/>
      </c>
      <c r="I79" s="5">
        <f>IF(A79="","",COUNTIFS('Recipe BOM'!$B:$B,A79,'Recipe BOM'!$D:$D,"&lt;&gt;"))</f>
        <v/>
      </c>
      <c r="J79" s="5">
        <f>IF(A79="","",COUNTIFS('Recipe BOM'!$B:$B,A79,'Recipe BOM'!$D:$D,"&lt;&gt;",'Recipe BOM'!$L:$L,"&lt;&gt;OK"))</f>
        <v/>
      </c>
      <c r="K79" s="5">
        <f>IF(A79="","",IF(I79=0,"No recipe",IF(J79&gt;0,"Check recipe/items",IF(D79="","Enter selling price","OK"))))</f>
        <v/>
      </c>
    </row>
    <row r="80">
      <c r="A80" s="5">
        <f>IF(Products!A80="","",Products!A80)</f>
        <v/>
      </c>
      <c r="B80" s="5">
        <f>IF(A80="","",Products!B80)</f>
        <v/>
      </c>
      <c r="C80" s="5">
        <f>IF(A80="","",Products!C80)</f>
        <v/>
      </c>
      <c r="D80" s="13">
        <f>IF(A80="","",Products!D80)</f>
        <v/>
      </c>
      <c r="E80" s="13">
        <f>IF(A80="","",SUMIFS('Recipe BOM'!$K:$K,'Recipe BOM'!$B:$B,A80))</f>
        <v/>
      </c>
      <c r="F80" s="13">
        <f>IF(OR(A80="",D80="",E80=""),"",D80-E80)</f>
        <v/>
      </c>
      <c r="G80" s="14">
        <f>IF(OR(A80="",D80="",E80=""),"",F80/D80)</f>
        <v/>
      </c>
      <c r="H80" s="14">
        <f>IF(OR(A80="",D80="",E80=""),"",E80/D80)</f>
        <v/>
      </c>
      <c r="I80" s="5">
        <f>IF(A80="","",COUNTIFS('Recipe BOM'!$B:$B,A80,'Recipe BOM'!$D:$D,"&lt;&gt;"))</f>
        <v/>
      </c>
      <c r="J80" s="5">
        <f>IF(A80="","",COUNTIFS('Recipe BOM'!$B:$B,A80,'Recipe BOM'!$D:$D,"&lt;&gt;",'Recipe BOM'!$L:$L,"&lt;&gt;OK"))</f>
        <v/>
      </c>
      <c r="K80" s="5">
        <f>IF(A80="","",IF(I80=0,"No recipe",IF(J80&gt;0,"Check recipe/items",IF(D80="","Enter selling price","OK"))))</f>
        <v/>
      </c>
    </row>
    <row r="81">
      <c r="A81" s="5">
        <f>IF(Products!A81="","",Products!A81)</f>
        <v/>
      </c>
      <c r="B81" s="5">
        <f>IF(A81="","",Products!B81)</f>
        <v/>
      </c>
      <c r="C81" s="5">
        <f>IF(A81="","",Products!C81)</f>
        <v/>
      </c>
      <c r="D81" s="13">
        <f>IF(A81="","",Products!D81)</f>
        <v/>
      </c>
      <c r="E81" s="13">
        <f>IF(A81="","",SUMIFS('Recipe BOM'!$K:$K,'Recipe BOM'!$B:$B,A81))</f>
        <v/>
      </c>
      <c r="F81" s="13">
        <f>IF(OR(A81="",D81="",E81=""),"",D81-E81)</f>
        <v/>
      </c>
      <c r="G81" s="14">
        <f>IF(OR(A81="",D81="",E81=""),"",F81/D81)</f>
        <v/>
      </c>
      <c r="H81" s="14">
        <f>IF(OR(A81="",D81="",E81=""),"",E81/D81)</f>
        <v/>
      </c>
      <c r="I81" s="5">
        <f>IF(A81="","",COUNTIFS('Recipe BOM'!$B:$B,A81,'Recipe BOM'!$D:$D,"&lt;&gt;"))</f>
        <v/>
      </c>
      <c r="J81" s="5">
        <f>IF(A81="","",COUNTIFS('Recipe BOM'!$B:$B,A81,'Recipe BOM'!$D:$D,"&lt;&gt;",'Recipe BOM'!$L:$L,"&lt;&gt;OK"))</f>
        <v/>
      </c>
      <c r="K81" s="5">
        <f>IF(A81="","",IF(I81=0,"No recipe",IF(J81&gt;0,"Check recipe/items",IF(D81="","Enter selling price","OK"))))</f>
        <v/>
      </c>
    </row>
    <row r="82">
      <c r="A82" s="5">
        <f>IF(Products!A82="","",Products!A82)</f>
        <v/>
      </c>
      <c r="B82" s="5">
        <f>IF(A82="","",Products!B82)</f>
        <v/>
      </c>
      <c r="C82" s="5">
        <f>IF(A82="","",Products!C82)</f>
        <v/>
      </c>
      <c r="D82" s="13">
        <f>IF(A82="","",Products!D82)</f>
        <v/>
      </c>
      <c r="E82" s="13">
        <f>IF(A82="","",SUMIFS('Recipe BOM'!$K:$K,'Recipe BOM'!$B:$B,A82))</f>
        <v/>
      </c>
      <c r="F82" s="13">
        <f>IF(OR(A82="",D82="",E82=""),"",D82-E82)</f>
        <v/>
      </c>
      <c r="G82" s="14">
        <f>IF(OR(A82="",D82="",E82=""),"",F82/D82)</f>
        <v/>
      </c>
      <c r="H82" s="14">
        <f>IF(OR(A82="",D82="",E82=""),"",E82/D82)</f>
        <v/>
      </c>
      <c r="I82" s="5">
        <f>IF(A82="","",COUNTIFS('Recipe BOM'!$B:$B,A82,'Recipe BOM'!$D:$D,"&lt;&gt;"))</f>
        <v/>
      </c>
      <c r="J82" s="5">
        <f>IF(A82="","",COUNTIFS('Recipe BOM'!$B:$B,A82,'Recipe BOM'!$D:$D,"&lt;&gt;",'Recipe BOM'!$L:$L,"&lt;&gt;OK"))</f>
        <v/>
      </c>
      <c r="K82" s="5">
        <f>IF(A82="","",IF(I82=0,"No recipe",IF(J82&gt;0,"Check recipe/items",IF(D82="","Enter selling price","OK"))))</f>
        <v/>
      </c>
    </row>
    <row r="83">
      <c r="A83" s="5">
        <f>IF(Products!A83="","",Products!A83)</f>
        <v/>
      </c>
      <c r="B83" s="5">
        <f>IF(A83="","",Products!B83)</f>
        <v/>
      </c>
      <c r="C83" s="5">
        <f>IF(A83="","",Products!C83)</f>
        <v/>
      </c>
      <c r="D83" s="13">
        <f>IF(A83="","",Products!D83)</f>
        <v/>
      </c>
      <c r="E83" s="13">
        <f>IF(A83="","",SUMIFS('Recipe BOM'!$K:$K,'Recipe BOM'!$B:$B,A83))</f>
        <v/>
      </c>
      <c r="F83" s="13">
        <f>IF(OR(A83="",D83="",E83=""),"",D83-E83)</f>
        <v/>
      </c>
      <c r="G83" s="14">
        <f>IF(OR(A83="",D83="",E83=""),"",F83/D83)</f>
        <v/>
      </c>
      <c r="H83" s="14">
        <f>IF(OR(A83="",D83="",E83=""),"",E83/D83)</f>
        <v/>
      </c>
      <c r="I83" s="5">
        <f>IF(A83="","",COUNTIFS('Recipe BOM'!$B:$B,A83,'Recipe BOM'!$D:$D,"&lt;&gt;"))</f>
        <v/>
      </c>
      <c r="J83" s="5">
        <f>IF(A83="","",COUNTIFS('Recipe BOM'!$B:$B,A83,'Recipe BOM'!$D:$D,"&lt;&gt;",'Recipe BOM'!$L:$L,"&lt;&gt;OK"))</f>
        <v/>
      </c>
      <c r="K83" s="5">
        <f>IF(A83="","",IF(I83=0,"No recipe",IF(J83&gt;0,"Check recipe/items",IF(D83="","Enter selling price","OK"))))</f>
        <v/>
      </c>
    </row>
    <row r="84">
      <c r="A84" s="5">
        <f>IF(Products!A84="","",Products!A84)</f>
        <v/>
      </c>
      <c r="B84" s="5">
        <f>IF(A84="","",Products!B84)</f>
        <v/>
      </c>
      <c r="C84" s="5">
        <f>IF(A84="","",Products!C84)</f>
        <v/>
      </c>
      <c r="D84" s="13">
        <f>IF(A84="","",Products!D84)</f>
        <v/>
      </c>
      <c r="E84" s="13">
        <f>IF(A84="","",SUMIFS('Recipe BOM'!$K:$K,'Recipe BOM'!$B:$B,A84))</f>
        <v/>
      </c>
      <c r="F84" s="13">
        <f>IF(OR(A84="",D84="",E84=""),"",D84-E84)</f>
        <v/>
      </c>
      <c r="G84" s="14">
        <f>IF(OR(A84="",D84="",E84=""),"",F84/D84)</f>
        <v/>
      </c>
      <c r="H84" s="14">
        <f>IF(OR(A84="",D84="",E84=""),"",E84/D84)</f>
        <v/>
      </c>
      <c r="I84" s="5">
        <f>IF(A84="","",COUNTIFS('Recipe BOM'!$B:$B,A84,'Recipe BOM'!$D:$D,"&lt;&gt;"))</f>
        <v/>
      </c>
      <c r="J84" s="5">
        <f>IF(A84="","",COUNTIFS('Recipe BOM'!$B:$B,A84,'Recipe BOM'!$D:$D,"&lt;&gt;",'Recipe BOM'!$L:$L,"&lt;&gt;OK"))</f>
        <v/>
      </c>
      <c r="K84" s="5">
        <f>IF(A84="","",IF(I84=0,"No recipe",IF(J84&gt;0,"Check recipe/items",IF(D84="","Enter selling price","OK"))))</f>
        <v/>
      </c>
    </row>
    <row r="85">
      <c r="A85" s="5">
        <f>IF(Products!A85="","",Products!A85)</f>
        <v/>
      </c>
      <c r="B85" s="5">
        <f>IF(A85="","",Products!B85)</f>
        <v/>
      </c>
      <c r="C85" s="5">
        <f>IF(A85="","",Products!C85)</f>
        <v/>
      </c>
      <c r="D85" s="13">
        <f>IF(A85="","",Products!D85)</f>
        <v/>
      </c>
      <c r="E85" s="13">
        <f>IF(A85="","",SUMIFS('Recipe BOM'!$K:$K,'Recipe BOM'!$B:$B,A85))</f>
        <v/>
      </c>
      <c r="F85" s="13">
        <f>IF(OR(A85="",D85="",E85=""),"",D85-E85)</f>
        <v/>
      </c>
      <c r="G85" s="14">
        <f>IF(OR(A85="",D85="",E85=""),"",F85/D85)</f>
        <v/>
      </c>
      <c r="H85" s="14">
        <f>IF(OR(A85="",D85="",E85=""),"",E85/D85)</f>
        <v/>
      </c>
      <c r="I85" s="5">
        <f>IF(A85="","",COUNTIFS('Recipe BOM'!$B:$B,A85,'Recipe BOM'!$D:$D,"&lt;&gt;"))</f>
        <v/>
      </c>
      <c r="J85" s="5">
        <f>IF(A85="","",COUNTIFS('Recipe BOM'!$B:$B,A85,'Recipe BOM'!$D:$D,"&lt;&gt;",'Recipe BOM'!$L:$L,"&lt;&gt;OK"))</f>
        <v/>
      </c>
      <c r="K85" s="5">
        <f>IF(A85="","",IF(I85=0,"No recipe",IF(J85&gt;0,"Check recipe/items",IF(D85="","Enter selling price","OK"))))</f>
        <v/>
      </c>
    </row>
    <row r="86">
      <c r="A86" s="5">
        <f>IF(Products!A86="","",Products!A86)</f>
        <v/>
      </c>
      <c r="B86" s="5">
        <f>IF(A86="","",Products!B86)</f>
        <v/>
      </c>
      <c r="C86" s="5">
        <f>IF(A86="","",Products!C86)</f>
        <v/>
      </c>
      <c r="D86" s="13">
        <f>IF(A86="","",Products!D86)</f>
        <v/>
      </c>
      <c r="E86" s="13">
        <f>IF(A86="","",SUMIFS('Recipe BOM'!$K:$K,'Recipe BOM'!$B:$B,A86))</f>
        <v/>
      </c>
      <c r="F86" s="13">
        <f>IF(OR(A86="",D86="",E86=""),"",D86-E86)</f>
        <v/>
      </c>
      <c r="G86" s="14">
        <f>IF(OR(A86="",D86="",E86=""),"",F86/D86)</f>
        <v/>
      </c>
      <c r="H86" s="14">
        <f>IF(OR(A86="",D86="",E86=""),"",E86/D86)</f>
        <v/>
      </c>
      <c r="I86" s="5">
        <f>IF(A86="","",COUNTIFS('Recipe BOM'!$B:$B,A86,'Recipe BOM'!$D:$D,"&lt;&gt;"))</f>
        <v/>
      </c>
      <c r="J86" s="5">
        <f>IF(A86="","",COUNTIFS('Recipe BOM'!$B:$B,A86,'Recipe BOM'!$D:$D,"&lt;&gt;",'Recipe BOM'!$L:$L,"&lt;&gt;OK"))</f>
        <v/>
      </c>
      <c r="K86" s="5">
        <f>IF(A86="","",IF(I86=0,"No recipe",IF(J86&gt;0,"Check recipe/items",IF(D86="","Enter selling price","OK"))))</f>
        <v/>
      </c>
    </row>
    <row r="87">
      <c r="A87" s="5">
        <f>IF(Products!A87="","",Products!A87)</f>
        <v/>
      </c>
      <c r="B87" s="5">
        <f>IF(A87="","",Products!B87)</f>
        <v/>
      </c>
      <c r="C87" s="5">
        <f>IF(A87="","",Products!C87)</f>
        <v/>
      </c>
      <c r="D87" s="13">
        <f>IF(A87="","",Products!D87)</f>
        <v/>
      </c>
      <c r="E87" s="13">
        <f>IF(A87="","",SUMIFS('Recipe BOM'!$K:$K,'Recipe BOM'!$B:$B,A87))</f>
        <v/>
      </c>
      <c r="F87" s="13">
        <f>IF(OR(A87="",D87="",E87=""),"",D87-E87)</f>
        <v/>
      </c>
      <c r="G87" s="14">
        <f>IF(OR(A87="",D87="",E87=""),"",F87/D87)</f>
        <v/>
      </c>
      <c r="H87" s="14">
        <f>IF(OR(A87="",D87="",E87=""),"",E87/D87)</f>
        <v/>
      </c>
      <c r="I87" s="5">
        <f>IF(A87="","",COUNTIFS('Recipe BOM'!$B:$B,A87,'Recipe BOM'!$D:$D,"&lt;&gt;"))</f>
        <v/>
      </c>
      <c r="J87" s="5">
        <f>IF(A87="","",COUNTIFS('Recipe BOM'!$B:$B,A87,'Recipe BOM'!$D:$D,"&lt;&gt;",'Recipe BOM'!$L:$L,"&lt;&gt;OK"))</f>
        <v/>
      </c>
      <c r="K87" s="5">
        <f>IF(A87="","",IF(I87=0,"No recipe",IF(J87&gt;0,"Check recipe/items",IF(D87="","Enter selling price","OK"))))</f>
        <v/>
      </c>
    </row>
    <row r="88">
      <c r="A88" s="5">
        <f>IF(Products!A88="","",Products!A88)</f>
        <v/>
      </c>
      <c r="B88" s="5">
        <f>IF(A88="","",Products!B88)</f>
        <v/>
      </c>
      <c r="C88" s="5">
        <f>IF(A88="","",Products!C88)</f>
        <v/>
      </c>
      <c r="D88" s="13">
        <f>IF(A88="","",Products!D88)</f>
        <v/>
      </c>
      <c r="E88" s="13">
        <f>IF(A88="","",SUMIFS('Recipe BOM'!$K:$K,'Recipe BOM'!$B:$B,A88))</f>
        <v/>
      </c>
      <c r="F88" s="13">
        <f>IF(OR(A88="",D88="",E88=""),"",D88-E88)</f>
        <v/>
      </c>
      <c r="G88" s="14">
        <f>IF(OR(A88="",D88="",E88=""),"",F88/D88)</f>
        <v/>
      </c>
      <c r="H88" s="14">
        <f>IF(OR(A88="",D88="",E88=""),"",E88/D88)</f>
        <v/>
      </c>
      <c r="I88" s="5">
        <f>IF(A88="","",COUNTIFS('Recipe BOM'!$B:$B,A88,'Recipe BOM'!$D:$D,"&lt;&gt;"))</f>
        <v/>
      </c>
      <c r="J88" s="5">
        <f>IF(A88="","",COUNTIFS('Recipe BOM'!$B:$B,A88,'Recipe BOM'!$D:$D,"&lt;&gt;",'Recipe BOM'!$L:$L,"&lt;&gt;OK"))</f>
        <v/>
      </c>
      <c r="K88" s="5">
        <f>IF(A88="","",IF(I88=0,"No recipe",IF(J88&gt;0,"Check recipe/items",IF(D88="","Enter selling price","OK"))))</f>
        <v/>
      </c>
    </row>
    <row r="89">
      <c r="A89" s="5">
        <f>IF(Products!A89="","",Products!A89)</f>
        <v/>
      </c>
      <c r="B89" s="5">
        <f>IF(A89="","",Products!B89)</f>
        <v/>
      </c>
      <c r="C89" s="5">
        <f>IF(A89="","",Products!C89)</f>
        <v/>
      </c>
      <c r="D89" s="13">
        <f>IF(A89="","",Products!D89)</f>
        <v/>
      </c>
      <c r="E89" s="13">
        <f>IF(A89="","",SUMIFS('Recipe BOM'!$K:$K,'Recipe BOM'!$B:$B,A89))</f>
        <v/>
      </c>
      <c r="F89" s="13">
        <f>IF(OR(A89="",D89="",E89=""),"",D89-E89)</f>
        <v/>
      </c>
      <c r="G89" s="14">
        <f>IF(OR(A89="",D89="",E89=""),"",F89/D89)</f>
        <v/>
      </c>
      <c r="H89" s="14">
        <f>IF(OR(A89="",D89="",E89=""),"",E89/D89)</f>
        <v/>
      </c>
      <c r="I89" s="5">
        <f>IF(A89="","",COUNTIFS('Recipe BOM'!$B:$B,A89,'Recipe BOM'!$D:$D,"&lt;&gt;"))</f>
        <v/>
      </c>
      <c r="J89" s="5">
        <f>IF(A89="","",COUNTIFS('Recipe BOM'!$B:$B,A89,'Recipe BOM'!$D:$D,"&lt;&gt;",'Recipe BOM'!$L:$L,"&lt;&gt;OK"))</f>
        <v/>
      </c>
      <c r="K89" s="5">
        <f>IF(A89="","",IF(I89=0,"No recipe",IF(J89&gt;0,"Check recipe/items",IF(D89="","Enter selling price","OK"))))</f>
        <v/>
      </c>
    </row>
    <row r="90">
      <c r="A90" s="5">
        <f>IF(Products!A90="","",Products!A90)</f>
        <v/>
      </c>
      <c r="B90" s="5">
        <f>IF(A90="","",Products!B90)</f>
        <v/>
      </c>
      <c r="C90" s="5">
        <f>IF(A90="","",Products!C90)</f>
        <v/>
      </c>
      <c r="D90" s="13">
        <f>IF(A90="","",Products!D90)</f>
        <v/>
      </c>
      <c r="E90" s="13">
        <f>IF(A90="","",SUMIFS('Recipe BOM'!$K:$K,'Recipe BOM'!$B:$B,A90))</f>
        <v/>
      </c>
      <c r="F90" s="13">
        <f>IF(OR(A90="",D90="",E90=""),"",D90-E90)</f>
        <v/>
      </c>
      <c r="G90" s="14">
        <f>IF(OR(A90="",D90="",E90=""),"",F90/D90)</f>
        <v/>
      </c>
      <c r="H90" s="14">
        <f>IF(OR(A90="",D90="",E90=""),"",E90/D90)</f>
        <v/>
      </c>
      <c r="I90" s="5">
        <f>IF(A90="","",COUNTIFS('Recipe BOM'!$B:$B,A90,'Recipe BOM'!$D:$D,"&lt;&gt;"))</f>
        <v/>
      </c>
      <c r="J90" s="5">
        <f>IF(A90="","",COUNTIFS('Recipe BOM'!$B:$B,A90,'Recipe BOM'!$D:$D,"&lt;&gt;",'Recipe BOM'!$L:$L,"&lt;&gt;OK"))</f>
        <v/>
      </c>
      <c r="K90" s="5">
        <f>IF(A90="","",IF(I90=0,"No recipe",IF(J90&gt;0,"Check recipe/items",IF(D90="","Enter selling price","OK"))))</f>
        <v/>
      </c>
    </row>
    <row r="91">
      <c r="A91" s="5">
        <f>IF(Products!A91="","",Products!A91)</f>
        <v/>
      </c>
      <c r="B91" s="5">
        <f>IF(A91="","",Products!B91)</f>
        <v/>
      </c>
      <c r="C91" s="5">
        <f>IF(A91="","",Products!C91)</f>
        <v/>
      </c>
      <c r="D91" s="13">
        <f>IF(A91="","",Products!D91)</f>
        <v/>
      </c>
      <c r="E91" s="13">
        <f>IF(A91="","",SUMIFS('Recipe BOM'!$K:$K,'Recipe BOM'!$B:$B,A91))</f>
        <v/>
      </c>
      <c r="F91" s="13">
        <f>IF(OR(A91="",D91="",E91=""),"",D91-E91)</f>
        <v/>
      </c>
      <c r="G91" s="14">
        <f>IF(OR(A91="",D91="",E91=""),"",F91/D91)</f>
        <v/>
      </c>
      <c r="H91" s="14">
        <f>IF(OR(A91="",D91="",E91=""),"",E91/D91)</f>
        <v/>
      </c>
      <c r="I91" s="5">
        <f>IF(A91="","",COUNTIFS('Recipe BOM'!$B:$B,A91,'Recipe BOM'!$D:$D,"&lt;&gt;"))</f>
        <v/>
      </c>
      <c r="J91" s="5">
        <f>IF(A91="","",COUNTIFS('Recipe BOM'!$B:$B,A91,'Recipe BOM'!$D:$D,"&lt;&gt;",'Recipe BOM'!$L:$L,"&lt;&gt;OK"))</f>
        <v/>
      </c>
      <c r="K91" s="5">
        <f>IF(A91="","",IF(I91=0,"No recipe",IF(J91&gt;0,"Check recipe/items",IF(D91="","Enter selling price","OK"))))</f>
        <v/>
      </c>
    </row>
    <row r="92">
      <c r="A92" s="5">
        <f>IF(Products!A92="","",Products!A92)</f>
        <v/>
      </c>
      <c r="B92" s="5">
        <f>IF(A92="","",Products!B92)</f>
        <v/>
      </c>
      <c r="C92" s="5">
        <f>IF(A92="","",Products!C92)</f>
        <v/>
      </c>
      <c r="D92" s="13">
        <f>IF(A92="","",Products!D92)</f>
        <v/>
      </c>
      <c r="E92" s="13">
        <f>IF(A92="","",SUMIFS('Recipe BOM'!$K:$K,'Recipe BOM'!$B:$B,A92))</f>
        <v/>
      </c>
      <c r="F92" s="13">
        <f>IF(OR(A92="",D92="",E92=""),"",D92-E92)</f>
        <v/>
      </c>
      <c r="G92" s="14">
        <f>IF(OR(A92="",D92="",E92=""),"",F92/D92)</f>
        <v/>
      </c>
      <c r="H92" s="14">
        <f>IF(OR(A92="",D92="",E92=""),"",E92/D92)</f>
        <v/>
      </c>
      <c r="I92" s="5">
        <f>IF(A92="","",COUNTIFS('Recipe BOM'!$B:$B,A92,'Recipe BOM'!$D:$D,"&lt;&gt;"))</f>
        <v/>
      </c>
      <c r="J92" s="5">
        <f>IF(A92="","",COUNTIFS('Recipe BOM'!$B:$B,A92,'Recipe BOM'!$D:$D,"&lt;&gt;",'Recipe BOM'!$L:$L,"&lt;&gt;OK"))</f>
        <v/>
      </c>
      <c r="K92" s="5">
        <f>IF(A92="","",IF(I92=0,"No recipe",IF(J92&gt;0,"Check recipe/items",IF(D92="","Enter selling price","OK"))))</f>
        <v/>
      </c>
    </row>
    <row r="93">
      <c r="A93" s="5">
        <f>IF(Products!A93="","",Products!A93)</f>
        <v/>
      </c>
      <c r="B93" s="5">
        <f>IF(A93="","",Products!B93)</f>
        <v/>
      </c>
      <c r="C93" s="5">
        <f>IF(A93="","",Products!C93)</f>
        <v/>
      </c>
      <c r="D93" s="13">
        <f>IF(A93="","",Products!D93)</f>
        <v/>
      </c>
      <c r="E93" s="13">
        <f>IF(A93="","",SUMIFS('Recipe BOM'!$K:$K,'Recipe BOM'!$B:$B,A93))</f>
        <v/>
      </c>
      <c r="F93" s="13">
        <f>IF(OR(A93="",D93="",E93=""),"",D93-E93)</f>
        <v/>
      </c>
      <c r="G93" s="14">
        <f>IF(OR(A93="",D93="",E93=""),"",F93/D93)</f>
        <v/>
      </c>
      <c r="H93" s="14">
        <f>IF(OR(A93="",D93="",E93=""),"",E93/D93)</f>
        <v/>
      </c>
      <c r="I93" s="5">
        <f>IF(A93="","",COUNTIFS('Recipe BOM'!$B:$B,A93,'Recipe BOM'!$D:$D,"&lt;&gt;"))</f>
        <v/>
      </c>
      <c r="J93" s="5">
        <f>IF(A93="","",COUNTIFS('Recipe BOM'!$B:$B,A93,'Recipe BOM'!$D:$D,"&lt;&gt;",'Recipe BOM'!$L:$L,"&lt;&gt;OK"))</f>
        <v/>
      </c>
      <c r="K93" s="5">
        <f>IF(A93="","",IF(I93=0,"No recipe",IF(J93&gt;0,"Check recipe/items",IF(D93="","Enter selling price","OK"))))</f>
        <v/>
      </c>
    </row>
    <row r="94">
      <c r="A94" s="5">
        <f>IF(Products!A94="","",Products!A94)</f>
        <v/>
      </c>
      <c r="B94" s="5">
        <f>IF(A94="","",Products!B94)</f>
        <v/>
      </c>
      <c r="C94" s="5">
        <f>IF(A94="","",Products!C94)</f>
        <v/>
      </c>
      <c r="D94" s="13">
        <f>IF(A94="","",Products!D94)</f>
        <v/>
      </c>
      <c r="E94" s="13">
        <f>IF(A94="","",SUMIFS('Recipe BOM'!$K:$K,'Recipe BOM'!$B:$B,A94))</f>
        <v/>
      </c>
      <c r="F94" s="13">
        <f>IF(OR(A94="",D94="",E94=""),"",D94-E94)</f>
        <v/>
      </c>
      <c r="G94" s="14">
        <f>IF(OR(A94="",D94="",E94=""),"",F94/D94)</f>
        <v/>
      </c>
      <c r="H94" s="14">
        <f>IF(OR(A94="",D94="",E94=""),"",E94/D94)</f>
        <v/>
      </c>
      <c r="I94" s="5">
        <f>IF(A94="","",COUNTIFS('Recipe BOM'!$B:$B,A94,'Recipe BOM'!$D:$D,"&lt;&gt;"))</f>
        <v/>
      </c>
      <c r="J94" s="5">
        <f>IF(A94="","",COUNTIFS('Recipe BOM'!$B:$B,A94,'Recipe BOM'!$D:$D,"&lt;&gt;",'Recipe BOM'!$L:$L,"&lt;&gt;OK"))</f>
        <v/>
      </c>
      <c r="K94" s="5">
        <f>IF(A94="","",IF(I94=0,"No recipe",IF(J94&gt;0,"Check recipe/items",IF(D94="","Enter selling price","OK"))))</f>
        <v/>
      </c>
    </row>
    <row r="95">
      <c r="A95" s="5">
        <f>IF(Products!A95="","",Products!A95)</f>
        <v/>
      </c>
      <c r="B95" s="5">
        <f>IF(A95="","",Products!B95)</f>
        <v/>
      </c>
      <c r="C95" s="5">
        <f>IF(A95="","",Products!C95)</f>
        <v/>
      </c>
      <c r="D95" s="13">
        <f>IF(A95="","",Products!D95)</f>
        <v/>
      </c>
      <c r="E95" s="13">
        <f>IF(A95="","",SUMIFS('Recipe BOM'!$K:$K,'Recipe BOM'!$B:$B,A95))</f>
        <v/>
      </c>
      <c r="F95" s="13">
        <f>IF(OR(A95="",D95="",E95=""),"",D95-E95)</f>
        <v/>
      </c>
      <c r="G95" s="14">
        <f>IF(OR(A95="",D95="",E95=""),"",F95/D95)</f>
        <v/>
      </c>
      <c r="H95" s="14">
        <f>IF(OR(A95="",D95="",E95=""),"",E95/D95)</f>
        <v/>
      </c>
      <c r="I95" s="5">
        <f>IF(A95="","",COUNTIFS('Recipe BOM'!$B:$B,A95,'Recipe BOM'!$D:$D,"&lt;&gt;"))</f>
        <v/>
      </c>
      <c r="J95" s="5">
        <f>IF(A95="","",COUNTIFS('Recipe BOM'!$B:$B,A95,'Recipe BOM'!$D:$D,"&lt;&gt;",'Recipe BOM'!$L:$L,"&lt;&gt;OK"))</f>
        <v/>
      </c>
      <c r="K95" s="5">
        <f>IF(A95="","",IF(I95=0,"No recipe",IF(J95&gt;0,"Check recipe/items",IF(D95="","Enter selling price","OK"))))</f>
        <v/>
      </c>
    </row>
    <row r="96">
      <c r="A96" s="5">
        <f>IF(Products!A96="","",Products!A96)</f>
        <v/>
      </c>
      <c r="B96" s="5">
        <f>IF(A96="","",Products!B96)</f>
        <v/>
      </c>
      <c r="C96" s="5">
        <f>IF(A96="","",Products!C96)</f>
        <v/>
      </c>
      <c r="D96" s="13">
        <f>IF(A96="","",Products!D96)</f>
        <v/>
      </c>
      <c r="E96" s="13">
        <f>IF(A96="","",SUMIFS('Recipe BOM'!$K:$K,'Recipe BOM'!$B:$B,A96))</f>
        <v/>
      </c>
      <c r="F96" s="13">
        <f>IF(OR(A96="",D96="",E96=""),"",D96-E96)</f>
        <v/>
      </c>
      <c r="G96" s="14">
        <f>IF(OR(A96="",D96="",E96=""),"",F96/D96)</f>
        <v/>
      </c>
      <c r="H96" s="14">
        <f>IF(OR(A96="",D96="",E96=""),"",E96/D96)</f>
        <v/>
      </c>
      <c r="I96" s="5">
        <f>IF(A96="","",COUNTIFS('Recipe BOM'!$B:$B,A96,'Recipe BOM'!$D:$D,"&lt;&gt;"))</f>
        <v/>
      </c>
      <c r="J96" s="5">
        <f>IF(A96="","",COUNTIFS('Recipe BOM'!$B:$B,A96,'Recipe BOM'!$D:$D,"&lt;&gt;",'Recipe BOM'!$L:$L,"&lt;&gt;OK"))</f>
        <v/>
      </c>
      <c r="K96" s="5">
        <f>IF(A96="","",IF(I96=0,"No recipe",IF(J96&gt;0,"Check recipe/items",IF(D96="","Enter selling price","OK"))))</f>
        <v/>
      </c>
    </row>
    <row r="97">
      <c r="A97" s="5">
        <f>IF(Products!A97="","",Products!A97)</f>
        <v/>
      </c>
      <c r="B97" s="5">
        <f>IF(A97="","",Products!B97)</f>
        <v/>
      </c>
      <c r="C97" s="5">
        <f>IF(A97="","",Products!C97)</f>
        <v/>
      </c>
      <c r="D97" s="13">
        <f>IF(A97="","",Products!D97)</f>
        <v/>
      </c>
      <c r="E97" s="13">
        <f>IF(A97="","",SUMIFS('Recipe BOM'!$K:$K,'Recipe BOM'!$B:$B,A97))</f>
        <v/>
      </c>
      <c r="F97" s="13">
        <f>IF(OR(A97="",D97="",E97=""),"",D97-E97)</f>
        <v/>
      </c>
      <c r="G97" s="14">
        <f>IF(OR(A97="",D97="",E97=""),"",F97/D97)</f>
        <v/>
      </c>
      <c r="H97" s="14">
        <f>IF(OR(A97="",D97="",E97=""),"",E97/D97)</f>
        <v/>
      </c>
      <c r="I97" s="5">
        <f>IF(A97="","",COUNTIFS('Recipe BOM'!$B:$B,A97,'Recipe BOM'!$D:$D,"&lt;&gt;"))</f>
        <v/>
      </c>
      <c r="J97" s="5">
        <f>IF(A97="","",COUNTIFS('Recipe BOM'!$B:$B,A97,'Recipe BOM'!$D:$D,"&lt;&gt;",'Recipe BOM'!$L:$L,"&lt;&gt;OK"))</f>
        <v/>
      </c>
      <c r="K97" s="5">
        <f>IF(A97="","",IF(I97=0,"No recipe",IF(J97&gt;0,"Check recipe/items",IF(D97="","Enter selling price","OK"))))</f>
        <v/>
      </c>
    </row>
    <row r="98">
      <c r="A98" s="5">
        <f>IF(Products!A98="","",Products!A98)</f>
        <v/>
      </c>
      <c r="B98" s="5">
        <f>IF(A98="","",Products!B98)</f>
        <v/>
      </c>
      <c r="C98" s="5">
        <f>IF(A98="","",Products!C98)</f>
        <v/>
      </c>
      <c r="D98" s="13">
        <f>IF(A98="","",Products!D98)</f>
        <v/>
      </c>
      <c r="E98" s="13">
        <f>IF(A98="","",SUMIFS('Recipe BOM'!$K:$K,'Recipe BOM'!$B:$B,A98))</f>
        <v/>
      </c>
      <c r="F98" s="13">
        <f>IF(OR(A98="",D98="",E98=""),"",D98-E98)</f>
        <v/>
      </c>
      <c r="G98" s="14">
        <f>IF(OR(A98="",D98="",E98=""),"",F98/D98)</f>
        <v/>
      </c>
      <c r="H98" s="14">
        <f>IF(OR(A98="",D98="",E98=""),"",E98/D98)</f>
        <v/>
      </c>
      <c r="I98" s="5">
        <f>IF(A98="","",COUNTIFS('Recipe BOM'!$B:$B,A98,'Recipe BOM'!$D:$D,"&lt;&gt;"))</f>
        <v/>
      </c>
      <c r="J98" s="5">
        <f>IF(A98="","",COUNTIFS('Recipe BOM'!$B:$B,A98,'Recipe BOM'!$D:$D,"&lt;&gt;",'Recipe BOM'!$L:$L,"&lt;&gt;OK"))</f>
        <v/>
      </c>
      <c r="K98" s="5">
        <f>IF(A98="","",IF(I98=0,"No recipe",IF(J98&gt;0,"Check recipe/items",IF(D98="","Enter selling price","OK"))))</f>
        <v/>
      </c>
    </row>
    <row r="99">
      <c r="A99" s="5">
        <f>IF(Products!A99="","",Products!A99)</f>
        <v/>
      </c>
      <c r="B99" s="5">
        <f>IF(A99="","",Products!B99)</f>
        <v/>
      </c>
      <c r="C99" s="5">
        <f>IF(A99="","",Products!C99)</f>
        <v/>
      </c>
      <c r="D99" s="13">
        <f>IF(A99="","",Products!D99)</f>
        <v/>
      </c>
      <c r="E99" s="13">
        <f>IF(A99="","",SUMIFS('Recipe BOM'!$K:$K,'Recipe BOM'!$B:$B,A99))</f>
        <v/>
      </c>
      <c r="F99" s="13">
        <f>IF(OR(A99="",D99="",E99=""),"",D99-E99)</f>
        <v/>
      </c>
      <c r="G99" s="14">
        <f>IF(OR(A99="",D99="",E99=""),"",F99/D99)</f>
        <v/>
      </c>
      <c r="H99" s="14">
        <f>IF(OR(A99="",D99="",E99=""),"",E99/D99)</f>
        <v/>
      </c>
      <c r="I99" s="5">
        <f>IF(A99="","",COUNTIFS('Recipe BOM'!$B:$B,A99,'Recipe BOM'!$D:$D,"&lt;&gt;"))</f>
        <v/>
      </c>
      <c r="J99" s="5">
        <f>IF(A99="","",COUNTIFS('Recipe BOM'!$B:$B,A99,'Recipe BOM'!$D:$D,"&lt;&gt;",'Recipe BOM'!$L:$L,"&lt;&gt;OK"))</f>
        <v/>
      </c>
      <c r="K99" s="5">
        <f>IF(A99="","",IF(I99=0,"No recipe",IF(J99&gt;0,"Check recipe/items",IF(D99="","Enter selling price","OK"))))</f>
        <v/>
      </c>
    </row>
    <row r="100">
      <c r="A100" s="5">
        <f>IF(Products!A100="","",Products!A100)</f>
        <v/>
      </c>
      <c r="B100" s="5">
        <f>IF(A100="","",Products!B100)</f>
        <v/>
      </c>
      <c r="C100" s="5">
        <f>IF(A100="","",Products!C100)</f>
        <v/>
      </c>
      <c r="D100" s="13">
        <f>IF(A100="","",Products!D100)</f>
        <v/>
      </c>
      <c r="E100" s="13">
        <f>IF(A100="","",SUMIFS('Recipe BOM'!$K:$K,'Recipe BOM'!$B:$B,A100))</f>
        <v/>
      </c>
      <c r="F100" s="13">
        <f>IF(OR(A100="",D100="",E100=""),"",D100-E100)</f>
        <v/>
      </c>
      <c r="G100" s="14">
        <f>IF(OR(A100="",D100="",E100=""),"",F100/D100)</f>
        <v/>
      </c>
      <c r="H100" s="14">
        <f>IF(OR(A100="",D100="",E100=""),"",E100/D100)</f>
        <v/>
      </c>
      <c r="I100" s="5">
        <f>IF(A100="","",COUNTIFS('Recipe BOM'!$B:$B,A100,'Recipe BOM'!$D:$D,"&lt;&gt;"))</f>
        <v/>
      </c>
      <c r="J100" s="5">
        <f>IF(A100="","",COUNTIFS('Recipe BOM'!$B:$B,A100,'Recipe BOM'!$D:$D,"&lt;&gt;",'Recipe BOM'!$L:$L,"&lt;&gt;OK"))</f>
        <v/>
      </c>
      <c r="K100" s="5">
        <f>IF(A100="","",IF(I100=0,"No recipe",IF(J100&gt;0,"Check recipe/items",IF(D100="","Enter selling price","OK"))))</f>
        <v/>
      </c>
    </row>
    <row r="101">
      <c r="A101" s="5">
        <f>IF(Products!A101="","",Products!A101)</f>
        <v/>
      </c>
      <c r="B101" s="5">
        <f>IF(A101="","",Products!B101)</f>
        <v/>
      </c>
      <c r="C101" s="5">
        <f>IF(A101="","",Products!C101)</f>
        <v/>
      </c>
      <c r="D101" s="13">
        <f>IF(A101="","",Products!D101)</f>
        <v/>
      </c>
      <c r="E101" s="13">
        <f>IF(A101="","",SUMIFS('Recipe BOM'!$K:$K,'Recipe BOM'!$B:$B,A101))</f>
        <v/>
      </c>
      <c r="F101" s="13">
        <f>IF(OR(A101="",D101="",E101=""),"",D101-E101)</f>
        <v/>
      </c>
      <c r="G101" s="14">
        <f>IF(OR(A101="",D101="",E101=""),"",F101/D101)</f>
        <v/>
      </c>
      <c r="H101" s="14">
        <f>IF(OR(A101="",D101="",E101=""),"",E101/D101)</f>
        <v/>
      </c>
      <c r="I101" s="5">
        <f>IF(A101="","",COUNTIFS('Recipe BOM'!$B:$B,A101,'Recipe BOM'!$D:$D,"&lt;&gt;"))</f>
        <v/>
      </c>
      <c r="J101" s="5">
        <f>IF(A101="","",COUNTIFS('Recipe BOM'!$B:$B,A101,'Recipe BOM'!$D:$D,"&lt;&gt;",'Recipe BOM'!$L:$L,"&lt;&gt;OK"))</f>
        <v/>
      </c>
      <c r="K101" s="5">
        <f>IF(A101="","",IF(I101=0,"No recipe",IF(J101&gt;0,"Check recipe/items",IF(D101="","Enter selling price","OK"))))</f>
        <v/>
      </c>
    </row>
    <row r="102">
      <c r="A102" s="5">
        <f>IF(Products!A102="","",Products!A102)</f>
        <v/>
      </c>
      <c r="B102" s="5">
        <f>IF(A102="","",Products!B102)</f>
        <v/>
      </c>
      <c r="C102" s="5">
        <f>IF(A102="","",Products!C102)</f>
        <v/>
      </c>
      <c r="D102" s="13">
        <f>IF(A102="","",Products!D102)</f>
        <v/>
      </c>
      <c r="E102" s="13">
        <f>IF(A102="","",SUMIFS('Recipe BOM'!$K:$K,'Recipe BOM'!$B:$B,A102))</f>
        <v/>
      </c>
      <c r="F102" s="13">
        <f>IF(OR(A102="",D102="",E102=""),"",D102-E102)</f>
        <v/>
      </c>
      <c r="G102" s="14">
        <f>IF(OR(A102="",D102="",E102=""),"",F102/D102)</f>
        <v/>
      </c>
      <c r="H102" s="14">
        <f>IF(OR(A102="",D102="",E102=""),"",E102/D102)</f>
        <v/>
      </c>
      <c r="I102" s="5">
        <f>IF(A102="","",COUNTIFS('Recipe BOM'!$B:$B,A102,'Recipe BOM'!$D:$D,"&lt;&gt;"))</f>
        <v/>
      </c>
      <c r="J102" s="5">
        <f>IF(A102="","",COUNTIFS('Recipe BOM'!$B:$B,A102,'Recipe BOM'!$D:$D,"&lt;&gt;",'Recipe BOM'!$L:$L,"&lt;&gt;OK"))</f>
        <v/>
      </c>
      <c r="K102" s="5">
        <f>IF(A102="","",IF(I102=0,"No recipe",IF(J102&gt;0,"Check recipe/items",IF(D102="","Enter selling price","OK"))))</f>
        <v/>
      </c>
    </row>
    <row r="103">
      <c r="A103" s="5">
        <f>IF(Products!A103="","",Products!A103)</f>
        <v/>
      </c>
      <c r="B103" s="5">
        <f>IF(A103="","",Products!B103)</f>
        <v/>
      </c>
      <c r="C103" s="5">
        <f>IF(A103="","",Products!C103)</f>
        <v/>
      </c>
      <c r="D103" s="13">
        <f>IF(A103="","",Products!D103)</f>
        <v/>
      </c>
      <c r="E103" s="13">
        <f>IF(A103="","",SUMIFS('Recipe BOM'!$K:$K,'Recipe BOM'!$B:$B,A103))</f>
        <v/>
      </c>
      <c r="F103" s="13">
        <f>IF(OR(A103="",D103="",E103=""),"",D103-E103)</f>
        <v/>
      </c>
      <c r="G103" s="14">
        <f>IF(OR(A103="",D103="",E103=""),"",F103/D103)</f>
        <v/>
      </c>
      <c r="H103" s="14">
        <f>IF(OR(A103="",D103="",E103=""),"",E103/D103)</f>
        <v/>
      </c>
      <c r="I103" s="5">
        <f>IF(A103="","",COUNTIFS('Recipe BOM'!$B:$B,A103,'Recipe BOM'!$D:$D,"&lt;&gt;"))</f>
        <v/>
      </c>
      <c r="J103" s="5">
        <f>IF(A103="","",COUNTIFS('Recipe BOM'!$B:$B,A103,'Recipe BOM'!$D:$D,"&lt;&gt;",'Recipe BOM'!$L:$L,"&lt;&gt;OK"))</f>
        <v/>
      </c>
      <c r="K103" s="5">
        <f>IF(A103="","",IF(I103=0,"No recipe",IF(J103&gt;0,"Check recipe/items",IF(D103="","Enter selling price","OK"))))</f>
        <v/>
      </c>
    </row>
    <row r="104">
      <c r="A104" s="5">
        <f>IF(Products!A104="","",Products!A104)</f>
        <v/>
      </c>
      <c r="B104" s="5">
        <f>IF(A104="","",Products!B104)</f>
        <v/>
      </c>
      <c r="C104" s="5">
        <f>IF(A104="","",Products!C104)</f>
        <v/>
      </c>
      <c r="D104" s="13">
        <f>IF(A104="","",Products!D104)</f>
        <v/>
      </c>
      <c r="E104" s="13">
        <f>IF(A104="","",SUMIFS('Recipe BOM'!$K:$K,'Recipe BOM'!$B:$B,A104))</f>
        <v/>
      </c>
      <c r="F104" s="13">
        <f>IF(OR(A104="",D104="",E104=""),"",D104-E104)</f>
        <v/>
      </c>
      <c r="G104" s="14">
        <f>IF(OR(A104="",D104="",E104=""),"",F104/D104)</f>
        <v/>
      </c>
      <c r="H104" s="14">
        <f>IF(OR(A104="",D104="",E104=""),"",E104/D104)</f>
        <v/>
      </c>
      <c r="I104" s="5">
        <f>IF(A104="","",COUNTIFS('Recipe BOM'!$B:$B,A104,'Recipe BOM'!$D:$D,"&lt;&gt;"))</f>
        <v/>
      </c>
      <c r="J104" s="5">
        <f>IF(A104="","",COUNTIFS('Recipe BOM'!$B:$B,A104,'Recipe BOM'!$D:$D,"&lt;&gt;",'Recipe BOM'!$L:$L,"&lt;&gt;OK"))</f>
        <v/>
      </c>
      <c r="K104" s="5">
        <f>IF(A104="","",IF(I104=0,"No recipe",IF(J104&gt;0,"Check recipe/items",IF(D104="","Enter selling price","OK"))))</f>
        <v/>
      </c>
    </row>
    <row r="105">
      <c r="A105" s="5">
        <f>IF(Products!A105="","",Products!A105)</f>
        <v/>
      </c>
      <c r="B105" s="5">
        <f>IF(A105="","",Products!B105)</f>
        <v/>
      </c>
      <c r="C105" s="5">
        <f>IF(A105="","",Products!C105)</f>
        <v/>
      </c>
      <c r="D105" s="13">
        <f>IF(A105="","",Products!D105)</f>
        <v/>
      </c>
      <c r="E105" s="13">
        <f>IF(A105="","",SUMIFS('Recipe BOM'!$K:$K,'Recipe BOM'!$B:$B,A105))</f>
        <v/>
      </c>
      <c r="F105" s="13">
        <f>IF(OR(A105="",D105="",E105=""),"",D105-E105)</f>
        <v/>
      </c>
      <c r="G105" s="14">
        <f>IF(OR(A105="",D105="",E105=""),"",F105/D105)</f>
        <v/>
      </c>
      <c r="H105" s="14">
        <f>IF(OR(A105="",D105="",E105=""),"",E105/D105)</f>
        <v/>
      </c>
      <c r="I105" s="5">
        <f>IF(A105="","",COUNTIFS('Recipe BOM'!$B:$B,A105,'Recipe BOM'!$D:$D,"&lt;&gt;"))</f>
        <v/>
      </c>
      <c r="J105" s="5">
        <f>IF(A105="","",COUNTIFS('Recipe BOM'!$B:$B,A105,'Recipe BOM'!$D:$D,"&lt;&gt;",'Recipe BOM'!$L:$L,"&lt;&gt;OK"))</f>
        <v/>
      </c>
      <c r="K105" s="5">
        <f>IF(A105="","",IF(I105=0,"No recipe",IF(J105&gt;0,"Check recipe/items",IF(D105="","Enter selling price","OK"))))</f>
        <v/>
      </c>
    </row>
    <row r="106">
      <c r="A106" s="5">
        <f>IF(Products!A106="","",Products!A106)</f>
        <v/>
      </c>
      <c r="B106" s="5">
        <f>IF(A106="","",Products!B106)</f>
        <v/>
      </c>
      <c r="C106" s="5">
        <f>IF(A106="","",Products!C106)</f>
        <v/>
      </c>
      <c r="D106" s="13">
        <f>IF(A106="","",Products!D106)</f>
        <v/>
      </c>
      <c r="E106" s="13">
        <f>IF(A106="","",SUMIFS('Recipe BOM'!$K:$K,'Recipe BOM'!$B:$B,A106))</f>
        <v/>
      </c>
      <c r="F106" s="13">
        <f>IF(OR(A106="",D106="",E106=""),"",D106-E106)</f>
        <v/>
      </c>
      <c r="G106" s="14">
        <f>IF(OR(A106="",D106="",E106=""),"",F106/D106)</f>
        <v/>
      </c>
      <c r="H106" s="14">
        <f>IF(OR(A106="",D106="",E106=""),"",E106/D106)</f>
        <v/>
      </c>
      <c r="I106" s="5">
        <f>IF(A106="","",COUNTIFS('Recipe BOM'!$B:$B,A106,'Recipe BOM'!$D:$D,"&lt;&gt;"))</f>
        <v/>
      </c>
      <c r="J106" s="5">
        <f>IF(A106="","",COUNTIFS('Recipe BOM'!$B:$B,A106,'Recipe BOM'!$D:$D,"&lt;&gt;",'Recipe BOM'!$L:$L,"&lt;&gt;OK"))</f>
        <v/>
      </c>
      <c r="K106" s="5">
        <f>IF(A106="","",IF(I106=0,"No recipe",IF(J106&gt;0,"Check recipe/items",IF(D106="","Enter selling price","OK"))))</f>
        <v/>
      </c>
    </row>
    <row r="107">
      <c r="A107" s="5">
        <f>IF(Products!A107="","",Products!A107)</f>
        <v/>
      </c>
      <c r="B107" s="5">
        <f>IF(A107="","",Products!B107)</f>
        <v/>
      </c>
      <c r="C107" s="5">
        <f>IF(A107="","",Products!C107)</f>
        <v/>
      </c>
      <c r="D107" s="13">
        <f>IF(A107="","",Products!D107)</f>
        <v/>
      </c>
      <c r="E107" s="13">
        <f>IF(A107="","",SUMIFS('Recipe BOM'!$K:$K,'Recipe BOM'!$B:$B,A107))</f>
        <v/>
      </c>
      <c r="F107" s="13">
        <f>IF(OR(A107="",D107="",E107=""),"",D107-E107)</f>
        <v/>
      </c>
      <c r="G107" s="14">
        <f>IF(OR(A107="",D107="",E107=""),"",F107/D107)</f>
        <v/>
      </c>
      <c r="H107" s="14">
        <f>IF(OR(A107="",D107="",E107=""),"",E107/D107)</f>
        <v/>
      </c>
      <c r="I107" s="5">
        <f>IF(A107="","",COUNTIFS('Recipe BOM'!$B:$B,A107,'Recipe BOM'!$D:$D,"&lt;&gt;"))</f>
        <v/>
      </c>
      <c r="J107" s="5">
        <f>IF(A107="","",COUNTIFS('Recipe BOM'!$B:$B,A107,'Recipe BOM'!$D:$D,"&lt;&gt;",'Recipe BOM'!$L:$L,"&lt;&gt;OK"))</f>
        <v/>
      </c>
      <c r="K107" s="5">
        <f>IF(A107="","",IF(I107=0,"No recipe",IF(J107&gt;0,"Check recipe/items",IF(D107="","Enter selling price","OK"))))</f>
        <v/>
      </c>
    </row>
    <row r="108">
      <c r="A108" s="5">
        <f>IF(Products!A108="","",Products!A108)</f>
        <v/>
      </c>
      <c r="B108" s="5">
        <f>IF(A108="","",Products!B108)</f>
        <v/>
      </c>
      <c r="C108" s="5">
        <f>IF(A108="","",Products!C108)</f>
        <v/>
      </c>
      <c r="D108" s="13">
        <f>IF(A108="","",Products!D108)</f>
        <v/>
      </c>
      <c r="E108" s="13">
        <f>IF(A108="","",SUMIFS('Recipe BOM'!$K:$K,'Recipe BOM'!$B:$B,A108))</f>
        <v/>
      </c>
      <c r="F108" s="13">
        <f>IF(OR(A108="",D108="",E108=""),"",D108-E108)</f>
        <v/>
      </c>
      <c r="G108" s="14">
        <f>IF(OR(A108="",D108="",E108=""),"",F108/D108)</f>
        <v/>
      </c>
      <c r="H108" s="14">
        <f>IF(OR(A108="",D108="",E108=""),"",E108/D108)</f>
        <v/>
      </c>
      <c r="I108" s="5">
        <f>IF(A108="","",COUNTIFS('Recipe BOM'!$B:$B,A108,'Recipe BOM'!$D:$D,"&lt;&gt;"))</f>
        <v/>
      </c>
      <c r="J108" s="5">
        <f>IF(A108="","",COUNTIFS('Recipe BOM'!$B:$B,A108,'Recipe BOM'!$D:$D,"&lt;&gt;",'Recipe BOM'!$L:$L,"&lt;&gt;OK"))</f>
        <v/>
      </c>
      <c r="K108" s="5">
        <f>IF(A108="","",IF(I108=0,"No recipe",IF(J108&gt;0,"Check recipe/items",IF(D108="","Enter selling price","OK"))))</f>
        <v/>
      </c>
    </row>
    <row r="109">
      <c r="A109" s="5">
        <f>IF(Products!A109="","",Products!A109)</f>
        <v/>
      </c>
      <c r="B109" s="5">
        <f>IF(A109="","",Products!B109)</f>
        <v/>
      </c>
      <c r="C109" s="5">
        <f>IF(A109="","",Products!C109)</f>
        <v/>
      </c>
      <c r="D109" s="13">
        <f>IF(A109="","",Products!D109)</f>
        <v/>
      </c>
      <c r="E109" s="13">
        <f>IF(A109="","",SUMIFS('Recipe BOM'!$K:$K,'Recipe BOM'!$B:$B,A109))</f>
        <v/>
      </c>
      <c r="F109" s="13">
        <f>IF(OR(A109="",D109="",E109=""),"",D109-E109)</f>
        <v/>
      </c>
      <c r="G109" s="14">
        <f>IF(OR(A109="",D109="",E109=""),"",F109/D109)</f>
        <v/>
      </c>
      <c r="H109" s="14">
        <f>IF(OR(A109="",D109="",E109=""),"",E109/D109)</f>
        <v/>
      </c>
      <c r="I109" s="5">
        <f>IF(A109="","",COUNTIFS('Recipe BOM'!$B:$B,A109,'Recipe BOM'!$D:$D,"&lt;&gt;"))</f>
        <v/>
      </c>
      <c r="J109" s="5">
        <f>IF(A109="","",COUNTIFS('Recipe BOM'!$B:$B,A109,'Recipe BOM'!$D:$D,"&lt;&gt;",'Recipe BOM'!$L:$L,"&lt;&gt;OK"))</f>
        <v/>
      </c>
      <c r="K109" s="5">
        <f>IF(A109="","",IF(I109=0,"No recipe",IF(J109&gt;0,"Check recipe/items",IF(D109="","Enter selling price","OK"))))</f>
        <v/>
      </c>
    </row>
    <row r="110">
      <c r="A110" s="5">
        <f>IF(Products!A110="","",Products!A110)</f>
        <v/>
      </c>
      <c r="B110" s="5">
        <f>IF(A110="","",Products!B110)</f>
        <v/>
      </c>
      <c r="C110" s="5">
        <f>IF(A110="","",Products!C110)</f>
        <v/>
      </c>
      <c r="D110" s="13">
        <f>IF(A110="","",Products!D110)</f>
        <v/>
      </c>
      <c r="E110" s="13">
        <f>IF(A110="","",SUMIFS('Recipe BOM'!$K:$K,'Recipe BOM'!$B:$B,A110))</f>
        <v/>
      </c>
      <c r="F110" s="13">
        <f>IF(OR(A110="",D110="",E110=""),"",D110-E110)</f>
        <v/>
      </c>
      <c r="G110" s="14">
        <f>IF(OR(A110="",D110="",E110=""),"",F110/D110)</f>
        <v/>
      </c>
      <c r="H110" s="14">
        <f>IF(OR(A110="",D110="",E110=""),"",E110/D110)</f>
        <v/>
      </c>
      <c r="I110" s="5">
        <f>IF(A110="","",COUNTIFS('Recipe BOM'!$B:$B,A110,'Recipe BOM'!$D:$D,"&lt;&gt;"))</f>
        <v/>
      </c>
      <c r="J110" s="5">
        <f>IF(A110="","",COUNTIFS('Recipe BOM'!$B:$B,A110,'Recipe BOM'!$D:$D,"&lt;&gt;",'Recipe BOM'!$L:$L,"&lt;&gt;OK"))</f>
        <v/>
      </c>
      <c r="K110" s="5">
        <f>IF(A110="","",IF(I110=0,"No recipe",IF(J110&gt;0,"Check recipe/items",IF(D110="","Enter selling price","OK"))))</f>
        <v/>
      </c>
    </row>
    <row r="111">
      <c r="A111" s="5">
        <f>IF(Products!A111="","",Products!A111)</f>
        <v/>
      </c>
      <c r="B111" s="5">
        <f>IF(A111="","",Products!B111)</f>
        <v/>
      </c>
      <c r="C111" s="5">
        <f>IF(A111="","",Products!C111)</f>
        <v/>
      </c>
      <c r="D111" s="13">
        <f>IF(A111="","",Products!D111)</f>
        <v/>
      </c>
      <c r="E111" s="13">
        <f>IF(A111="","",SUMIFS('Recipe BOM'!$K:$K,'Recipe BOM'!$B:$B,A111))</f>
        <v/>
      </c>
      <c r="F111" s="13">
        <f>IF(OR(A111="",D111="",E111=""),"",D111-E111)</f>
        <v/>
      </c>
      <c r="G111" s="14">
        <f>IF(OR(A111="",D111="",E111=""),"",F111/D111)</f>
        <v/>
      </c>
      <c r="H111" s="14">
        <f>IF(OR(A111="",D111="",E111=""),"",E111/D111)</f>
        <v/>
      </c>
      <c r="I111" s="5">
        <f>IF(A111="","",COUNTIFS('Recipe BOM'!$B:$B,A111,'Recipe BOM'!$D:$D,"&lt;&gt;"))</f>
        <v/>
      </c>
      <c r="J111" s="5">
        <f>IF(A111="","",COUNTIFS('Recipe BOM'!$B:$B,A111,'Recipe BOM'!$D:$D,"&lt;&gt;",'Recipe BOM'!$L:$L,"&lt;&gt;OK"))</f>
        <v/>
      </c>
      <c r="K111" s="5">
        <f>IF(A111="","",IF(I111=0,"No recipe",IF(J111&gt;0,"Check recipe/items",IF(D111="","Enter selling price","OK"))))</f>
        <v/>
      </c>
    </row>
    <row r="112">
      <c r="A112" s="5">
        <f>IF(Products!A112="","",Products!A112)</f>
        <v/>
      </c>
      <c r="B112" s="5">
        <f>IF(A112="","",Products!B112)</f>
        <v/>
      </c>
      <c r="C112" s="5">
        <f>IF(A112="","",Products!C112)</f>
        <v/>
      </c>
      <c r="D112" s="13">
        <f>IF(A112="","",Products!D112)</f>
        <v/>
      </c>
      <c r="E112" s="13">
        <f>IF(A112="","",SUMIFS('Recipe BOM'!$K:$K,'Recipe BOM'!$B:$B,A112))</f>
        <v/>
      </c>
      <c r="F112" s="13">
        <f>IF(OR(A112="",D112="",E112=""),"",D112-E112)</f>
        <v/>
      </c>
      <c r="G112" s="14">
        <f>IF(OR(A112="",D112="",E112=""),"",F112/D112)</f>
        <v/>
      </c>
      <c r="H112" s="14">
        <f>IF(OR(A112="",D112="",E112=""),"",E112/D112)</f>
        <v/>
      </c>
      <c r="I112" s="5">
        <f>IF(A112="","",COUNTIFS('Recipe BOM'!$B:$B,A112,'Recipe BOM'!$D:$D,"&lt;&gt;"))</f>
        <v/>
      </c>
      <c r="J112" s="5">
        <f>IF(A112="","",COUNTIFS('Recipe BOM'!$B:$B,A112,'Recipe BOM'!$D:$D,"&lt;&gt;",'Recipe BOM'!$L:$L,"&lt;&gt;OK"))</f>
        <v/>
      </c>
      <c r="K112" s="5">
        <f>IF(A112="","",IF(I112=0,"No recipe",IF(J112&gt;0,"Check recipe/items",IF(D112="","Enter selling price","OK"))))</f>
        <v/>
      </c>
    </row>
    <row r="113">
      <c r="A113" s="5">
        <f>IF(Products!A113="","",Products!A113)</f>
        <v/>
      </c>
      <c r="B113" s="5">
        <f>IF(A113="","",Products!B113)</f>
        <v/>
      </c>
      <c r="C113" s="5">
        <f>IF(A113="","",Products!C113)</f>
        <v/>
      </c>
      <c r="D113" s="13">
        <f>IF(A113="","",Products!D113)</f>
        <v/>
      </c>
      <c r="E113" s="13">
        <f>IF(A113="","",SUMIFS('Recipe BOM'!$K:$K,'Recipe BOM'!$B:$B,A113))</f>
        <v/>
      </c>
      <c r="F113" s="13">
        <f>IF(OR(A113="",D113="",E113=""),"",D113-E113)</f>
        <v/>
      </c>
      <c r="G113" s="14">
        <f>IF(OR(A113="",D113="",E113=""),"",F113/D113)</f>
        <v/>
      </c>
      <c r="H113" s="14">
        <f>IF(OR(A113="",D113="",E113=""),"",E113/D113)</f>
        <v/>
      </c>
      <c r="I113" s="5">
        <f>IF(A113="","",COUNTIFS('Recipe BOM'!$B:$B,A113,'Recipe BOM'!$D:$D,"&lt;&gt;"))</f>
        <v/>
      </c>
      <c r="J113" s="5">
        <f>IF(A113="","",COUNTIFS('Recipe BOM'!$B:$B,A113,'Recipe BOM'!$D:$D,"&lt;&gt;",'Recipe BOM'!$L:$L,"&lt;&gt;OK"))</f>
        <v/>
      </c>
      <c r="K113" s="5">
        <f>IF(A113="","",IF(I113=0,"No recipe",IF(J113&gt;0,"Check recipe/items",IF(D113="","Enter selling price","OK"))))</f>
        <v/>
      </c>
    </row>
    <row r="114">
      <c r="A114" s="5">
        <f>IF(Products!A114="","",Products!A114)</f>
        <v/>
      </c>
      <c r="B114" s="5">
        <f>IF(A114="","",Products!B114)</f>
        <v/>
      </c>
      <c r="C114" s="5">
        <f>IF(A114="","",Products!C114)</f>
        <v/>
      </c>
      <c r="D114" s="13">
        <f>IF(A114="","",Products!D114)</f>
        <v/>
      </c>
      <c r="E114" s="13">
        <f>IF(A114="","",SUMIFS('Recipe BOM'!$K:$K,'Recipe BOM'!$B:$B,A114))</f>
        <v/>
      </c>
      <c r="F114" s="13">
        <f>IF(OR(A114="",D114="",E114=""),"",D114-E114)</f>
        <v/>
      </c>
      <c r="G114" s="14">
        <f>IF(OR(A114="",D114="",E114=""),"",F114/D114)</f>
        <v/>
      </c>
      <c r="H114" s="14">
        <f>IF(OR(A114="",D114="",E114=""),"",E114/D114)</f>
        <v/>
      </c>
      <c r="I114" s="5">
        <f>IF(A114="","",COUNTIFS('Recipe BOM'!$B:$B,A114,'Recipe BOM'!$D:$D,"&lt;&gt;"))</f>
        <v/>
      </c>
      <c r="J114" s="5">
        <f>IF(A114="","",COUNTIFS('Recipe BOM'!$B:$B,A114,'Recipe BOM'!$D:$D,"&lt;&gt;",'Recipe BOM'!$L:$L,"&lt;&gt;OK"))</f>
        <v/>
      </c>
      <c r="K114" s="5">
        <f>IF(A114="","",IF(I114=0,"No recipe",IF(J114&gt;0,"Check recipe/items",IF(D114="","Enter selling price","OK"))))</f>
        <v/>
      </c>
    </row>
    <row r="115">
      <c r="A115" s="5">
        <f>IF(Products!A115="","",Products!A115)</f>
        <v/>
      </c>
      <c r="B115" s="5">
        <f>IF(A115="","",Products!B115)</f>
        <v/>
      </c>
      <c r="C115" s="5">
        <f>IF(A115="","",Products!C115)</f>
        <v/>
      </c>
      <c r="D115" s="13">
        <f>IF(A115="","",Products!D115)</f>
        <v/>
      </c>
      <c r="E115" s="13">
        <f>IF(A115="","",SUMIFS('Recipe BOM'!$K:$K,'Recipe BOM'!$B:$B,A115))</f>
        <v/>
      </c>
      <c r="F115" s="13">
        <f>IF(OR(A115="",D115="",E115=""),"",D115-E115)</f>
        <v/>
      </c>
      <c r="G115" s="14">
        <f>IF(OR(A115="",D115="",E115=""),"",F115/D115)</f>
        <v/>
      </c>
      <c r="H115" s="14">
        <f>IF(OR(A115="",D115="",E115=""),"",E115/D115)</f>
        <v/>
      </c>
      <c r="I115" s="5">
        <f>IF(A115="","",COUNTIFS('Recipe BOM'!$B:$B,A115,'Recipe BOM'!$D:$D,"&lt;&gt;"))</f>
        <v/>
      </c>
      <c r="J115" s="5">
        <f>IF(A115="","",COUNTIFS('Recipe BOM'!$B:$B,A115,'Recipe BOM'!$D:$D,"&lt;&gt;",'Recipe BOM'!$L:$L,"&lt;&gt;OK"))</f>
        <v/>
      </c>
      <c r="K115" s="5">
        <f>IF(A115="","",IF(I115=0,"No recipe",IF(J115&gt;0,"Check recipe/items",IF(D115="","Enter selling price","OK"))))</f>
        <v/>
      </c>
    </row>
    <row r="116">
      <c r="A116" s="5">
        <f>IF(Products!A116="","",Products!A116)</f>
        <v/>
      </c>
      <c r="B116" s="5">
        <f>IF(A116="","",Products!B116)</f>
        <v/>
      </c>
      <c r="C116" s="5">
        <f>IF(A116="","",Products!C116)</f>
        <v/>
      </c>
      <c r="D116" s="13">
        <f>IF(A116="","",Products!D116)</f>
        <v/>
      </c>
      <c r="E116" s="13">
        <f>IF(A116="","",SUMIFS('Recipe BOM'!$K:$K,'Recipe BOM'!$B:$B,A116))</f>
        <v/>
      </c>
      <c r="F116" s="13">
        <f>IF(OR(A116="",D116="",E116=""),"",D116-E116)</f>
        <v/>
      </c>
      <c r="G116" s="14">
        <f>IF(OR(A116="",D116="",E116=""),"",F116/D116)</f>
        <v/>
      </c>
      <c r="H116" s="14">
        <f>IF(OR(A116="",D116="",E116=""),"",E116/D116)</f>
        <v/>
      </c>
      <c r="I116" s="5">
        <f>IF(A116="","",COUNTIFS('Recipe BOM'!$B:$B,A116,'Recipe BOM'!$D:$D,"&lt;&gt;"))</f>
        <v/>
      </c>
      <c r="J116" s="5">
        <f>IF(A116="","",COUNTIFS('Recipe BOM'!$B:$B,A116,'Recipe BOM'!$D:$D,"&lt;&gt;",'Recipe BOM'!$L:$L,"&lt;&gt;OK"))</f>
        <v/>
      </c>
      <c r="K116" s="5">
        <f>IF(A116="","",IF(I116=0,"No recipe",IF(J116&gt;0,"Check recipe/items",IF(D116="","Enter selling price","OK"))))</f>
        <v/>
      </c>
    </row>
    <row r="117">
      <c r="A117" s="5">
        <f>IF(Products!A117="","",Products!A117)</f>
        <v/>
      </c>
      <c r="B117" s="5">
        <f>IF(A117="","",Products!B117)</f>
        <v/>
      </c>
      <c r="C117" s="5">
        <f>IF(A117="","",Products!C117)</f>
        <v/>
      </c>
      <c r="D117" s="13">
        <f>IF(A117="","",Products!D117)</f>
        <v/>
      </c>
      <c r="E117" s="13">
        <f>IF(A117="","",SUMIFS('Recipe BOM'!$K:$K,'Recipe BOM'!$B:$B,A117))</f>
        <v/>
      </c>
      <c r="F117" s="13">
        <f>IF(OR(A117="",D117="",E117=""),"",D117-E117)</f>
        <v/>
      </c>
      <c r="G117" s="14">
        <f>IF(OR(A117="",D117="",E117=""),"",F117/D117)</f>
        <v/>
      </c>
      <c r="H117" s="14">
        <f>IF(OR(A117="",D117="",E117=""),"",E117/D117)</f>
        <v/>
      </c>
      <c r="I117" s="5">
        <f>IF(A117="","",COUNTIFS('Recipe BOM'!$B:$B,A117,'Recipe BOM'!$D:$D,"&lt;&gt;"))</f>
        <v/>
      </c>
      <c r="J117" s="5">
        <f>IF(A117="","",COUNTIFS('Recipe BOM'!$B:$B,A117,'Recipe BOM'!$D:$D,"&lt;&gt;",'Recipe BOM'!$L:$L,"&lt;&gt;OK"))</f>
        <v/>
      </c>
      <c r="K117" s="5">
        <f>IF(A117="","",IF(I117=0,"No recipe",IF(J117&gt;0,"Check recipe/items",IF(D117="","Enter selling price","OK"))))</f>
        <v/>
      </c>
    </row>
    <row r="118">
      <c r="A118" s="5">
        <f>IF(Products!A118="","",Products!A118)</f>
        <v/>
      </c>
      <c r="B118" s="5">
        <f>IF(A118="","",Products!B118)</f>
        <v/>
      </c>
      <c r="C118" s="5">
        <f>IF(A118="","",Products!C118)</f>
        <v/>
      </c>
      <c r="D118" s="13">
        <f>IF(A118="","",Products!D118)</f>
        <v/>
      </c>
      <c r="E118" s="13">
        <f>IF(A118="","",SUMIFS('Recipe BOM'!$K:$K,'Recipe BOM'!$B:$B,A118))</f>
        <v/>
      </c>
      <c r="F118" s="13">
        <f>IF(OR(A118="",D118="",E118=""),"",D118-E118)</f>
        <v/>
      </c>
      <c r="G118" s="14">
        <f>IF(OR(A118="",D118="",E118=""),"",F118/D118)</f>
        <v/>
      </c>
      <c r="H118" s="14">
        <f>IF(OR(A118="",D118="",E118=""),"",E118/D118)</f>
        <v/>
      </c>
      <c r="I118" s="5">
        <f>IF(A118="","",COUNTIFS('Recipe BOM'!$B:$B,A118,'Recipe BOM'!$D:$D,"&lt;&gt;"))</f>
        <v/>
      </c>
      <c r="J118" s="5">
        <f>IF(A118="","",COUNTIFS('Recipe BOM'!$B:$B,A118,'Recipe BOM'!$D:$D,"&lt;&gt;",'Recipe BOM'!$L:$L,"&lt;&gt;OK"))</f>
        <v/>
      </c>
      <c r="K118" s="5">
        <f>IF(A118="","",IF(I118=0,"No recipe",IF(J118&gt;0,"Check recipe/items",IF(D118="","Enter selling price","OK"))))</f>
        <v/>
      </c>
    </row>
    <row r="119">
      <c r="A119" s="5">
        <f>IF(Products!A119="","",Products!A119)</f>
        <v/>
      </c>
      <c r="B119" s="5">
        <f>IF(A119="","",Products!B119)</f>
        <v/>
      </c>
      <c r="C119" s="5">
        <f>IF(A119="","",Products!C119)</f>
        <v/>
      </c>
      <c r="D119" s="13">
        <f>IF(A119="","",Products!D119)</f>
        <v/>
      </c>
      <c r="E119" s="13">
        <f>IF(A119="","",SUMIFS('Recipe BOM'!$K:$K,'Recipe BOM'!$B:$B,A119))</f>
        <v/>
      </c>
      <c r="F119" s="13">
        <f>IF(OR(A119="",D119="",E119=""),"",D119-E119)</f>
        <v/>
      </c>
      <c r="G119" s="14">
        <f>IF(OR(A119="",D119="",E119=""),"",F119/D119)</f>
        <v/>
      </c>
      <c r="H119" s="14">
        <f>IF(OR(A119="",D119="",E119=""),"",E119/D119)</f>
        <v/>
      </c>
      <c r="I119" s="5">
        <f>IF(A119="","",COUNTIFS('Recipe BOM'!$B:$B,A119,'Recipe BOM'!$D:$D,"&lt;&gt;"))</f>
        <v/>
      </c>
      <c r="J119" s="5">
        <f>IF(A119="","",COUNTIFS('Recipe BOM'!$B:$B,A119,'Recipe BOM'!$D:$D,"&lt;&gt;",'Recipe BOM'!$L:$L,"&lt;&gt;OK"))</f>
        <v/>
      </c>
      <c r="K119" s="5">
        <f>IF(A119="","",IF(I119=0,"No recipe",IF(J119&gt;0,"Check recipe/items",IF(D119="","Enter selling price","OK"))))</f>
        <v/>
      </c>
    </row>
    <row r="120">
      <c r="A120" s="5">
        <f>IF(Products!A120="","",Products!A120)</f>
        <v/>
      </c>
      <c r="B120" s="5">
        <f>IF(A120="","",Products!B120)</f>
        <v/>
      </c>
      <c r="C120" s="5">
        <f>IF(A120="","",Products!C120)</f>
        <v/>
      </c>
      <c r="D120" s="13">
        <f>IF(A120="","",Products!D120)</f>
        <v/>
      </c>
      <c r="E120" s="13">
        <f>IF(A120="","",SUMIFS('Recipe BOM'!$K:$K,'Recipe BOM'!$B:$B,A120))</f>
        <v/>
      </c>
      <c r="F120" s="13">
        <f>IF(OR(A120="",D120="",E120=""),"",D120-E120)</f>
        <v/>
      </c>
      <c r="G120" s="14">
        <f>IF(OR(A120="",D120="",E120=""),"",F120/D120)</f>
        <v/>
      </c>
      <c r="H120" s="14">
        <f>IF(OR(A120="",D120="",E120=""),"",E120/D120)</f>
        <v/>
      </c>
      <c r="I120" s="5">
        <f>IF(A120="","",COUNTIFS('Recipe BOM'!$B:$B,A120,'Recipe BOM'!$D:$D,"&lt;&gt;"))</f>
        <v/>
      </c>
      <c r="J120" s="5">
        <f>IF(A120="","",COUNTIFS('Recipe BOM'!$B:$B,A120,'Recipe BOM'!$D:$D,"&lt;&gt;",'Recipe BOM'!$L:$L,"&lt;&gt;OK"))</f>
        <v/>
      </c>
      <c r="K120" s="5">
        <f>IF(A120="","",IF(I120=0,"No recipe",IF(J120&gt;0,"Check recipe/items",IF(D120="","Enter selling price","OK"))))</f>
        <v/>
      </c>
    </row>
    <row r="121">
      <c r="A121" s="5">
        <f>IF(Products!A121="","",Products!A121)</f>
        <v/>
      </c>
      <c r="B121" s="5">
        <f>IF(A121="","",Products!B121)</f>
        <v/>
      </c>
      <c r="C121" s="5">
        <f>IF(A121="","",Products!C121)</f>
        <v/>
      </c>
      <c r="D121" s="13">
        <f>IF(A121="","",Products!D121)</f>
        <v/>
      </c>
      <c r="E121" s="13">
        <f>IF(A121="","",SUMIFS('Recipe BOM'!$K:$K,'Recipe BOM'!$B:$B,A121))</f>
        <v/>
      </c>
      <c r="F121" s="13">
        <f>IF(OR(A121="",D121="",E121=""),"",D121-E121)</f>
        <v/>
      </c>
      <c r="G121" s="14">
        <f>IF(OR(A121="",D121="",E121=""),"",F121/D121)</f>
        <v/>
      </c>
      <c r="H121" s="14">
        <f>IF(OR(A121="",D121="",E121=""),"",E121/D121)</f>
        <v/>
      </c>
      <c r="I121" s="5">
        <f>IF(A121="","",COUNTIFS('Recipe BOM'!$B:$B,A121,'Recipe BOM'!$D:$D,"&lt;&gt;"))</f>
        <v/>
      </c>
      <c r="J121" s="5">
        <f>IF(A121="","",COUNTIFS('Recipe BOM'!$B:$B,A121,'Recipe BOM'!$D:$D,"&lt;&gt;",'Recipe BOM'!$L:$L,"&lt;&gt;OK"))</f>
        <v/>
      </c>
      <c r="K121" s="5">
        <f>IF(A121="","",IF(I121=0,"No recipe",IF(J121&gt;0,"Check recipe/items",IF(D121="","Enter selling price","OK"))))</f>
        <v/>
      </c>
    </row>
    <row r="122">
      <c r="A122" s="5">
        <f>IF(Products!A122="","",Products!A122)</f>
        <v/>
      </c>
      <c r="B122" s="5">
        <f>IF(A122="","",Products!B122)</f>
        <v/>
      </c>
      <c r="C122" s="5">
        <f>IF(A122="","",Products!C122)</f>
        <v/>
      </c>
      <c r="D122" s="13">
        <f>IF(A122="","",Products!D122)</f>
        <v/>
      </c>
      <c r="E122" s="13">
        <f>IF(A122="","",SUMIFS('Recipe BOM'!$K:$K,'Recipe BOM'!$B:$B,A122))</f>
        <v/>
      </c>
      <c r="F122" s="13">
        <f>IF(OR(A122="",D122="",E122=""),"",D122-E122)</f>
        <v/>
      </c>
      <c r="G122" s="14">
        <f>IF(OR(A122="",D122="",E122=""),"",F122/D122)</f>
        <v/>
      </c>
      <c r="H122" s="14">
        <f>IF(OR(A122="",D122="",E122=""),"",E122/D122)</f>
        <v/>
      </c>
      <c r="I122" s="5">
        <f>IF(A122="","",COUNTIFS('Recipe BOM'!$B:$B,A122,'Recipe BOM'!$D:$D,"&lt;&gt;"))</f>
        <v/>
      </c>
      <c r="J122" s="5">
        <f>IF(A122="","",COUNTIFS('Recipe BOM'!$B:$B,A122,'Recipe BOM'!$D:$D,"&lt;&gt;",'Recipe BOM'!$L:$L,"&lt;&gt;OK"))</f>
        <v/>
      </c>
      <c r="K122" s="5">
        <f>IF(A122="","",IF(I122=0,"No recipe",IF(J122&gt;0,"Check recipe/items",IF(D122="","Enter selling price","OK"))))</f>
        <v/>
      </c>
    </row>
    <row r="123">
      <c r="A123" s="5">
        <f>IF(Products!A123="","",Products!A123)</f>
        <v/>
      </c>
      <c r="B123" s="5">
        <f>IF(A123="","",Products!B123)</f>
        <v/>
      </c>
      <c r="C123" s="5">
        <f>IF(A123="","",Products!C123)</f>
        <v/>
      </c>
      <c r="D123" s="13">
        <f>IF(A123="","",Products!D123)</f>
        <v/>
      </c>
      <c r="E123" s="13">
        <f>IF(A123="","",SUMIFS('Recipe BOM'!$K:$K,'Recipe BOM'!$B:$B,A123))</f>
        <v/>
      </c>
      <c r="F123" s="13">
        <f>IF(OR(A123="",D123="",E123=""),"",D123-E123)</f>
        <v/>
      </c>
      <c r="G123" s="14">
        <f>IF(OR(A123="",D123="",E123=""),"",F123/D123)</f>
        <v/>
      </c>
      <c r="H123" s="14">
        <f>IF(OR(A123="",D123="",E123=""),"",E123/D123)</f>
        <v/>
      </c>
      <c r="I123" s="5">
        <f>IF(A123="","",COUNTIFS('Recipe BOM'!$B:$B,A123,'Recipe BOM'!$D:$D,"&lt;&gt;"))</f>
        <v/>
      </c>
      <c r="J123" s="5">
        <f>IF(A123="","",COUNTIFS('Recipe BOM'!$B:$B,A123,'Recipe BOM'!$D:$D,"&lt;&gt;",'Recipe BOM'!$L:$L,"&lt;&gt;OK"))</f>
        <v/>
      </c>
      <c r="K123" s="5">
        <f>IF(A123="","",IF(I123=0,"No recipe",IF(J123&gt;0,"Check recipe/items",IF(D123="","Enter selling price","OK"))))</f>
        <v/>
      </c>
    </row>
    <row r="124">
      <c r="A124" s="5">
        <f>IF(Products!A124="","",Products!A124)</f>
        <v/>
      </c>
      <c r="B124" s="5">
        <f>IF(A124="","",Products!B124)</f>
        <v/>
      </c>
      <c r="C124" s="5">
        <f>IF(A124="","",Products!C124)</f>
        <v/>
      </c>
      <c r="D124" s="13">
        <f>IF(A124="","",Products!D124)</f>
        <v/>
      </c>
      <c r="E124" s="13">
        <f>IF(A124="","",SUMIFS('Recipe BOM'!$K:$K,'Recipe BOM'!$B:$B,A124))</f>
        <v/>
      </c>
      <c r="F124" s="13">
        <f>IF(OR(A124="",D124="",E124=""),"",D124-E124)</f>
        <v/>
      </c>
      <c r="G124" s="14">
        <f>IF(OR(A124="",D124="",E124=""),"",F124/D124)</f>
        <v/>
      </c>
      <c r="H124" s="14">
        <f>IF(OR(A124="",D124="",E124=""),"",E124/D124)</f>
        <v/>
      </c>
      <c r="I124" s="5">
        <f>IF(A124="","",COUNTIFS('Recipe BOM'!$B:$B,A124,'Recipe BOM'!$D:$D,"&lt;&gt;"))</f>
        <v/>
      </c>
      <c r="J124" s="5">
        <f>IF(A124="","",COUNTIFS('Recipe BOM'!$B:$B,A124,'Recipe BOM'!$D:$D,"&lt;&gt;",'Recipe BOM'!$L:$L,"&lt;&gt;OK"))</f>
        <v/>
      </c>
      <c r="K124" s="5">
        <f>IF(A124="","",IF(I124=0,"No recipe",IF(J124&gt;0,"Check recipe/items",IF(D124="","Enter selling price","OK"))))</f>
        <v/>
      </c>
    </row>
    <row r="125">
      <c r="A125" s="5">
        <f>IF(Products!A125="","",Products!A125)</f>
        <v/>
      </c>
      <c r="B125" s="5">
        <f>IF(A125="","",Products!B125)</f>
        <v/>
      </c>
      <c r="C125" s="5">
        <f>IF(A125="","",Products!C125)</f>
        <v/>
      </c>
      <c r="D125" s="13">
        <f>IF(A125="","",Products!D125)</f>
        <v/>
      </c>
      <c r="E125" s="13">
        <f>IF(A125="","",SUMIFS('Recipe BOM'!$K:$K,'Recipe BOM'!$B:$B,A125))</f>
        <v/>
      </c>
      <c r="F125" s="13">
        <f>IF(OR(A125="",D125="",E125=""),"",D125-E125)</f>
        <v/>
      </c>
      <c r="G125" s="14">
        <f>IF(OR(A125="",D125="",E125=""),"",F125/D125)</f>
        <v/>
      </c>
      <c r="H125" s="14">
        <f>IF(OR(A125="",D125="",E125=""),"",E125/D125)</f>
        <v/>
      </c>
      <c r="I125" s="5">
        <f>IF(A125="","",COUNTIFS('Recipe BOM'!$B:$B,A125,'Recipe BOM'!$D:$D,"&lt;&gt;"))</f>
        <v/>
      </c>
      <c r="J125" s="5">
        <f>IF(A125="","",COUNTIFS('Recipe BOM'!$B:$B,A125,'Recipe BOM'!$D:$D,"&lt;&gt;",'Recipe BOM'!$L:$L,"&lt;&gt;OK"))</f>
        <v/>
      </c>
      <c r="K125" s="5">
        <f>IF(A125="","",IF(I125=0,"No recipe",IF(J125&gt;0,"Check recipe/items",IF(D125="","Enter selling price","OK"))))</f>
        <v/>
      </c>
    </row>
    <row r="126">
      <c r="A126" s="5">
        <f>IF(Products!A126="","",Products!A126)</f>
        <v/>
      </c>
      <c r="B126" s="5">
        <f>IF(A126="","",Products!B126)</f>
        <v/>
      </c>
      <c r="C126" s="5">
        <f>IF(A126="","",Products!C126)</f>
        <v/>
      </c>
      <c r="D126" s="13">
        <f>IF(A126="","",Products!D126)</f>
        <v/>
      </c>
      <c r="E126" s="13">
        <f>IF(A126="","",SUMIFS('Recipe BOM'!$K:$K,'Recipe BOM'!$B:$B,A126))</f>
        <v/>
      </c>
      <c r="F126" s="13">
        <f>IF(OR(A126="",D126="",E126=""),"",D126-E126)</f>
        <v/>
      </c>
      <c r="G126" s="14">
        <f>IF(OR(A126="",D126="",E126=""),"",F126/D126)</f>
        <v/>
      </c>
      <c r="H126" s="14">
        <f>IF(OR(A126="",D126="",E126=""),"",E126/D126)</f>
        <v/>
      </c>
      <c r="I126" s="5">
        <f>IF(A126="","",COUNTIFS('Recipe BOM'!$B:$B,A126,'Recipe BOM'!$D:$D,"&lt;&gt;"))</f>
        <v/>
      </c>
      <c r="J126" s="5">
        <f>IF(A126="","",COUNTIFS('Recipe BOM'!$B:$B,A126,'Recipe BOM'!$D:$D,"&lt;&gt;",'Recipe BOM'!$L:$L,"&lt;&gt;OK"))</f>
        <v/>
      </c>
      <c r="K126" s="5">
        <f>IF(A126="","",IF(I126=0,"No recipe",IF(J126&gt;0,"Check recipe/items",IF(D126="","Enter selling price","OK"))))</f>
        <v/>
      </c>
    </row>
    <row r="127">
      <c r="A127" s="5">
        <f>IF(Products!A127="","",Products!A127)</f>
        <v/>
      </c>
      <c r="B127" s="5">
        <f>IF(A127="","",Products!B127)</f>
        <v/>
      </c>
      <c r="C127" s="5">
        <f>IF(A127="","",Products!C127)</f>
        <v/>
      </c>
      <c r="D127" s="13">
        <f>IF(A127="","",Products!D127)</f>
        <v/>
      </c>
      <c r="E127" s="13">
        <f>IF(A127="","",SUMIFS('Recipe BOM'!$K:$K,'Recipe BOM'!$B:$B,A127))</f>
        <v/>
      </c>
      <c r="F127" s="13">
        <f>IF(OR(A127="",D127="",E127=""),"",D127-E127)</f>
        <v/>
      </c>
      <c r="G127" s="14">
        <f>IF(OR(A127="",D127="",E127=""),"",F127/D127)</f>
        <v/>
      </c>
      <c r="H127" s="14">
        <f>IF(OR(A127="",D127="",E127=""),"",E127/D127)</f>
        <v/>
      </c>
      <c r="I127" s="5">
        <f>IF(A127="","",COUNTIFS('Recipe BOM'!$B:$B,A127,'Recipe BOM'!$D:$D,"&lt;&gt;"))</f>
        <v/>
      </c>
      <c r="J127" s="5">
        <f>IF(A127="","",COUNTIFS('Recipe BOM'!$B:$B,A127,'Recipe BOM'!$D:$D,"&lt;&gt;",'Recipe BOM'!$L:$L,"&lt;&gt;OK"))</f>
        <v/>
      </c>
      <c r="K127" s="5">
        <f>IF(A127="","",IF(I127=0,"No recipe",IF(J127&gt;0,"Check recipe/items",IF(D127="","Enter selling price","OK"))))</f>
        <v/>
      </c>
    </row>
    <row r="128">
      <c r="A128" s="5">
        <f>IF(Products!A128="","",Products!A128)</f>
        <v/>
      </c>
      <c r="B128" s="5">
        <f>IF(A128="","",Products!B128)</f>
        <v/>
      </c>
      <c r="C128" s="5">
        <f>IF(A128="","",Products!C128)</f>
        <v/>
      </c>
      <c r="D128" s="13">
        <f>IF(A128="","",Products!D128)</f>
        <v/>
      </c>
      <c r="E128" s="13">
        <f>IF(A128="","",SUMIFS('Recipe BOM'!$K:$K,'Recipe BOM'!$B:$B,A128))</f>
        <v/>
      </c>
      <c r="F128" s="13">
        <f>IF(OR(A128="",D128="",E128=""),"",D128-E128)</f>
        <v/>
      </c>
      <c r="G128" s="14">
        <f>IF(OR(A128="",D128="",E128=""),"",F128/D128)</f>
        <v/>
      </c>
      <c r="H128" s="14">
        <f>IF(OR(A128="",D128="",E128=""),"",E128/D128)</f>
        <v/>
      </c>
      <c r="I128" s="5">
        <f>IF(A128="","",COUNTIFS('Recipe BOM'!$B:$B,A128,'Recipe BOM'!$D:$D,"&lt;&gt;"))</f>
        <v/>
      </c>
      <c r="J128" s="5">
        <f>IF(A128="","",COUNTIFS('Recipe BOM'!$B:$B,A128,'Recipe BOM'!$D:$D,"&lt;&gt;",'Recipe BOM'!$L:$L,"&lt;&gt;OK"))</f>
        <v/>
      </c>
      <c r="K128" s="5">
        <f>IF(A128="","",IF(I128=0,"No recipe",IF(J128&gt;0,"Check recipe/items",IF(D128="","Enter selling price","OK"))))</f>
        <v/>
      </c>
    </row>
    <row r="129">
      <c r="A129" s="5">
        <f>IF(Products!A129="","",Products!A129)</f>
        <v/>
      </c>
      <c r="B129" s="5">
        <f>IF(A129="","",Products!B129)</f>
        <v/>
      </c>
      <c r="C129" s="5">
        <f>IF(A129="","",Products!C129)</f>
        <v/>
      </c>
      <c r="D129" s="13">
        <f>IF(A129="","",Products!D129)</f>
        <v/>
      </c>
      <c r="E129" s="13">
        <f>IF(A129="","",SUMIFS('Recipe BOM'!$K:$K,'Recipe BOM'!$B:$B,A129))</f>
        <v/>
      </c>
      <c r="F129" s="13">
        <f>IF(OR(A129="",D129="",E129=""),"",D129-E129)</f>
        <v/>
      </c>
      <c r="G129" s="14">
        <f>IF(OR(A129="",D129="",E129=""),"",F129/D129)</f>
        <v/>
      </c>
      <c r="H129" s="14">
        <f>IF(OR(A129="",D129="",E129=""),"",E129/D129)</f>
        <v/>
      </c>
      <c r="I129" s="5">
        <f>IF(A129="","",COUNTIFS('Recipe BOM'!$B:$B,A129,'Recipe BOM'!$D:$D,"&lt;&gt;"))</f>
        <v/>
      </c>
      <c r="J129" s="5">
        <f>IF(A129="","",COUNTIFS('Recipe BOM'!$B:$B,A129,'Recipe BOM'!$D:$D,"&lt;&gt;",'Recipe BOM'!$L:$L,"&lt;&gt;OK"))</f>
        <v/>
      </c>
      <c r="K129" s="5">
        <f>IF(A129="","",IF(I129=0,"No recipe",IF(J129&gt;0,"Check recipe/items",IF(D129="","Enter selling price","OK"))))</f>
        <v/>
      </c>
    </row>
    <row r="130">
      <c r="A130" s="5">
        <f>IF(Products!A130="","",Products!A130)</f>
        <v/>
      </c>
      <c r="B130" s="5">
        <f>IF(A130="","",Products!B130)</f>
        <v/>
      </c>
      <c r="C130" s="5">
        <f>IF(A130="","",Products!C130)</f>
        <v/>
      </c>
      <c r="D130" s="13">
        <f>IF(A130="","",Products!D130)</f>
        <v/>
      </c>
      <c r="E130" s="13">
        <f>IF(A130="","",SUMIFS('Recipe BOM'!$K:$K,'Recipe BOM'!$B:$B,A130))</f>
        <v/>
      </c>
      <c r="F130" s="13">
        <f>IF(OR(A130="",D130="",E130=""),"",D130-E130)</f>
        <v/>
      </c>
      <c r="G130" s="14">
        <f>IF(OR(A130="",D130="",E130=""),"",F130/D130)</f>
        <v/>
      </c>
      <c r="H130" s="14">
        <f>IF(OR(A130="",D130="",E130=""),"",E130/D130)</f>
        <v/>
      </c>
      <c r="I130" s="5">
        <f>IF(A130="","",COUNTIFS('Recipe BOM'!$B:$B,A130,'Recipe BOM'!$D:$D,"&lt;&gt;"))</f>
        <v/>
      </c>
      <c r="J130" s="5">
        <f>IF(A130="","",COUNTIFS('Recipe BOM'!$B:$B,A130,'Recipe BOM'!$D:$D,"&lt;&gt;",'Recipe BOM'!$L:$L,"&lt;&gt;OK"))</f>
        <v/>
      </c>
      <c r="K130" s="5">
        <f>IF(A130="","",IF(I130=0,"No recipe",IF(J130&gt;0,"Check recipe/items",IF(D130="","Enter selling price","OK"))))</f>
        <v/>
      </c>
    </row>
    <row r="131">
      <c r="A131" s="5">
        <f>IF(Products!A131="","",Products!A131)</f>
        <v/>
      </c>
      <c r="B131" s="5">
        <f>IF(A131="","",Products!B131)</f>
        <v/>
      </c>
      <c r="C131" s="5">
        <f>IF(A131="","",Products!C131)</f>
        <v/>
      </c>
      <c r="D131" s="13">
        <f>IF(A131="","",Products!D131)</f>
        <v/>
      </c>
      <c r="E131" s="13">
        <f>IF(A131="","",SUMIFS('Recipe BOM'!$K:$K,'Recipe BOM'!$B:$B,A131))</f>
        <v/>
      </c>
      <c r="F131" s="13">
        <f>IF(OR(A131="",D131="",E131=""),"",D131-E131)</f>
        <v/>
      </c>
      <c r="G131" s="14">
        <f>IF(OR(A131="",D131="",E131=""),"",F131/D131)</f>
        <v/>
      </c>
      <c r="H131" s="14">
        <f>IF(OR(A131="",D131="",E131=""),"",E131/D131)</f>
        <v/>
      </c>
      <c r="I131" s="5">
        <f>IF(A131="","",COUNTIFS('Recipe BOM'!$B:$B,A131,'Recipe BOM'!$D:$D,"&lt;&gt;"))</f>
        <v/>
      </c>
      <c r="J131" s="5">
        <f>IF(A131="","",COUNTIFS('Recipe BOM'!$B:$B,A131,'Recipe BOM'!$D:$D,"&lt;&gt;",'Recipe BOM'!$L:$L,"&lt;&gt;OK"))</f>
        <v/>
      </c>
      <c r="K131" s="5">
        <f>IF(A131="","",IF(I131=0,"No recipe",IF(J131&gt;0,"Check recipe/items",IF(D131="","Enter selling price","OK"))))</f>
        <v/>
      </c>
    </row>
    <row r="132">
      <c r="A132" s="5">
        <f>IF(Products!A132="","",Products!A132)</f>
        <v/>
      </c>
      <c r="B132" s="5">
        <f>IF(A132="","",Products!B132)</f>
        <v/>
      </c>
      <c r="C132" s="5">
        <f>IF(A132="","",Products!C132)</f>
        <v/>
      </c>
      <c r="D132" s="13">
        <f>IF(A132="","",Products!D132)</f>
        <v/>
      </c>
      <c r="E132" s="13">
        <f>IF(A132="","",SUMIFS('Recipe BOM'!$K:$K,'Recipe BOM'!$B:$B,A132))</f>
        <v/>
      </c>
      <c r="F132" s="13">
        <f>IF(OR(A132="",D132="",E132=""),"",D132-E132)</f>
        <v/>
      </c>
      <c r="G132" s="14">
        <f>IF(OR(A132="",D132="",E132=""),"",F132/D132)</f>
        <v/>
      </c>
      <c r="H132" s="14">
        <f>IF(OR(A132="",D132="",E132=""),"",E132/D132)</f>
        <v/>
      </c>
      <c r="I132" s="5">
        <f>IF(A132="","",COUNTIFS('Recipe BOM'!$B:$B,A132,'Recipe BOM'!$D:$D,"&lt;&gt;"))</f>
        <v/>
      </c>
      <c r="J132" s="5">
        <f>IF(A132="","",COUNTIFS('Recipe BOM'!$B:$B,A132,'Recipe BOM'!$D:$D,"&lt;&gt;",'Recipe BOM'!$L:$L,"&lt;&gt;OK"))</f>
        <v/>
      </c>
      <c r="K132" s="5">
        <f>IF(A132="","",IF(I132=0,"No recipe",IF(J132&gt;0,"Check recipe/items",IF(D132="","Enter selling price","OK"))))</f>
        <v/>
      </c>
    </row>
    <row r="133">
      <c r="A133" s="5">
        <f>IF(Products!A133="","",Products!A133)</f>
        <v/>
      </c>
      <c r="B133" s="5">
        <f>IF(A133="","",Products!B133)</f>
        <v/>
      </c>
      <c r="C133" s="5">
        <f>IF(A133="","",Products!C133)</f>
        <v/>
      </c>
      <c r="D133" s="13">
        <f>IF(A133="","",Products!D133)</f>
        <v/>
      </c>
      <c r="E133" s="13">
        <f>IF(A133="","",SUMIFS('Recipe BOM'!$K:$K,'Recipe BOM'!$B:$B,A133))</f>
        <v/>
      </c>
      <c r="F133" s="13">
        <f>IF(OR(A133="",D133="",E133=""),"",D133-E133)</f>
        <v/>
      </c>
      <c r="G133" s="14">
        <f>IF(OR(A133="",D133="",E133=""),"",F133/D133)</f>
        <v/>
      </c>
      <c r="H133" s="14">
        <f>IF(OR(A133="",D133="",E133=""),"",E133/D133)</f>
        <v/>
      </c>
      <c r="I133" s="5">
        <f>IF(A133="","",COUNTIFS('Recipe BOM'!$B:$B,A133,'Recipe BOM'!$D:$D,"&lt;&gt;"))</f>
        <v/>
      </c>
      <c r="J133" s="5">
        <f>IF(A133="","",COUNTIFS('Recipe BOM'!$B:$B,A133,'Recipe BOM'!$D:$D,"&lt;&gt;",'Recipe BOM'!$L:$L,"&lt;&gt;OK"))</f>
        <v/>
      </c>
      <c r="K133" s="5">
        <f>IF(A133="","",IF(I133=0,"No recipe",IF(J133&gt;0,"Check recipe/items",IF(D133="","Enter selling price","OK"))))</f>
        <v/>
      </c>
    </row>
    <row r="134">
      <c r="A134" s="5">
        <f>IF(Products!A134="","",Products!A134)</f>
        <v/>
      </c>
      <c r="B134" s="5">
        <f>IF(A134="","",Products!B134)</f>
        <v/>
      </c>
      <c r="C134" s="5">
        <f>IF(A134="","",Products!C134)</f>
        <v/>
      </c>
      <c r="D134" s="13">
        <f>IF(A134="","",Products!D134)</f>
        <v/>
      </c>
      <c r="E134" s="13">
        <f>IF(A134="","",SUMIFS('Recipe BOM'!$K:$K,'Recipe BOM'!$B:$B,A134))</f>
        <v/>
      </c>
      <c r="F134" s="13">
        <f>IF(OR(A134="",D134="",E134=""),"",D134-E134)</f>
        <v/>
      </c>
      <c r="G134" s="14">
        <f>IF(OR(A134="",D134="",E134=""),"",F134/D134)</f>
        <v/>
      </c>
      <c r="H134" s="14">
        <f>IF(OR(A134="",D134="",E134=""),"",E134/D134)</f>
        <v/>
      </c>
      <c r="I134" s="5">
        <f>IF(A134="","",COUNTIFS('Recipe BOM'!$B:$B,A134,'Recipe BOM'!$D:$D,"&lt;&gt;"))</f>
        <v/>
      </c>
      <c r="J134" s="5">
        <f>IF(A134="","",COUNTIFS('Recipe BOM'!$B:$B,A134,'Recipe BOM'!$D:$D,"&lt;&gt;",'Recipe BOM'!$L:$L,"&lt;&gt;OK"))</f>
        <v/>
      </c>
      <c r="K134" s="5">
        <f>IF(A134="","",IF(I134=0,"No recipe",IF(J134&gt;0,"Check recipe/items",IF(D134="","Enter selling price","OK"))))</f>
        <v/>
      </c>
    </row>
    <row r="135">
      <c r="A135" s="5">
        <f>IF(Products!A135="","",Products!A135)</f>
        <v/>
      </c>
      <c r="B135" s="5">
        <f>IF(A135="","",Products!B135)</f>
        <v/>
      </c>
      <c r="C135" s="5">
        <f>IF(A135="","",Products!C135)</f>
        <v/>
      </c>
      <c r="D135" s="13">
        <f>IF(A135="","",Products!D135)</f>
        <v/>
      </c>
      <c r="E135" s="13">
        <f>IF(A135="","",SUMIFS('Recipe BOM'!$K:$K,'Recipe BOM'!$B:$B,A135))</f>
        <v/>
      </c>
      <c r="F135" s="13">
        <f>IF(OR(A135="",D135="",E135=""),"",D135-E135)</f>
        <v/>
      </c>
      <c r="G135" s="14">
        <f>IF(OR(A135="",D135="",E135=""),"",F135/D135)</f>
        <v/>
      </c>
      <c r="H135" s="14">
        <f>IF(OR(A135="",D135="",E135=""),"",E135/D135)</f>
        <v/>
      </c>
      <c r="I135" s="5">
        <f>IF(A135="","",COUNTIFS('Recipe BOM'!$B:$B,A135,'Recipe BOM'!$D:$D,"&lt;&gt;"))</f>
        <v/>
      </c>
      <c r="J135" s="5">
        <f>IF(A135="","",COUNTIFS('Recipe BOM'!$B:$B,A135,'Recipe BOM'!$D:$D,"&lt;&gt;",'Recipe BOM'!$L:$L,"&lt;&gt;OK"))</f>
        <v/>
      </c>
      <c r="K135" s="5">
        <f>IF(A135="","",IF(I135=0,"No recipe",IF(J135&gt;0,"Check recipe/items",IF(D135="","Enter selling price","OK"))))</f>
        <v/>
      </c>
    </row>
    <row r="136">
      <c r="A136" s="5">
        <f>IF(Products!A136="","",Products!A136)</f>
        <v/>
      </c>
      <c r="B136" s="5">
        <f>IF(A136="","",Products!B136)</f>
        <v/>
      </c>
      <c r="C136" s="5">
        <f>IF(A136="","",Products!C136)</f>
        <v/>
      </c>
      <c r="D136" s="13">
        <f>IF(A136="","",Products!D136)</f>
        <v/>
      </c>
      <c r="E136" s="13">
        <f>IF(A136="","",SUMIFS('Recipe BOM'!$K:$K,'Recipe BOM'!$B:$B,A136))</f>
        <v/>
      </c>
      <c r="F136" s="13">
        <f>IF(OR(A136="",D136="",E136=""),"",D136-E136)</f>
        <v/>
      </c>
      <c r="G136" s="14">
        <f>IF(OR(A136="",D136="",E136=""),"",F136/D136)</f>
        <v/>
      </c>
      <c r="H136" s="14">
        <f>IF(OR(A136="",D136="",E136=""),"",E136/D136)</f>
        <v/>
      </c>
      <c r="I136" s="5">
        <f>IF(A136="","",COUNTIFS('Recipe BOM'!$B:$B,A136,'Recipe BOM'!$D:$D,"&lt;&gt;"))</f>
        <v/>
      </c>
      <c r="J136" s="5">
        <f>IF(A136="","",COUNTIFS('Recipe BOM'!$B:$B,A136,'Recipe BOM'!$D:$D,"&lt;&gt;",'Recipe BOM'!$L:$L,"&lt;&gt;OK"))</f>
        <v/>
      </c>
      <c r="K136" s="5">
        <f>IF(A136="","",IF(I136=0,"No recipe",IF(J136&gt;0,"Check recipe/items",IF(D136="","Enter selling price","OK"))))</f>
        <v/>
      </c>
    </row>
    <row r="137">
      <c r="A137" s="5">
        <f>IF(Products!A137="","",Products!A137)</f>
        <v/>
      </c>
      <c r="B137" s="5">
        <f>IF(A137="","",Products!B137)</f>
        <v/>
      </c>
      <c r="C137" s="5">
        <f>IF(A137="","",Products!C137)</f>
        <v/>
      </c>
      <c r="D137" s="13">
        <f>IF(A137="","",Products!D137)</f>
        <v/>
      </c>
      <c r="E137" s="13">
        <f>IF(A137="","",SUMIFS('Recipe BOM'!$K:$K,'Recipe BOM'!$B:$B,A137))</f>
        <v/>
      </c>
      <c r="F137" s="13">
        <f>IF(OR(A137="",D137="",E137=""),"",D137-E137)</f>
        <v/>
      </c>
      <c r="G137" s="14">
        <f>IF(OR(A137="",D137="",E137=""),"",F137/D137)</f>
        <v/>
      </c>
      <c r="H137" s="14">
        <f>IF(OR(A137="",D137="",E137=""),"",E137/D137)</f>
        <v/>
      </c>
      <c r="I137" s="5">
        <f>IF(A137="","",COUNTIFS('Recipe BOM'!$B:$B,A137,'Recipe BOM'!$D:$D,"&lt;&gt;"))</f>
        <v/>
      </c>
      <c r="J137" s="5">
        <f>IF(A137="","",COUNTIFS('Recipe BOM'!$B:$B,A137,'Recipe BOM'!$D:$D,"&lt;&gt;",'Recipe BOM'!$L:$L,"&lt;&gt;OK"))</f>
        <v/>
      </c>
      <c r="K137" s="5">
        <f>IF(A137="","",IF(I137=0,"No recipe",IF(J137&gt;0,"Check recipe/items",IF(D137="","Enter selling price","OK"))))</f>
        <v/>
      </c>
    </row>
    <row r="138">
      <c r="A138" s="5">
        <f>IF(Products!A138="","",Products!A138)</f>
        <v/>
      </c>
      <c r="B138" s="5">
        <f>IF(A138="","",Products!B138)</f>
        <v/>
      </c>
      <c r="C138" s="5">
        <f>IF(A138="","",Products!C138)</f>
        <v/>
      </c>
      <c r="D138" s="13">
        <f>IF(A138="","",Products!D138)</f>
        <v/>
      </c>
      <c r="E138" s="13">
        <f>IF(A138="","",SUMIFS('Recipe BOM'!$K:$K,'Recipe BOM'!$B:$B,A138))</f>
        <v/>
      </c>
      <c r="F138" s="13">
        <f>IF(OR(A138="",D138="",E138=""),"",D138-E138)</f>
        <v/>
      </c>
      <c r="G138" s="14">
        <f>IF(OR(A138="",D138="",E138=""),"",F138/D138)</f>
        <v/>
      </c>
      <c r="H138" s="14">
        <f>IF(OR(A138="",D138="",E138=""),"",E138/D138)</f>
        <v/>
      </c>
      <c r="I138" s="5">
        <f>IF(A138="","",COUNTIFS('Recipe BOM'!$B:$B,A138,'Recipe BOM'!$D:$D,"&lt;&gt;"))</f>
        <v/>
      </c>
      <c r="J138" s="5">
        <f>IF(A138="","",COUNTIFS('Recipe BOM'!$B:$B,A138,'Recipe BOM'!$D:$D,"&lt;&gt;",'Recipe BOM'!$L:$L,"&lt;&gt;OK"))</f>
        <v/>
      </c>
      <c r="K138" s="5">
        <f>IF(A138="","",IF(I138=0,"No recipe",IF(J138&gt;0,"Check recipe/items",IF(D138="","Enter selling price","OK"))))</f>
        <v/>
      </c>
    </row>
    <row r="139">
      <c r="A139" s="5">
        <f>IF(Products!A139="","",Products!A139)</f>
        <v/>
      </c>
      <c r="B139" s="5">
        <f>IF(A139="","",Products!B139)</f>
        <v/>
      </c>
      <c r="C139" s="5">
        <f>IF(A139="","",Products!C139)</f>
        <v/>
      </c>
      <c r="D139" s="13">
        <f>IF(A139="","",Products!D139)</f>
        <v/>
      </c>
      <c r="E139" s="13">
        <f>IF(A139="","",SUMIFS('Recipe BOM'!$K:$K,'Recipe BOM'!$B:$B,A139))</f>
        <v/>
      </c>
      <c r="F139" s="13">
        <f>IF(OR(A139="",D139="",E139=""),"",D139-E139)</f>
        <v/>
      </c>
      <c r="G139" s="14">
        <f>IF(OR(A139="",D139="",E139=""),"",F139/D139)</f>
        <v/>
      </c>
      <c r="H139" s="14">
        <f>IF(OR(A139="",D139="",E139=""),"",E139/D139)</f>
        <v/>
      </c>
      <c r="I139" s="5">
        <f>IF(A139="","",COUNTIFS('Recipe BOM'!$B:$B,A139,'Recipe BOM'!$D:$D,"&lt;&gt;"))</f>
        <v/>
      </c>
      <c r="J139" s="5">
        <f>IF(A139="","",COUNTIFS('Recipe BOM'!$B:$B,A139,'Recipe BOM'!$D:$D,"&lt;&gt;",'Recipe BOM'!$L:$L,"&lt;&gt;OK"))</f>
        <v/>
      </c>
      <c r="K139" s="5">
        <f>IF(A139="","",IF(I139=0,"No recipe",IF(J139&gt;0,"Check recipe/items",IF(D139="","Enter selling price","OK"))))</f>
        <v/>
      </c>
    </row>
    <row r="140">
      <c r="A140" s="5">
        <f>IF(Products!A140="","",Products!A140)</f>
        <v/>
      </c>
      <c r="B140" s="5">
        <f>IF(A140="","",Products!B140)</f>
        <v/>
      </c>
      <c r="C140" s="5">
        <f>IF(A140="","",Products!C140)</f>
        <v/>
      </c>
      <c r="D140" s="13">
        <f>IF(A140="","",Products!D140)</f>
        <v/>
      </c>
      <c r="E140" s="13">
        <f>IF(A140="","",SUMIFS('Recipe BOM'!$K:$K,'Recipe BOM'!$B:$B,A140))</f>
        <v/>
      </c>
      <c r="F140" s="13">
        <f>IF(OR(A140="",D140="",E140=""),"",D140-E140)</f>
        <v/>
      </c>
      <c r="G140" s="14">
        <f>IF(OR(A140="",D140="",E140=""),"",F140/D140)</f>
        <v/>
      </c>
      <c r="H140" s="14">
        <f>IF(OR(A140="",D140="",E140=""),"",E140/D140)</f>
        <v/>
      </c>
      <c r="I140" s="5">
        <f>IF(A140="","",COUNTIFS('Recipe BOM'!$B:$B,A140,'Recipe BOM'!$D:$D,"&lt;&gt;"))</f>
        <v/>
      </c>
      <c r="J140" s="5">
        <f>IF(A140="","",COUNTIFS('Recipe BOM'!$B:$B,A140,'Recipe BOM'!$D:$D,"&lt;&gt;",'Recipe BOM'!$L:$L,"&lt;&gt;OK"))</f>
        <v/>
      </c>
      <c r="K140" s="5">
        <f>IF(A140="","",IF(I140=0,"No recipe",IF(J140&gt;0,"Check recipe/items",IF(D140="","Enter selling price","OK"))))</f>
        <v/>
      </c>
    </row>
    <row r="141">
      <c r="A141" s="5">
        <f>IF(Products!A141="","",Products!A141)</f>
        <v/>
      </c>
      <c r="B141" s="5">
        <f>IF(A141="","",Products!B141)</f>
        <v/>
      </c>
      <c r="C141" s="5">
        <f>IF(A141="","",Products!C141)</f>
        <v/>
      </c>
      <c r="D141" s="13">
        <f>IF(A141="","",Products!D141)</f>
        <v/>
      </c>
      <c r="E141" s="13">
        <f>IF(A141="","",SUMIFS('Recipe BOM'!$K:$K,'Recipe BOM'!$B:$B,A141))</f>
        <v/>
      </c>
      <c r="F141" s="13">
        <f>IF(OR(A141="",D141="",E141=""),"",D141-E141)</f>
        <v/>
      </c>
      <c r="G141" s="14">
        <f>IF(OR(A141="",D141="",E141=""),"",F141/D141)</f>
        <v/>
      </c>
      <c r="H141" s="14">
        <f>IF(OR(A141="",D141="",E141=""),"",E141/D141)</f>
        <v/>
      </c>
      <c r="I141" s="5">
        <f>IF(A141="","",COUNTIFS('Recipe BOM'!$B:$B,A141,'Recipe BOM'!$D:$D,"&lt;&gt;"))</f>
        <v/>
      </c>
      <c r="J141" s="5">
        <f>IF(A141="","",COUNTIFS('Recipe BOM'!$B:$B,A141,'Recipe BOM'!$D:$D,"&lt;&gt;",'Recipe BOM'!$L:$L,"&lt;&gt;OK"))</f>
        <v/>
      </c>
      <c r="K141" s="5">
        <f>IF(A141="","",IF(I141=0,"No recipe",IF(J141&gt;0,"Check recipe/items",IF(D141="","Enter selling price","OK"))))</f>
        <v/>
      </c>
    </row>
    <row r="142">
      <c r="A142" s="5">
        <f>IF(Products!A142="","",Products!A142)</f>
        <v/>
      </c>
      <c r="B142" s="5">
        <f>IF(A142="","",Products!B142)</f>
        <v/>
      </c>
      <c r="C142" s="5">
        <f>IF(A142="","",Products!C142)</f>
        <v/>
      </c>
      <c r="D142" s="13">
        <f>IF(A142="","",Products!D142)</f>
        <v/>
      </c>
      <c r="E142" s="13">
        <f>IF(A142="","",SUMIFS('Recipe BOM'!$K:$K,'Recipe BOM'!$B:$B,A142))</f>
        <v/>
      </c>
      <c r="F142" s="13">
        <f>IF(OR(A142="",D142="",E142=""),"",D142-E142)</f>
        <v/>
      </c>
      <c r="G142" s="14">
        <f>IF(OR(A142="",D142="",E142=""),"",F142/D142)</f>
        <v/>
      </c>
      <c r="H142" s="14">
        <f>IF(OR(A142="",D142="",E142=""),"",E142/D142)</f>
        <v/>
      </c>
      <c r="I142" s="5">
        <f>IF(A142="","",COUNTIFS('Recipe BOM'!$B:$B,A142,'Recipe BOM'!$D:$D,"&lt;&gt;"))</f>
        <v/>
      </c>
      <c r="J142" s="5">
        <f>IF(A142="","",COUNTIFS('Recipe BOM'!$B:$B,A142,'Recipe BOM'!$D:$D,"&lt;&gt;",'Recipe BOM'!$L:$L,"&lt;&gt;OK"))</f>
        <v/>
      </c>
      <c r="K142" s="5">
        <f>IF(A142="","",IF(I142=0,"No recipe",IF(J142&gt;0,"Check recipe/items",IF(D142="","Enter selling price","OK"))))</f>
        <v/>
      </c>
    </row>
    <row r="143">
      <c r="A143" s="5">
        <f>IF(Products!A143="","",Products!A143)</f>
        <v/>
      </c>
      <c r="B143" s="5">
        <f>IF(A143="","",Products!B143)</f>
        <v/>
      </c>
      <c r="C143" s="5">
        <f>IF(A143="","",Products!C143)</f>
        <v/>
      </c>
      <c r="D143" s="13">
        <f>IF(A143="","",Products!D143)</f>
        <v/>
      </c>
      <c r="E143" s="13">
        <f>IF(A143="","",SUMIFS('Recipe BOM'!$K:$K,'Recipe BOM'!$B:$B,A143))</f>
        <v/>
      </c>
      <c r="F143" s="13">
        <f>IF(OR(A143="",D143="",E143=""),"",D143-E143)</f>
        <v/>
      </c>
      <c r="G143" s="14">
        <f>IF(OR(A143="",D143="",E143=""),"",F143/D143)</f>
        <v/>
      </c>
      <c r="H143" s="14">
        <f>IF(OR(A143="",D143="",E143=""),"",E143/D143)</f>
        <v/>
      </c>
      <c r="I143" s="5">
        <f>IF(A143="","",COUNTIFS('Recipe BOM'!$B:$B,A143,'Recipe BOM'!$D:$D,"&lt;&gt;"))</f>
        <v/>
      </c>
      <c r="J143" s="5">
        <f>IF(A143="","",COUNTIFS('Recipe BOM'!$B:$B,A143,'Recipe BOM'!$D:$D,"&lt;&gt;",'Recipe BOM'!$L:$L,"&lt;&gt;OK"))</f>
        <v/>
      </c>
      <c r="K143" s="5">
        <f>IF(A143="","",IF(I143=0,"No recipe",IF(J143&gt;0,"Check recipe/items",IF(D143="","Enter selling price","OK"))))</f>
        <v/>
      </c>
    </row>
    <row r="144">
      <c r="A144" s="5">
        <f>IF(Products!A144="","",Products!A144)</f>
        <v/>
      </c>
      <c r="B144" s="5">
        <f>IF(A144="","",Products!B144)</f>
        <v/>
      </c>
      <c r="C144" s="5">
        <f>IF(A144="","",Products!C144)</f>
        <v/>
      </c>
      <c r="D144" s="13">
        <f>IF(A144="","",Products!D144)</f>
        <v/>
      </c>
      <c r="E144" s="13">
        <f>IF(A144="","",SUMIFS('Recipe BOM'!$K:$K,'Recipe BOM'!$B:$B,A144))</f>
        <v/>
      </c>
      <c r="F144" s="13">
        <f>IF(OR(A144="",D144="",E144=""),"",D144-E144)</f>
        <v/>
      </c>
      <c r="G144" s="14">
        <f>IF(OR(A144="",D144="",E144=""),"",F144/D144)</f>
        <v/>
      </c>
      <c r="H144" s="14">
        <f>IF(OR(A144="",D144="",E144=""),"",E144/D144)</f>
        <v/>
      </c>
      <c r="I144" s="5">
        <f>IF(A144="","",COUNTIFS('Recipe BOM'!$B:$B,A144,'Recipe BOM'!$D:$D,"&lt;&gt;"))</f>
        <v/>
      </c>
      <c r="J144" s="5">
        <f>IF(A144="","",COUNTIFS('Recipe BOM'!$B:$B,A144,'Recipe BOM'!$D:$D,"&lt;&gt;",'Recipe BOM'!$L:$L,"&lt;&gt;OK"))</f>
        <v/>
      </c>
      <c r="K144" s="5">
        <f>IF(A144="","",IF(I144=0,"No recipe",IF(J144&gt;0,"Check recipe/items",IF(D144="","Enter selling price","OK"))))</f>
        <v/>
      </c>
    </row>
    <row r="145">
      <c r="A145" s="5">
        <f>IF(Products!A145="","",Products!A145)</f>
        <v/>
      </c>
      <c r="B145" s="5">
        <f>IF(A145="","",Products!B145)</f>
        <v/>
      </c>
      <c r="C145" s="5">
        <f>IF(A145="","",Products!C145)</f>
        <v/>
      </c>
      <c r="D145" s="13">
        <f>IF(A145="","",Products!D145)</f>
        <v/>
      </c>
      <c r="E145" s="13">
        <f>IF(A145="","",SUMIFS('Recipe BOM'!$K:$K,'Recipe BOM'!$B:$B,A145))</f>
        <v/>
      </c>
      <c r="F145" s="13">
        <f>IF(OR(A145="",D145="",E145=""),"",D145-E145)</f>
        <v/>
      </c>
      <c r="G145" s="14">
        <f>IF(OR(A145="",D145="",E145=""),"",F145/D145)</f>
        <v/>
      </c>
      <c r="H145" s="14">
        <f>IF(OR(A145="",D145="",E145=""),"",E145/D145)</f>
        <v/>
      </c>
      <c r="I145" s="5">
        <f>IF(A145="","",COUNTIFS('Recipe BOM'!$B:$B,A145,'Recipe BOM'!$D:$D,"&lt;&gt;"))</f>
        <v/>
      </c>
      <c r="J145" s="5">
        <f>IF(A145="","",COUNTIFS('Recipe BOM'!$B:$B,A145,'Recipe BOM'!$D:$D,"&lt;&gt;",'Recipe BOM'!$L:$L,"&lt;&gt;OK"))</f>
        <v/>
      </c>
      <c r="K145" s="5">
        <f>IF(A145="","",IF(I145=0,"No recipe",IF(J145&gt;0,"Check recipe/items",IF(D145="","Enter selling price","OK"))))</f>
        <v/>
      </c>
    </row>
    <row r="146">
      <c r="A146" s="5">
        <f>IF(Products!A146="","",Products!A146)</f>
        <v/>
      </c>
      <c r="B146" s="5">
        <f>IF(A146="","",Products!B146)</f>
        <v/>
      </c>
      <c r="C146" s="5">
        <f>IF(A146="","",Products!C146)</f>
        <v/>
      </c>
      <c r="D146" s="13">
        <f>IF(A146="","",Products!D146)</f>
        <v/>
      </c>
      <c r="E146" s="13">
        <f>IF(A146="","",SUMIFS('Recipe BOM'!$K:$K,'Recipe BOM'!$B:$B,A146))</f>
        <v/>
      </c>
      <c r="F146" s="13">
        <f>IF(OR(A146="",D146="",E146=""),"",D146-E146)</f>
        <v/>
      </c>
      <c r="G146" s="14">
        <f>IF(OR(A146="",D146="",E146=""),"",F146/D146)</f>
        <v/>
      </c>
      <c r="H146" s="14">
        <f>IF(OR(A146="",D146="",E146=""),"",E146/D146)</f>
        <v/>
      </c>
      <c r="I146" s="5">
        <f>IF(A146="","",COUNTIFS('Recipe BOM'!$B:$B,A146,'Recipe BOM'!$D:$D,"&lt;&gt;"))</f>
        <v/>
      </c>
      <c r="J146" s="5">
        <f>IF(A146="","",COUNTIFS('Recipe BOM'!$B:$B,A146,'Recipe BOM'!$D:$D,"&lt;&gt;",'Recipe BOM'!$L:$L,"&lt;&gt;OK"))</f>
        <v/>
      </c>
      <c r="K146" s="5">
        <f>IF(A146="","",IF(I146=0,"No recipe",IF(J146&gt;0,"Check recipe/items",IF(D146="","Enter selling price","OK"))))</f>
        <v/>
      </c>
    </row>
    <row r="147">
      <c r="A147" s="5">
        <f>IF(Products!A147="","",Products!A147)</f>
        <v/>
      </c>
      <c r="B147" s="5">
        <f>IF(A147="","",Products!B147)</f>
        <v/>
      </c>
      <c r="C147" s="5">
        <f>IF(A147="","",Products!C147)</f>
        <v/>
      </c>
      <c r="D147" s="13">
        <f>IF(A147="","",Products!D147)</f>
        <v/>
      </c>
      <c r="E147" s="13">
        <f>IF(A147="","",SUMIFS('Recipe BOM'!$K:$K,'Recipe BOM'!$B:$B,A147))</f>
        <v/>
      </c>
      <c r="F147" s="13">
        <f>IF(OR(A147="",D147="",E147=""),"",D147-E147)</f>
        <v/>
      </c>
      <c r="G147" s="14">
        <f>IF(OR(A147="",D147="",E147=""),"",F147/D147)</f>
        <v/>
      </c>
      <c r="H147" s="14">
        <f>IF(OR(A147="",D147="",E147=""),"",E147/D147)</f>
        <v/>
      </c>
      <c r="I147" s="5">
        <f>IF(A147="","",COUNTIFS('Recipe BOM'!$B:$B,A147,'Recipe BOM'!$D:$D,"&lt;&gt;"))</f>
        <v/>
      </c>
      <c r="J147" s="5">
        <f>IF(A147="","",COUNTIFS('Recipe BOM'!$B:$B,A147,'Recipe BOM'!$D:$D,"&lt;&gt;",'Recipe BOM'!$L:$L,"&lt;&gt;OK"))</f>
        <v/>
      </c>
      <c r="K147" s="5">
        <f>IF(A147="","",IF(I147=0,"No recipe",IF(J147&gt;0,"Check recipe/items",IF(D147="","Enter selling price","OK"))))</f>
        <v/>
      </c>
    </row>
    <row r="148">
      <c r="A148" s="5">
        <f>IF(Products!A148="","",Products!A148)</f>
        <v/>
      </c>
      <c r="B148" s="5">
        <f>IF(A148="","",Products!B148)</f>
        <v/>
      </c>
      <c r="C148" s="5">
        <f>IF(A148="","",Products!C148)</f>
        <v/>
      </c>
      <c r="D148" s="13">
        <f>IF(A148="","",Products!D148)</f>
        <v/>
      </c>
      <c r="E148" s="13">
        <f>IF(A148="","",SUMIFS('Recipe BOM'!$K:$K,'Recipe BOM'!$B:$B,A148))</f>
        <v/>
      </c>
      <c r="F148" s="13">
        <f>IF(OR(A148="",D148="",E148=""),"",D148-E148)</f>
        <v/>
      </c>
      <c r="G148" s="14">
        <f>IF(OR(A148="",D148="",E148=""),"",F148/D148)</f>
        <v/>
      </c>
      <c r="H148" s="14">
        <f>IF(OR(A148="",D148="",E148=""),"",E148/D148)</f>
        <v/>
      </c>
      <c r="I148" s="5">
        <f>IF(A148="","",COUNTIFS('Recipe BOM'!$B:$B,A148,'Recipe BOM'!$D:$D,"&lt;&gt;"))</f>
        <v/>
      </c>
      <c r="J148" s="5">
        <f>IF(A148="","",COUNTIFS('Recipe BOM'!$B:$B,A148,'Recipe BOM'!$D:$D,"&lt;&gt;",'Recipe BOM'!$L:$L,"&lt;&gt;OK"))</f>
        <v/>
      </c>
      <c r="K148" s="5">
        <f>IF(A148="","",IF(I148=0,"No recipe",IF(J148&gt;0,"Check recipe/items",IF(D148="","Enter selling price","OK"))))</f>
        <v/>
      </c>
    </row>
    <row r="149">
      <c r="A149" s="5">
        <f>IF(Products!A149="","",Products!A149)</f>
        <v/>
      </c>
      <c r="B149" s="5">
        <f>IF(A149="","",Products!B149)</f>
        <v/>
      </c>
      <c r="C149" s="5">
        <f>IF(A149="","",Products!C149)</f>
        <v/>
      </c>
      <c r="D149" s="13">
        <f>IF(A149="","",Products!D149)</f>
        <v/>
      </c>
      <c r="E149" s="13">
        <f>IF(A149="","",SUMIFS('Recipe BOM'!$K:$K,'Recipe BOM'!$B:$B,A149))</f>
        <v/>
      </c>
      <c r="F149" s="13">
        <f>IF(OR(A149="",D149="",E149=""),"",D149-E149)</f>
        <v/>
      </c>
      <c r="G149" s="14">
        <f>IF(OR(A149="",D149="",E149=""),"",F149/D149)</f>
        <v/>
      </c>
      <c r="H149" s="14">
        <f>IF(OR(A149="",D149="",E149=""),"",E149/D149)</f>
        <v/>
      </c>
      <c r="I149" s="5">
        <f>IF(A149="","",COUNTIFS('Recipe BOM'!$B:$B,A149,'Recipe BOM'!$D:$D,"&lt;&gt;"))</f>
        <v/>
      </c>
      <c r="J149" s="5">
        <f>IF(A149="","",COUNTIFS('Recipe BOM'!$B:$B,A149,'Recipe BOM'!$D:$D,"&lt;&gt;",'Recipe BOM'!$L:$L,"&lt;&gt;OK"))</f>
        <v/>
      </c>
      <c r="K149" s="5">
        <f>IF(A149="","",IF(I149=0,"No recipe",IF(J149&gt;0,"Check recipe/items",IF(D149="","Enter selling price","OK"))))</f>
        <v/>
      </c>
    </row>
    <row r="150">
      <c r="A150" s="5">
        <f>IF(Products!A150="","",Products!A150)</f>
        <v/>
      </c>
      <c r="B150" s="5">
        <f>IF(A150="","",Products!B150)</f>
        <v/>
      </c>
      <c r="C150" s="5">
        <f>IF(A150="","",Products!C150)</f>
        <v/>
      </c>
      <c r="D150" s="13">
        <f>IF(A150="","",Products!D150)</f>
        <v/>
      </c>
      <c r="E150" s="13">
        <f>IF(A150="","",SUMIFS('Recipe BOM'!$K:$K,'Recipe BOM'!$B:$B,A150))</f>
        <v/>
      </c>
      <c r="F150" s="13">
        <f>IF(OR(A150="",D150="",E150=""),"",D150-E150)</f>
        <v/>
      </c>
      <c r="G150" s="14">
        <f>IF(OR(A150="",D150="",E150=""),"",F150/D150)</f>
        <v/>
      </c>
      <c r="H150" s="14">
        <f>IF(OR(A150="",D150="",E150=""),"",E150/D150)</f>
        <v/>
      </c>
      <c r="I150" s="5">
        <f>IF(A150="","",COUNTIFS('Recipe BOM'!$B:$B,A150,'Recipe BOM'!$D:$D,"&lt;&gt;"))</f>
        <v/>
      </c>
      <c r="J150" s="5">
        <f>IF(A150="","",COUNTIFS('Recipe BOM'!$B:$B,A150,'Recipe BOM'!$D:$D,"&lt;&gt;",'Recipe BOM'!$L:$L,"&lt;&gt;OK"))</f>
        <v/>
      </c>
      <c r="K150" s="5">
        <f>IF(A150="","",IF(I150=0,"No recipe",IF(J150&gt;0,"Check recipe/items",IF(D150="","Enter selling price","OK"))))</f>
        <v/>
      </c>
    </row>
    <row r="151">
      <c r="A151" s="5">
        <f>IF(Products!A151="","",Products!A151)</f>
        <v/>
      </c>
      <c r="B151" s="5">
        <f>IF(A151="","",Products!B151)</f>
        <v/>
      </c>
      <c r="C151" s="5">
        <f>IF(A151="","",Products!C151)</f>
        <v/>
      </c>
      <c r="D151" s="13">
        <f>IF(A151="","",Products!D151)</f>
        <v/>
      </c>
      <c r="E151" s="13">
        <f>IF(A151="","",SUMIFS('Recipe BOM'!$K:$K,'Recipe BOM'!$B:$B,A151))</f>
        <v/>
      </c>
      <c r="F151" s="13">
        <f>IF(OR(A151="",D151="",E151=""),"",D151-E151)</f>
        <v/>
      </c>
      <c r="G151" s="14">
        <f>IF(OR(A151="",D151="",E151=""),"",F151/D151)</f>
        <v/>
      </c>
      <c r="H151" s="14">
        <f>IF(OR(A151="",D151="",E151=""),"",E151/D151)</f>
        <v/>
      </c>
      <c r="I151" s="5">
        <f>IF(A151="","",COUNTIFS('Recipe BOM'!$B:$B,A151,'Recipe BOM'!$D:$D,"&lt;&gt;"))</f>
        <v/>
      </c>
      <c r="J151" s="5">
        <f>IF(A151="","",COUNTIFS('Recipe BOM'!$B:$B,A151,'Recipe BOM'!$D:$D,"&lt;&gt;",'Recipe BOM'!$L:$L,"&lt;&gt;OK"))</f>
        <v/>
      </c>
      <c r="K151" s="5">
        <f>IF(A151="","",IF(I151=0,"No recipe",IF(J151&gt;0,"Check recipe/items",IF(D151="","Enter selling price","OK"))))</f>
        <v/>
      </c>
    </row>
    <row r="152">
      <c r="A152" s="5">
        <f>IF(Products!A152="","",Products!A152)</f>
        <v/>
      </c>
      <c r="B152" s="5">
        <f>IF(A152="","",Products!B152)</f>
        <v/>
      </c>
      <c r="C152" s="5">
        <f>IF(A152="","",Products!C152)</f>
        <v/>
      </c>
      <c r="D152" s="13">
        <f>IF(A152="","",Products!D152)</f>
        <v/>
      </c>
      <c r="E152" s="13">
        <f>IF(A152="","",SUMIFS('Recipe BOM'!$K:$K,'Recipe BOM'!$B:$B,A152))</f>
        <v/>
      </c>
      <c r="F152" s="13">
        <f>IF(OR(A152="",D152="",E152=""),"",D152-E152)</f>
        <v/>
      </c>
      <c r="G152" s="14">
        <f>IF(OR(A152="",D152="",E152=""),"",F152/D152)</f>
        <v/>
      </c>
      <c r="H152" s="14">
        <f>IF(OR(A152="",D152="",E152=""),"",E152/D152)</f>
        <v/>
      </c>
      <c r="I152" s="5">
        <f>IF(A152="","",COUNTIFS('Recipe BOM'!$B:$B,A152,'Recipe BOM'!$D:$D,"&lt;&gt;"))</f>
        <v/>
      </c>
      <c r="J152" s="5">
        <f>IF(A152="","",COUNTIFS('Recipe BOM'!$B:$B,A152,'Recipe BOM'!$D:$D,"&lt;&gt;",'Recipe BOM'!$L:$L,"&lt;&gt;OK"))</f>
        <v/>
      </c>
      <c r="K152" s="5">
        <f>IF(A152="","",IF(I152=0,"No recipe",IF(J152&gt;0,"Check recipe/items",IF(D152="","Enter selling price","OK"))))</f>
        <v/>
      </c>
    </row>
    <row r="153">
      <c r="A153" s="5">
        <f>IF(Products!A153="","",Products!A153)</f>
        <v/>
      </c>
      <c r="B153" s="5">
        <f>IF(A153="","",Products!B153)</f>
        <v/>
      </c>
      <c r="C153" s="5">
        <f>IF(A153="","",Products!C153)</f>
        <v/>
      </c>
      <c r="D153" s="13">
        <f>IF(A153="","",Products!D153)</f>
        <v/>
      </c>
      <c r="E153" s="13">
        <f>IF(A153="","",SUMIFS('Recipe BOM'!$K:$K,'Recipe BOM'!$B:$B,A153))</f>
        <v/>
      </c>
      <c r="F153" s="13">
        <f>IF(OR(A153="",D153="",E153=""),"",D153-E153)</f>
        <v/>
      </c>
      <c r="G153" s="14">
        <f>IF(OR(A153="",D153="",E153=""),"",F153/D153)</f>
        <v/>
      </c>
      <c r="H153" s="14">
        <f>IF(OR(A153="",D153="",E153=""),"",E153/D153)</f>
        <v/>
      </c>
      <c r="I153" s="5">
        <f>IF(A153="","",COUNTIFS('Recipe BOM'!$B:$B,A153,'Recipe BOM'!$D:$D,"&lt;&gt;"))</f>
        <v/>
      </c>
      <c r="J153" s="5">
        <f>IF(A153="","",COUNTIFS('Recipe BOM'!$B:$B,A153,'Recipe BOM'!$D:$D,"&lt;&gt;",'Recipe BOM'!$L:$L,"&lt;&gt;OK"))</f>
        <v/>
      </c>
      <c r="K153" s="5">
        <f>IF(A153="","",IF(I153=0,"No recipe",IF(J153&gt;0,"Check recipe/items",IF(D153="","Enter selling price","OK"))))</f>
        <v/>
      </c>
    </row>
    <row r="154">
      <c r="A154" s="5">
        <f>IF(Products!A154="","",Products!A154)</f>
        <v/>
      </c>
      <c r="B154" s="5">
        <f>IF(A154="","",Products!B154)</f>
        <v/>
      </c>
      <c r="C154" s="5">
        <f>IF(A154="","",Products!C154)</f>
        <v/>
      </c>
      <c r="D154" s="13">
        <f>IF(A154="","",Products!D154)</f>
        <v/>
      </c>
      <c r="E154" s="13">
        <f>IF(A154="","",SUMIFS('Recipe BOM'!$K:$K,'Recipe BOM'!$B:$B,A154))</f>
        <v/>
      </c>
      <c r="F154" s="13">
        <f>IF(OR(A154="",D154="",E154=""),"",D154-E154)</f>
        <v/>
      </c>
      <c r="G154" s="14">
        <f>IF(OR(A154="",D154="",E154=""),"",F154/D154)</f>
        <v/>
      </c>
      <c r="H154" s="14">
        <f>IF(OR(A154="",D154="",E154=""),"",E154/D154)</f>
        <v/>
      </c>
      <c r="I154" s="5">
        <f>IF(A154="","",COUNTIFS('Recipe BOM'!$B:$B,A154,'Recipe BOM'!$D:$D,"&lt;&gt;"))</f>
        <v/>
      </c>
      <c r="J154" s="5">
        <f>IF(A154="","",COUNTIFS('Recipe BOM'!$B:$B,A154,'Recipe BOM'!$D:$D,"&lt;&gt;",'Recipe BOM'!$L:$L,"&lt;&gt;OK"))</f>
        <v/>
      </c>
      <c r="K154" s="5">
        <f>IF(A154="","",IF(I154=0,"No recipe",IF(J154&gt;0,"Check recipe/items",IF(D154="","Enter selling price","OK"))))</f>
        <v/>
      </c>
    </row>
    <row r="155">
      <c r="A155" s="5">
        <f>IF(Products!A155="","",Products!A155)</f>
        <v/>
      </c>
      <c r="B155" s="5">
        <f>IF(A155="","",Products!B155)</f>
        <v/>
      </c>
      <c r="C155" s="5">
        <f>IF(A155="","",Products!C155)</f>
        <v/>
      </c>
      <c r="D155" s="13">
        <f>IF(A155="","",Products!D155)</f>
        <v/>
      </c>
      <c r="E155" s="13">
        <f>IF(A155="","",SUMIFS('Recipe BOM'!$K:$K,'Recipe BOM'!$B:$B,A155))</f>
        <v/>
      </c>
      <c r="F155" s="13">
        <f>IF(OR(A155="",D155="",E155=""),"",D155-E155)</f>
        <v/>
      </c>
      <c r="G155" s="14">
        <f>IF(OR(A155="",D155="",E155=""),"",F155/D155)</f>
        <v/>
      </c>
      <c r="H155" s="14">
        <f>IF(OR(A155="",D155="",E155=""),"",E155/D155)</f>
        <v/>
      </c>
      <c r="I155" s="5">
        <f>IF(A155="","",COUNTIFS('Recipe BOM'!$B:$B,A155,'Recipe BOM'!$D:$D,"&lt;&gt;"))</f>
        <v/>
      </c>
      <c r="J155" s="5">
        <f>IF(A155="","",COUNTIFS('Recipe BOM'!$B:$B,A155,'Recipe BOM'!$D:$D,"&lt;&gt;",'Recipe BOM'!$L:$L,"&lt;&gt;OK"))</f>
        <v/>
      </c>
      <c r="K155" s="5">
        <f>IF(A155="","",IF(I155=0,"No recipe",IF(J155&gt;0,"Check recipe/items",IF(D155="","Enter selling price","OK"))))</f>
        <v/>
      </c>
    </row>
    <row r="156">
      <c r="A156" s="5">
        <f>IF(Products!A156="","",Products!A156)</f>
        <v/>
      </c>
      <c r="B156" s="5">
        <f>IF(A156="","",Products!B156)</f>
        <v/>
      </c>
      <c r="C156" s="5">
        <f>IF(A156="","",Products!C156)</f>
        <v/>
      </c>
      <c r="D156" s="13">
        <f>IF(A156="","",Products!D156)</f>
        <v/>
      </c>
      <c r="E156" s="13">
        <f>IF(A156="","",SUMIFS('Recipe BOM'!$K:$K,'Recipe BOM'!$B:$B,A156))</f>
        <v/>
      </c>
      <c r="F156" s="13">
        <f>IF(OR(A156="",D156="",E156=""),"",D156-E156)</f>
        <v/>
      </c>
      <c r="G156" s="14">
        <f>IF(OR(A156="",D156="",E156=""),"",F156/D156)</f>
        <v/>
      </c>
      <c r="H156" s="14">
        <f>IF(OR(A156="",D156="",E156=""),"",E156/D156)</f>
        <v/>
      </c>
      <c r="I156" s="5">
        <f>IF(A156="","",COUNTIFS('Recipe BOM'!$B:$B,A156,'Recipe BOM'!$D:$D,"&lt;&gt;"))</f>
        <v/>
      </c>
      <c r="J156" s="5">
        <f>IF(A156="","",COUNTIFS('Recipe BOM'!$B:$B,A156,'Recipe BOM'!$D:$D,"&lt;&gt;",'Recipe BOM'!$L:$L,"&lt;&gt;OK"))</f>
        <v/>
      </c>
      <c r="K156" s="5">
        <f>IF(A156="","",IF(I156=0,"No recipe",IF(J156&gt;0,"Check recipe/items",IF(D156="","Enter selling price","OK"))))</f>
        <v/>
      </c>
    </row>
    <row r="157">
      <c r="A157" s="5">
        <f>IF(Products!A157="","",Products!A157)</f>
        <v/>
      </c>
      <c r="B157" s="5">
        <f>IF(A157="","",Products!B157)</f>
        <v/>
      </c>
      <c r="C157" s="5">
        <f>IF(A157="","",Products!C157)</f>
        <v/>
      </c>
      <c r="D157" s="13">
        <f>IF(A157="","",Products!D157)</f>
        <v/>
      </c>
      <c r="E157" s="13">
        <f>IF(A157="","",SUMIFS('Recipe BOM'!$K:$K,'Recipe BOM'!$B:$B,A157))</f>
        <v/>
      </c>
      <c r="F157" s="13">
        <f>IF(OR(A157="",D157="",E157=""),"",D157-E157)</f>
        <v/>
      </c>
      <c r="G157" s="14">
        <f>IF(OR(A157="",D157="",E157=""),"",F157/D157)</f>
        <v/>
      </c>
      <c r="H157" s="14">
        <f>IF(OR(A157="",D157="",E157=""),"",E157/D157)</f>
        <v/>
      </c>
      <c r="I157" s="5">
        <f>IF(A157="","",COUNTIFS('Recipe BOM'!$B:$B,A157,'Recipe BOM'!$D:$D,"&lt;&gt;"))</f>
        <v/>
      </c>
      <c r="J157" s="5">
        <f>IF(A157="","",COUNTIFS('Recipe BOM'!$B:$B,A157,'Recipe BOM'!$D:$D,"&lt;&gt;",'Recipe BOM'!$L:$L,"&lt;&gt;OK"))</f>
        <v/>
      </c>
      <c r="K157" s="5">
        <f>IF(A157="","",IF(I157=0,"No recipe",IF(J157&gt;0,"Check recipe/items",IF(D157="","Enter selling price","OK"))))</f>
        <v/>
      </c>
    </row>
    <row r="158">
      <c r="A158" s="5">
        <f>IF(Products!A158="","",Products!A158)</f>
        <v/>
      </c>
      <c r="B158" s="5">
        <f>IF(A158="","",Products!B158)</f>
        <v/>
      </c>
      <c r="C158" s="5">
        <f>IF(A158="","",Products!C158)</f>
        <v/>
      </c>
      <c r="D158" s="13">
        <f>IF(A158="","",Products!D158)</f>
        <v/>
      </c>
      <c r="E158" s="13">
        <f>IF(A158="","",SUMIFS('Recipe BOM'!$K:$K,'Recipe BOM'!$B:$B,A158))</f>
        <v/>
      </c>
      <c r="F158" s="13">
        <f>IF(OR(A158="",D158="",E158=""),"",D158-E158)</f>
        <v/>
      </c>
      <c r="G158" s="14">
        <f>IF(OR(A158="",D158="",E158=""),"",F158/D158)</f>
        <v/>
      </c>
      <c r="H158" s="14">
        <f>IF(OR(A158="",D158="",E158=""),"",E158/D158)</f>
        <v/>
      </c>
      <c r="I158" s="5">
        <f>IF(A158="","",COUNTIFS('Recipe BOM'!$B:$B,A158,'Recipe BOM'!$D:$D,"&lt;&gt;"))</f>
        <v/>
      </c>
      <c r="J158" s="5">
        <f>IF(A158="","",COUNTIFS('Recipe BOM'!$B:$B,A158,'Recipe BOM'!$D:$D,"&lt;&gt;",'Recipe BOM'!$L:$L,"&lt;&gt;OK"))</f>
        <v/>
      </c>
      <c r="K158" s="5">
        <f>IF(A158="","",IF(I158=0,"No recipe",IF(J158&gt;0,"Check recipe/items",IF(D158="","Enter selling price","OK"))))</f>
        <v/>
      </c>
    </row>
    <row r="159">
      <c r="A159" s="5">
        <f>IF(Products!A159="","",Products!A159)</f>
        <v/>
      </c>
      <c r="B159" s="5">
        <f>IF(A159="","",Products!B159)</f>
        <v/>
      </c>
      <c r="C159" s="5">
        <f>IF(A159="","",Products!C159)</f>
        <v/>
      </c>
      <c r="D159" s="13">
        <f>IF(A159="","",Products!D159)</f>
        <v/>
      </c>
      <c r="E159" s="13">
        <f>IF(A159="","",SUMIFS('Recipe BOM'!$K:$K,'Recipe BOM'!$B:$B,A159))</f>
        <v/>
      </c>
      <c r="F159" s="13">
        <f>IF(OR(A159="",D159="",E159=""),"",D159-E159)</f>
        <v/>
      </c>
      <c r="G159" s="14">
        <f>IF(OR(A159="",D159="",E159=""),"",F159/D159)</f>
        <v/>
      </c>
      <c r="H159" s="14">
        <f>IF(OR(A159="",D159="",E159=""),"",E159/D159)</f>
        <v/>
      </c>
      <c r="I159" s="5">
        <f>IF(A159="","",COUNTIFS('Recipe BOM'!$B:$B,A159,'Recipe BOM'!$D:$D,"&lt;&gt;"))</f>
        <v/>
      </c>
      <c r="J159" s="5">
        <f>IF(A159="","",COUNTIFS('Recipe BOM'!$B:$B,A159,'Recipe BOM'!$D:$D,"&lt;&gt;",'Recipe BOM'!$L:$L,"&lt;&gt;OK"))</f>
        <v/>
      </c>
      <c r="K159" s="5">
        <f>IF(A159="","",IF(I159=0,"No recipe",IF(J159&gt;0,"Check recipe/items",IF(D159="","Enter selling price","OK"))))</f>
        <v/>
      </c>
    </row>
    <row r="160">
      <c r="A160" s="5">
        <f>IF(Products!A160="","",Products!A160)</f>
        <v/>
      </c>
      <c r="B160" s="5">
        <f>IF(A160="","",Products!B160)</f>
        <v/>
      </c>
      <c r="C160" s="5">
        <f>IF(A160="","",Products!C160)</f>
        <v/>
      </c>
      <c r="D160" s="13">
        <f>IF(A160="","",Products!D160)</f>
        <v/>
      </c>
      <c r="E160" s="13">
        <f>IF(A160="","",SUMIFS('Recipe BOM'!$K:$K,'Recipe BOM'!$B:$B,A160))</f>
        <v/>
      </c>
      <c r="F160" s="13">
        <f>IF(OR(A160="",D160="",E160=""),"",D160-E160)</f>
        <v/>
      </c>
      <c r="G160" s="14">
        <f>IF(OR(A160="",D160="",E160=""),"",F160/D160)</f>
        <v/>
      </c>
      <c r="H160" s="14">
        <f>IF(OR(A160="",D160="",E160=""),"",E160/D160)</f>
        <v/>
      </c>
      <c r="I160" s="5">
        <f>IF(A160="","",COUNTIFS('Recipe BOM'!$B:$B,A160,'Recipe BOM'!$D:$D,"&lt;&gt;"))</f>
        <v/>
      </c>
      <c r="J160" s="5">
        <f>IF(A160="","",COUNTIFS('Recipe BOM'!$B:$B,A160,'Recipe BOM'!$D:$D,"&lt;&gt;",'Recipe BOM'!$L:$L,"&lt;&gt;OK"))</f>
        <v/>
      </c>
      <c r="K160" s="5">
        <f>IF(A160="","",IF(I160=0,"No recipe",IF(J160&gt;0,"Check recipe/items",IF(D160="","Enter selling price","OK"))))</f>
        <v/>
      </c>
    </row>
    <row r="161">
      <c r="A161" s="5">
        <f>IF(Products!A161="","",Products!A161)</f>
        <v/>
      </c>
      <c r="B161" s="5">
        <f>IF(A161="","",Products!B161)</f>
        <v/>
      </c>
      <c r="C161" s="5">
        <f>IF(A161="","",Products!C161)</f>
        <v/>
      </c>
      <c r="D161" s="13">
        <f>IF(A161="","",Products!D161)</f>
        <v/>
      </c>
      <c r="E161" s="13">
        <f>IF(A161="","",SUMIFS('Recipe BOM'!$K:$K,'Recipe BOM'!$B:$B,A161))</f>
        <v/>
      </c>
      <c r="F161" s="13">
        <f>IF(OR(A161="",D161="",E161=""),"",D161-E161)</f>
        <v/>
      </c>
      <c r="G161" s="14">
        <f>IF(OR(A161="",D161="",E161=""),"",F161/D161)</f>
        <v/>
      </c>
      <c r="H161" s="14">
        <f>IF(OR(A161="",D161="",E161=""),"",E161/D161)</f>
        <v/>
      </c>
      <c r="I161" s="5">
        <f>IF(A161="","",COUNTIFS('Recipe BOM'!$B:$B,A161,'Recipe BOM'!$D:$D,"&lt;&gt;"))</f>
        <v/>
      </c>
      <c r="J161" s="5">
        <f>IF(A161="","",COUNTIFS('Recipe BOM'!$B:$B,A161,'Recipe BOM'!$D:$D,"&lt;&gt;",'Recipe BOM'!$L:$L,"&lt;&gt;OK"))</f>
        <v/>
      </c>
      <c r="K161" s="5">
        <f>IF(A161="","",IF(I161=0,"No recipe",IF(J161&gt;0,"Check recipe/items",IF(D161="","Enter selling price","OK"))))</f>
        <v/>
      </c>
    </row>
    <row r="162">
      <c r="A162" s="5">
        <f>IF(Products!A162="","",Products!A162)</f>
        <v/>
      </c>
      <c r="B162" s="5">
        <f>IF(A162="","",Products!B162)</f>
        <v/>
      </c>
      <c r="C162" s="5">
        <f>IF(A162="","",Products!C162)</f>
        <v/>
      </c>
      <c r="D162" s="13">
        <f>IF(A162="","",Products!D162)</f>
        <v/>
      </c>
      <c r="E162" s="13">
        <f>IF(A162="","",SUMIFS('Recipe BOM'!$K:$K,'Recipe BOM'!$B:$B,A162))</f>
        <v/>
      </c>
      <c r="F162" s="13">
        <f>IF(OR(A162="",D162="",E162=""),"",D162-E162)</f>
        <v/>
      </c>
      <c r="G162" s="14">
        <f>IF(OR(A162="",D162="",E162=""),"",F162/D162)</f>
        <v/>
      </c>
      <c r="H162" s="14">
        <f>IF(OR(A162="",D162="",E162=""),"",E162/D162)</f>
        <v/>
      </c>
      <c r="I162" s="5">
        <f>IF(A162="","",COUNTIFS('Recipe BOM'!$B:$B,A162,'Recipe BOM'!$D:$D,"&lt;&gt;"))</f>
        <v/>
      </c>
      <c r="J162" s="5">
        <f>IF(A162="","",COUNTIFS('Recipe BOM'!$B:$B,A162,'Recipe BOM'!$D:$D,"&lt;&gt;",'Recipe BOM'!$L:$L,"&lt;&gt;OK"))</f>
        <v/>
      </c>
      <c r="K162" s="5">
        <f>IF(A162="","",IF(I162=0,"No recipe",IF(J162&gt;0,"Check recipe/items",IF(D162="","Enter selling price","OK"))))</f>
        <v/>
      </c>
    </row>
    <row r="163">
      <c r="A163" s="5">
        <f>IF(Products!A163="","",Products!A163)</f>
        <v/>
      </c>
      <c r="B163" s="5">
        <f>IF(A163="","",Products!B163)</f>
        <v/>
      </c>
      <c r="C163" s="5">
        <f>IF(A163="","",Products!C163)</f>
        <v/>
      </c>
      <c r="D163" s="13">
        <f>IF(A163="","",Products!D163)</f>
        <v/>
      </c>
      <c r="E163" s="13">
        <f>IF(A163="","",SUMIFS('Recipe BOM'!$K:$K,'Recipe BOM'!$B:$B,A163))</f>
        <v/>
      </c>
      <c r="F163" s="13">
        <f>IF(OR(A163="",D163="",E163=""),"",D163-E163)</f>
        <v/>
      </c>
      <c r="G163" s="14">
        <f>IF(OR(A163="",D163="",E163=""),"",F163/D163)</f>
        <v/>
      </c>
      <c r="H163" s="14">
        <f>IF(OR(A163="",D163="",E163=""),"",E163/D163)</f>
        <v/>
      </c>
      <c r="I163" s="5">
        <f>IF(A163="","",COUNTIFS('Recipe BOM'!$B:$B,A163,'Recipe BOM'!$D:$D,"&lt;&gt;"))</f>
        <v/>
      </c>
      <c r="J163" s="5">
        <f>IF(A163="","",COUNTIFS('Recipe BOM'!$B:$B,A163,'Recipe BOM'!$D:$D,"&lt;&gt;",'Recipe BOM'!$L:$L,"&lt;&gt;OK"))</f>
        <v/>
      </c>
      <c r="K163" s="5">
        <f>IF(A163="","",IF(I163=0,"No recipe",IF(J163&gt;0,"Check recipe/items",IF(D163="","Enter selling price","OK"))))</f>
        <v/>
      </c>
    </row>
    <row r="164">
      <c r="A164" s="5">
        <f>IF(Products!A164="","",Products!A164)</f>
        <v/>
      </c>
      <c r="B164" s="5">
        <f>IF(A164="","",Products!B164)</f>
        <v/>
      </c>
      <c r="C164" s="5">
        <f>IF(A164="","",Products!C164)</f>
        <v/>
      </c>
      <c r="D164" s="13">
        <f>IF(A164="","",Products!D164)</f>
        <v/>
      </c>
      <c r="E164" s="13">
        <f>IF(A164="","",SUMIFS('Recipe BOM'!$K:$K,'Recipe BOM'!$B:$B,A164))</f>
        <v/>
      </c>
      <c r="F164" s="13">
        <f>IF(OR(A164="",D164="",E164=""),"",D164-E164)</f>
        <v/>
      </c>
      <c r="G164" s="14">
        <f>IF(OR(A164="",D164="",E164=""),"",F164/D164)</f>
        <v/>
      </c>
      <c r="H164" s="14">
        <f>IF(OR(A164="",D164="",E164=""),"",E164/D164)</f>
        <v/>
      </c>
      <c r="I164" s="5">
        <f>IF(A164="","",COUNTIFS('Recipe BOM'!$B:$B,A164,'Recipe BOM'!$D:$D,"&lt;&gt;"))</f>
        <v/>
      </c>
      <c r="J164" s="5">
        <f>IF(A164="","",COUNTIFS('Recipe BOM'!$B:$B,A164,'Recipe BOM'!$D:$D,"&lt;&gt;",'Recipe BOM'!$L:$L,"&lt;&gt;OK"))</f>
        <v/>
      </c>
      <c r="K164" s="5">
        <f>IF(A164="","",IF(I164=0,"No recipe",IF(J164&gt;0,"Check recipe/items",IF(D164="","Enter selling price","OK"))))</f>
        <v/>
      </c>
    </row>
    <row r="165">
      <c r="A165" s="5">
        <f>IF(Products!A165="","",Products!A165)</f>
        <v/>
      </c>
      <c r="B165" s="5">
        <f>IF(A165="","",Products!B165)</f>
        <v/>
      </c>
      <c r="C165" s="5">
        <f>IF(A165="","",Products!C165)</f>
        <v/>
      </c>
      <c r="D165" s="13">
        <f>IF(A165="","",Products!D165)</f>
        <v/>
      </c>
      <c r="E165" s="13">
        <f>IF(A165="","",SUMIFS('Recipe BOM'!$K:$K,'Recipe BOM'!$B:$B,A165))</f>
        <v/>
      </c>
      <c r="F165" s="13">
        <f>IF(OR(A165="",D165="",E165=""),"",D165-E165)</f>
        <v/>
      </c>
      <c r="G165" s="14">
        <f>IF(OR(A165="",D165="",E165=""),"",F165/D165)</f>
        <v/>
      </c>
      <c r="H165" s="14">
        <f>IF(OR(A165="",D165="",E165=""),"",E165/D165)</f>
        <v/>
      </c>
      <c r="I165" s="5">
        <f>IF(A165="","",COUNTIFS('Recipe BOM'!$B:$B,A165,'Recipe BOM'!$D:$D,"&lt;&gt;"))</f>
        <v/>
      </c>
      <c r="J165" s="5">
        <f>IF(A165="","",COUNTIFS('Recipe BOM'!$B:$B,A165,'Recipe BOM'!$D:$D,"&lt;&gt;",'Recipe BOM'!$L:$L,"&lt;&gt;OK"))</f>
        <v/>
      </c>
      <c r="K165" s="5">
        <f>IF(A165="","",IF(I165=0,"No recipe",IF(J165&gt;0,"Check recipe/items",IF(D165="","Enter selling price","OK"))))</f>
        <v/>
      </c>
    </row>
    <row r="166">
      <c r="A166" s="5">
        <f>IF(Products!A166="","",Products!A166)</f>
        <v/>
      </c>
      <c r="B166" s="5">
        <f>IF(A166="","",Products!B166)</f>
        <v/>
      </c>
      <c r="C166" s="5">
        <f>IF(A166="","",Products!C166)</f>
        <v/>
      </c>
      <c r="D166" s="13">
        <f>IF(A166="","",Products!D166)</f>
        <v/>
      </c>
      <c r="E166" s="13">
        <f>IF(A166="","",SUMIFS('Recipe BOM'!$K:$K,'Recipe BOM'!$B:$B,A166))</f>
        <v/>
      </c>
      <c r="F166" s="13">
        <f>IF(OR(A166="",D166="",E166=""),"",D166-E166)</f>
        <v/>
      </c>
      <c r="G166" s="14">
        <f>IF(OR(A166="",D166="",E166=""),"",F166/D166)</f>
        <v/>
      </c>
      <c r="H166" s="14">
        <f>IF(OR(A166="",D166="",E166=""),"",E166/D166)</f>
        <v/>
      </c>
      <c r="I166" s="5">
        <f>IF(A166="","",COUNTIFS('Recipe BOM'!$B:$B,A166,'Recipe BOM'!$D:$D,"&lt;&gt;"))</f>
        <v/>
      </c>
      <c r="J166" s="5">
        <f>IF(A166="","",COUNTIFS('Recipe BOM'!$B:$B,A166,'Recipe BOM'!$D:$D,"&lt;&gt;",'Recipe BOM'!$L:$L,"&lt;&gt;OK"))</f>
        <v/>
      </c>
      <c r="K166" s="5">
        <f>IF(A166="","",IF(I166=0,"No recipe",IF(J166&gt;0,"Check recipe/items",IF(D166="","Enter selling price","OK"))))</f>
        <v/>
      </c>
    </row>
    <row r="167">
      <c r="A167" s="5">
        <f>IF(Products!A167="","",Products!A167)</f>
        <v/>
      </c>
      <c r="B167" s="5">
        <f>IF(A167="","",Products!B167)</f>
        <v/>
      </c>
      <c r="C167" s="5">
        <f>IF(A167="","",Products!C167)</f>
        <v/>
      </c>
      <c r="D167" s="13">
        <f>IF(A167="","",Products!D167)</f>
        <v/>
      </c>
      <c r="E167" s="13">
        <f>IF(A167="","",SUMIFS('Recipe BOM'!$K:$K,'Recipe BOM'!$B:$B,A167))</f>
        <v/>
      </c>
      <c r="F167" s="13">
        <f>IF(OR(A167="",D167="",E167=""),"",D167-E167)</f>
        <v/>
      </c>
      <c r="G167" s="14">
        <f>IF(OR(A167="",D167="",E167=""),"",F167/D167)</f>
        <v/>
      </c>
      <c r="H167" s="14">
        <f>IF(OR(A167="",D167="",E167=""),"",E167/D167)</f>
        <v/>
      </c>
      <c r="I167" s="5">
        <f>IF(A167="","",COUNTIFS('Recipe BOM'!$B:$B,A167,'Recipe BOM'!$D:$D,"&lt;&gt;"))</f>
        <v/>
      </c>
      <c r="J167" s="5">
        <f>IF(A167="","",COUNTIFS('Recipe BOM'!$B:$B,A167,'Recipe BOM'!$D:$D,"&lt;&gt;",'Recipe BOM'!$L:$L,"&lt;&gt;OK"))</f>
        <v/>
      </c>
      <c r="K167" s="5">
        <f>IF(A167="","",IF(I167=0,"No recipe",IF(J167&gt;0,"Check recipe/items",IF(D167="","Enter selling price","OK"))))</f>
        <v/>
      </c>
    </row>
    <row r="168">
      <c r="A168" s="5">
        <f>IF(Products!A168="","",Products!A168)</f>
        <v/>
      </c>
      <c r="B168" s="5">
        <f>IF(A168="","",Products!B168)</f>
        <v/>
      </c>
      <c r="C168" s="5">
        <f>IF(A168="","",Products!C168)</f>
        <v/>
      </c>
      <c r="D168" s="13">
        <f>IF(A168="","",Products!D168)</f>
        <v/>
      </c>
      <c r="E168" s="13">
        <f>IF(A168="","",SUMIFS('Recipe BOM'!$K:$K,'Recipe BOM'!$B:$B,A168))</f>
        <v/>
      </c>
      <c r="F168" s="13">
        <f>IF(OR(A168="",D168="",E168=""),"",D168-E168)</f>
        <v/>
      </c>
      <c r="G168" s="14">
        <f>IF(OR(A168="",D168="",E168=""),"",F168/D168)</f>
        <v/>
      </c>
      <c r="H168" s="14">
        <f>IF(OR(A168="",D168="",E168=""),"",E168/D168)</f>
        <v/>
      </c>
      <c r="I168" s="5">
        <f>IF(A168="","",COUNTIFS('Recipe BOM'!$B:$B,A168,'Recipe BOM'!$D:$D,"&lt;&gt;"))</f>
        <v/>
      </c>
      <c r="J168" s="5">
        <f>IF(A168="","",COUNTIFS('Recipe BOM'!$B:$B,A168,'Recipe BOM'!$D:$D,"&lt;&gt;",'Recipe BOM'!$L:$L,"&lt;&gt;OK"))</f>
        <v/>
      </c>
      <c r="K168" s="5">
        <f>IF(A168="","",IF(I168=0,"No recipe",IF(J168&gt;0,"Check recipe/items",IF(D168="","Enter selling price","OK"))))</f>
        <v/>
      </c>
    </row>
    <row r="169">
      <c r="A169" s="5">
        <f>IF(Products!A169="","",Products!A169)</f>
        <v/>
      </c>
      <c r="B169" s="5">
        <f>IF(A169="","",Products!B169)</f>
        <v/>
      </c>
      <c r="C169" s="5">
        <f>IF(A169="","",Products!C169)</f>
        <v/>
      </c>
      <c r="D169" s="13">
        <f>IF(A169="","",Products!D169)</f>
        <v/>
      </c>
      <c r="E169" s="13">
        <f>IF(A169="","",SUMIFS('Recipe BOM'!$K:$K,'Recipe BOM'!$B:$B,A169))</f>
        <v/>
      </c>
      <c r="F169" s="13">
        <f>IF(OR(A169="",D169="",E169=""),"",D169-E169)</f>
        <v/>
      </c>
      <c r="G169" s="14">
        <f>IF(OR(A169="",D169="",E169=""),"",F169/D169)</f>
        <v/>
      </c>
      <c r="H169" s="14">
        <f>IF(OR(A169="",D169="",E169=""),"",E169/D169)</f>
        <v/>
      </c>
      <c r="I169" s="5">
        <f>IF(A169="","",COUNTIFS('Recipe BOM'!$B:$B,A169,'Recipe BOM'!$D:$D,"&lt;&gt;"))</f>
        <v/>
      </c>
      <c r="J169" s="5">
        <f>IF(A169="","",COUNTIFS('Recipe BOM'!$B:$B,A169,'Recipe BOM'!$D:$D,"&lt;&gt;",'Recipe BOM'!$L:$L,"&lt;&gt;OK"))</f>
        <v/>
      </c>
      <c r="K169" s="5">
        <f>IF(A169="","",IF(I169=0,"No recipe",IF(J169&gt;0,"Check recipe/items",IF(D169="","Enter selling price","OK"))))</f>
        <v/>
      </c>
    </row>
    <row r="170">
      <c r="A170" s="5">
        <f>IF(Products!A170="","",Products!A170)</f>
        <v/>
      </c>
      <c r="B170" s="5">
        <f>IF(A170="","",Products!B170)</f>
        <v/>
      </c>
      <c r="C170" s="5">
        <f>IF(A170="","",Products!C170)</f>
        <v/>
      </c>
      <c r="D170" s="13">
        <f>IF(A170="","",Products!D170)</f>
        <v/>
      </c>
      <c r="E170" s="13">
        <f>IF(A170="","",SUMIFS('Recipe BOM'!$K:$K,'Recipe BOM'!$B:$B,A170))</f>
        <v/>
      </c>
      <c r="F170" s="13">
        <f>IF(OR(A170="",D170="",E170=""),"",D170-E170)</f>
        <v/>
      </c>
      <c r="G170" s="14">
        <f>IF(OR(A170="",D170="",E170=""),"",F170/D170)</f>
        <v/>
      </c>
      <c r="H170" s="14">
        <f>IF(OR(A170="",D170="",E170=""),"",E170/D170)</f>
        <v/>
      </c>
      <c r="I170" s="5">
        <f>IF(A170="","",COUNTIFS('Recipe BOM'!$B:$B,A170,'Recipe BOM'!$D:$D,"&lt;&gt;"))</f>
        <v/>
      </c>
      <c r="J170" s="5">
        <f>IF(A170="","",COUNTIFS('Recipe BOM'!$B:$B,A170,'Recipe BOM'!$D:$D,"&lt;&gt;",'Recipe BOM'!$L:$L,"&lt;&gt;OK"))</f>
        <v/>
      </c>
      <c r="K170" s="5">
        <f>IF(A170="","",IF(I170=0,"No recipe",IF(J170&gt;0,"Check recipe/items",IF(D170="","Enter selling price","OK"))))</f>
        <v/>
      </c>
    </row>
    <row r="171">
      <c r="A171" s="5">
        <f>IF(Products!A171="","",Products!A171)</f>
        <v/>
      </c>
      <c r="B171" s="5">
        <f>IF(A171="","",Products!B171)</f>
        <v/>
      </c>
      <c r="C171" s="5">
        <f>IF(A171="","",Products!C171)</f>
        <v/>
      </c>
      <c r="D171" s="13">
        <f>IF(A171="","",Products!D171)</f>
        <v/>
      </c>
      <c r="E171" s="13">
        <f>IF(A171="","",SUMIFS('Recipe BOM'!$K:$K,'Recipe BOM'!$B:$B,A171))</f>
        <v/>
      </c>
      <c r="F171" s="13">
        <f>IF(OR(A171="",D171="",E171=""),"",D171-E171)</f>
        <v/>
      </c>
      <c r="G171" s="14">
        <f>IF(OR(A171="",D171="",E171=""),"",F171/D171)</f>
        <v/>
      </c>
      <c r="H171" s="14">
        <f>IF(OR(A171="",D171="",E171=""),"",E171/D171)</f>
        <v/>
      </c>
      <c r="I171" s="5">
        <f>IF(A171="","",COUNTIFS('Recipe BOM'!$B:$B,A171,'Recipe BOM'!$D:$D,"&lt;&gt;"))</f>
        <v/>
      </c>
      <c r="J171" s="5">
        <f>IF(A171="","",COUNTIFS('Recipe BOM'!$B:$B,A171,'Recipe BOM'!$D:$D,"&lt;&gt;",'Recipe BOM'!$L:$L,"&lt;&gt;OK"))</f>
        <v/>
      </c>
      <c r="K171" s="5">
        <f>IF(A171="","",IF(I171=0,"No recipe",IF(J171&gt;0,"Check recipe/items",IF(D171="","Enter selling price","OK"))))</f>
        <v/>
      </c>
    </row>
    <row r="172">
      <c r="A172" s="5">
        <f>IF(Products!A172="","",Products!A172)</f>
        <v/>
      </c>
      <c r="B172" s="5">
        <f>IF(A172="","",Products!B172)</f>
        <v/>
      </c>
      <c r="C172" s="5">
        <f>IF(A172="","",Products!C172)</f>
        <v/>
      </c>
      <c r="D172" s="13">
        <f>IF(A172="","",Products!D172)</f>
        <v/>
      </c>
      <c r="E172" s="13">
        <f>IF(A172="","",SUMIFS('Recipe BOM'!$K:$K,'Recipe BOM'!$B:$B,A172))</f>
        <v/>
      </c>
      <c r="F172" s="13">
        <f>IF(OR(A172="",D172="",E172=""),"",D172-E172)</f>
        <v/>
      </c>
      <c r="G172" s="14">
        <f>IF(OR(A172="",D172="",E172=""),"",F172/D172)</f>
        <v/>
      </c>
      <c r="H172" s="14">
        <f>IF(OR(A172="",D172="",E172=""),"",E172/D172)</f>
        <v/>
      </c>
      <c r="I172" s="5">
        <f>IF(A172="","",COUNTIFS('Recipe BOM'!$B:$B,A172,'Recipe BOM'!$D:$D,"&lt;&gt;"))</f>
        <v/>
      </c>
      <c r="J172" s="5">
        <f>IF(A172="","",COUNTIFS('Recipe BOM'!$B:$B,A172,'Recipe BOM'!$D:$D,"&lt;&gt;",'Recipe BOM'!$L:$L,"&lt;&gt;OK"))</f>
        <v/>
      </c>
      <c r="K172" s="5">
        <f>IF(A172="","",IF(I172=0,"No recipe",IF(J172&gt;0,"Check recipe/items",IF(D172="","Enter selling price","OK"))))</f>
        <v/>
      </c>
    </row>
    <row r="173">
      <c r="A173" s="5">
        <f>IF(Products!A173="","",Products!A173)</f>
        <v/>
      </c>
      <c r="B173" s="5">
        <f>IF(A173="","",Products!B173)</f>
        <v/>
      </c>
      <c r="C173" s="5">
        <f>IF(A173="","",Products!C173)</f>
        <v/>
      </c>
      <c r="D173" s="13">
        <f>IF(A173="","",Products!D173)</f>
        <v/>
      </c>
      <c r="E173" s="13">
        <f>IF(A173="","",SUMIFS('Recipe BOM'!$K:$K,'Recipe BOM'!$B:$B,A173))</f>
        <v/>
      </c>
      <c r="F173" s="13">
        <f>IF(OR(A173="",D173="",E173=""),"",D173-E173)</f>
        <v/>
      </c>
      <c r="G173" s="14">
        <f>IF(OR(A173="",D173="",E173=""),"",F173/D173)</f>
        <v/>
      </c>
      <c r="H173" s="14">
        <f>IF(OR(A173="",D173="",E173=""),"",E173/D173)</f>
        <v/>
      </c>
      <c r="I173" s="5">
        <f>IF(A173="","",COUNTIFS('Recipe BOM'!$B:$B,A173,'Recipe BOM'!$D:$D,"&lt;&gt;"))</f>
        <v/>
      </c>
      <c r="J173" s="5">
        <f>IF(A173="","",COUNTIFS('Recipe BOM'!$B:$B,A173,'Recipe BOM'!$D:$D,"&lt;&gt;",'Recipe BOM'!$L:$L,"&lt;&gt;OK"))</f>
        <v/>
      </c>
      <c r="K173" s="5">
        <f>IF(A173="","",IF(I173=0,"No recipe",IF(J173&gt;0,"Check recipe/items",IF(D173="","Enter selling price","OK"))))</f>
        <v/>
      </c>
    </row>
    <row r="174">
      <c r="A174" s="5">
        <f>IF(Products!A174="","",Products!A174)</f>
        <v/>
      </c>
      <c r="B174" s="5">
        <f>IF(A174="","",Products!B174)</f>
        <v/>
      </c>
      <c r="C174" s="5">
        <f>IF(A174="","",Products!C174)</f>
        <v/>
      </c>
      <c r="D174" s="13">
        <f>IF(A174="","",Products!D174)</f>
        <v/>
      </c>
      <c r="E174" s="13">
        <f>IF(A174="","",SUMIFS('Recipe BOM'!$K:$K,'Recipe BOM'!$B:$B,A174))</f>
        <v/>
      </c>
      <c r="F174" s="13">
        <f>IF(OR(A174="",D174="",E174=""),"",D174-E174)</f>
        <v/>
      </c>
      <c r="G174" s="14">
        <f>IF(OR(A174="",D174="",E174=""),"",F174/D174)</f>
        <v/>
      </c>
      <c r="H174" s="14">
        <f>IF(OR(A174="",D174="",E174=""),"",E174/D174)</f>
        <v/>
      </c>
      <c r="I174" s="5">
        <f>IF(A174="","",COUNTIFS('Recipe BOM'!$B:$B,A174,'Recipe BOM'!$D:$D,"&lt;&gt;"))</f>
        <v/>
      </c>
      <c r="J174" s="5">
        <f>IF(A174="","",COUNTIFS('Recipe BOM'!$B:$B,A174,'Recipe BOM'!$D:$D,"&lt;&gt;",'Recipe BOM'!$L:$L,"&lt;&gt;OK"))</f>
        <v/>
      </c>
      <c r="K174" s="5">
        <f>IF(A174="","",IF(I174=0,"No recipe",IF(J174&gt;0,"Check recipe/items",IF(D174="","Enter selling price","OK"))))</f>
        <v/>
      </c>
    </row>
    <row r="175">
      <c r="A175" s="5">
        <f>IF(Products!A175="","",Products!A175)</f>
        <v/>
      </c>
      <c r="B175" s="5">
        <f>IF(A175="","",Products!B175)</f>
        <v/>
      </c>
      <c r="C175" s="5">
        <f>IF(A175="","",Products!C175)</f>
        <v/>
      </c>
      <c r="D175" s="13">
        <f>IF(A175="","",Products!D175)</f>
        <v/>
      </c>
      <c r="E175" s="13">
        <f>IF(A175="","",SUMIFS('Recipe BOM'!$K:$K,'Recipe BOM'!$B:$B,A175))</f>
        <v/>
      </c>
      <c r="F175" s="13">
        <f>IF(OR(A175="",D175="",E175=""),"",D175-E175)</f>
        <v/>
      </c>
      <c r="G175" s="14">
        <f>IF(OR(A175="",D175="",E175=""),"",F175/D175)</f>
        <v/>
      </c>
      <c r="H175" s="14">
        <f>IF(OR(A175="",D175="",E175=""),"",E175/D175)</f>
        <v/>
      </c>
      <c r="I175" s="5">
        <f>IF(A175="","",COUNTIFS('Recipe BOM'!$B:$B,A175,'Recipe BOM'!$D:$D,"&lt;&gt;"))</f>
        <v/>
      </c>
      <c r="J175" s="5">
        <f>IF(A175="","",COUNTIFS('Recipe BOM'!$B:$B,A175,'Recipe BOM'!$D:$D,"&lt;&gt;",'Recipe BOM'!$L:$L,"&lt;&gt;OK"))</f>
        <v/>
      </c>
      <c r="K175" s="5">
        <f>IF(A175="","",IF(I175=0,"No recipe",IF(J175&gt;0,"Check recipe/items",IF(D175="","Enter selling price","OK"))))</f>
        <v/>
      </c>
    </row>
    <row r="176">
      <c r="A176" s="5">
        <f>IF(Products!A176="","",Products!A176)</f>
        <v/>
      </c>
      <c r="B176" s="5">
        <f>IF(A176="","",Products!B176)</f>
        <v/>
      </c>
      <c r="C176" s="5">
        <f>IF(A176="","",Products!C176)</f>
        <v/>
      </c>
      <c r="D176" s="13">
        <f>IF(A176="","",Products!D176)</f>
        <v/>
      </c>
      <c r="E176" s="13">
        <f>IF(A176="","",SUMIFS('Recipe BOM'!$K:$K,'Recipe BOM'!$B:$B,A176))</f>
        <v/>
      </c>
      <c r="F176" s="13">
        <f>IF(OR(A176="",D176="",E176=""),"",D176-E176)</f>
        <v/>
      </c>
      <c r="G176" s="14">
        <f>IF(OR(A176="",D176="",E176=""),"",F176/D176)</f>
        <v/>
      </c>
      <c r="H176" s="14">
        <f>IF(OR(A176="",D176="",E176=""),"",E176/D176)</f>
        <v/>
      </c>
      <c r="I176" s="5">
        <f>IF(A176="","",COUNTIFS('Recipe BOM'!$B:$B,A176,'Recipe BOM'!$D:$D,"&lt;&gt;"))</f>
        <v/>
      </c>
      <c r="J176" s="5">
        <f>IF(A176="","",COUNTIFS('Recipe BOM'!$B:$B,A176,'Recipe BOM'!$D:$D,"&lt;&gt;",'Recipe BOM'!$L:$L,"&lt;&gt;OK"))</f>
        <v/>
      </c>
      <c r="K176" s="5">
        <f>IF(A176="","",IF(I176=0,"No recipe",IF(J176&gt;0,"Check recipe/items",IF(D176="","Enter selling price","OK"))))</f>
        <v/>
      </c>
    </row>
    <row r="177">
      <c r="A177" s="5">
        <f>IF(Products!A177="","",Products!A177)</f>
        <v/>
      </c>
      <c r="B177" s="5">
        <f>IF(A177="","",Products!B177)</f>
        <v/>
      </c>
      <c r="C177" s="5">
        <f>IF(A177="","",Products!C177)</f>
        <v/>
      </c>
      <c r="D177" s="13">
        <f>IF(A177="","",Products!D177)</f>
        <v/>
      </c>
      <c r="E177" s="13">
        <f>IF(A177="","",SUMIFS('Recipe BOM'!$K:$K,'Recipe BOM'!$B:$B,A177))</f>
        <v/>
      </c>
      <c r="F177" s="13">
        <f>IF(OR(A177="",D177="",E177=""),"",D177-E177)</f>
        <v/>
      </c>
      <c r="G177" s="14">
        <f>IF(OR(A177="",D177="",E177=""),"",F177/D177)</f>
        <v/>
      </c>
      <c r="H177" s="14">
        <f>IF(OR(A177="",D177="",E177=""),"",E177/D177)</f>
        <v/>
      </c>
      <c r="I177" s="5">
        <f>IF(A177="","",COUNTIFS('Recipe BOM'!$B:$B,A177,'Recipe BOM'!$D:$D,"&lt;&gt;"))</f>
        <v/>
      </c>
      <c r="J177" s="5">
        <f>IF(A177="","",COUNTIFS('Recipe BOM'!$B:$B,A177,'Recipe BOM'!$D:$D,"&lt;&gt;",'Recipe BOM'!$L:$L,"&lt;&gt;OK"))</f>
        <v/>
      </c>
      <c r="K177" s="5">
        <f>IF(A177="","",IF(I177=0,"No recipe",IF(J177&gt;0,"Check recipe/items",IF(D177="","Enter selling price","OK"))))</f>
        <v/>
      </c>
    </row>
    <row r="178">
      <c r="A178" s="5">
        <f>IF(Products!A178="","",Products!A178)</f>
        <v/>
      </c>
      <c r="B178" s="5">
        <f>IF(A178="","",Products!B178)</f>
        <v/>
      </c>
      <c r="C178" s="5">
        <f>IF(A178="","",Products!C178)</f>
        <v/>
      </c>
      <c r="D178" s="13">
        <f>IF(A178="","",Products!D178)</f>
        <v/>
      </c>
      <c r="E178" s="13">
        <f>IF(A178="","",SUMIFS('Recipe BOM'!$K:$K,'Recipe BOM'!$B:$B,A178))</f>
        <v/>
      </c>
      <c r="F178" s="13">
        <f>IF(OR(A178="",D178="",E178=""),"",D178-E178)</f>
        <v/>
      </c>
      <c r="G178" s="14">
        <f>IF(OR(A178="",D178="",E178=""),"",F178/D178)</f>
        <v/>
      </c>
      <c r="H178" s="14">
        <f>IF(OR(A178="",D178="",E178=""),"",E178/D178)</f>
        <v/>
      </c>
      <c r="I178" s="5">
        <f>IF(A178="","",COUNTIFS('Recipe BOM'!$B:$B,A178,'Recipe BOM'!$D:$D,"&lt;&gt;"))</f>
        <v/>
      </c>
      <c r="J178" s="5">
        <f>IF(A178="","",COUNTIFS('Recipe BOM'!$B:$B,A178,'Recipe BOM'!$D:$D,"&lt;&gt;",'Recipe BOM'!$L:$L,"&lt;&gt;OK"))</f>
        <v/>
      </c>
      <c r="K178" s="5">
        <f>IF(A178="","",IF(I178=0,"No recipe",IF(J178&gt;0,"Check recipe/items",IF(D178="","Enter selling price","OK"))))</f>
        <v/>
      </c>
    </row>
    <row r="179">
      <c r="A179" s="5">
        <f>IF(Products!A179="","",Products!A179)</f>
        <v/>
      </c>
      <c r="B179" s="5">
        <f>IF(A179="","",Products!B179)</f>
        <v/>
      </c>
      <c r="C179" s="5">
        <f>IF(A179="","",Products!C179)</f>
        <v/>
      </c>
      <c r="D179" s="13">
        <f>IF(A179="","",Products!D179)</f>
        <v/>
      </c>
      <c r="E179" s="13">
        <f>IF(A179="","",SUMIFS('Recipe BOM'!$K:$K,'Recipe BOM'!$B:$B,A179))</f>
        <v/>
      </c>
      <c r="F179" s="13">
        <f>IF(OR(A179="",D179="",E179=""),"",D179-E179)</f>
        <v/>
      </c>
      <c r="G179" s="14">
        <f>IF(OR(A179="",D179="",E179=""),"",F179/D179)</f>
        <v/>
      </c>
      <c r="H179" s="14">
        <f>IF(OR(A179="",D179="",E179=""),"",E179/D179)</f>
        <v/>
      </c>
      <c r="I179" s="5">
        <f>IF(A179="","",COUNTIFS('Recipe BOM'!$B:$B,A179,'Recipe BOM'!$D:$D,"&lt;&gt;"))</f>
        <v/>
      </c>
      <c r="J179" s="5">
        <f>IF(A179="","",COUNTIFS('Recipe BOM'!$B:$B,A179,'Recipe BOM'!$D:$D,"&lt;&gt;",'Recipe BOM'!$L:$L,"&lt;&gt;OK"))</f>
        <v/>
      </c>
      <c r="K179" s="5">
        <f>IF(A179="","",IF(I179=0,"No recipe",IF(J179&gt;0,"Check recipe/items",IF(D179="","Enter selling price","OK"))))</f>
        <v/>
      </c>
    </row>
    <row r="180">
      <c r="A180" s="5">
        <f>IF(Products!A180="","",Products!A180)</f>
        <v/>
      </c>
      <c r="B180" s="5">
        <f>IF(A180="","",Products!B180)</f>
        <v/>
      </c>
      <c r="C180" s="5">
        <f>IF(A180="","",Products!C180)</f>
        <v/>
      </c>
      <c r="D180" s="13">
        <f>IF(A180="","",Products!D180)</f>
        <v/>
      </c>
      <c r="E180" s="13">
        <f>IF(A180="","",SUMIFS('Recipe BOM'!$K:$K,'Recipe BOM'!$B:$B,A180))</f>
        <v/>
      </c>
      <c r="F180" s="13">
        <f>IF(OR(A180="",D180="",E180=""),"",D180-E180)</f>
        <v/>
      </c>
      <c r="G180" s="14">
        <f>IF(OR(A180="",D180="",E180=""),"",F180/D180)</f>
        <v/>
      </c>
      <c r="H180" s="14">
        <f>IF(OR(A180="",D180="",E180=""),"",E180/D180)</f>
        <v/>
      </c>
      <c r="I180" s="5">
        <f>IF(A180="","",COUNTIFS('Recipe BOM'!$B:$B,A180,'Recipe BOM'!$D:$D,"&lt;&gt;"))</f>
        <v/>
      </c>
      <c r="J180" s="5">
        <f>IF(A180="","",COUNTIFS('Recipe BOM'!$B:$B,A180,'Recipe BOM'!$D:$D,"&lt;&gt;",'Recipe BOM'!$L:$L,"&lt;&gt;OK"))</f>
        <v/>
      </c>
      <c r="K180" s="5">
        <f>IF(A180="","",IF(I180=0,"No recipe",IF(J180&gt;0,"Check recipe/items",IF(D180="","Enter selling price","OK"))))</f>
        <v/>
      </c>
    </row>
    <row r="181">
      <c r="A181" s="5">
        <f>IF(Products!A181="","",Products!A181)</f>
        <v/>
      </c>
      <c r="B181" s="5">
        <f>IF(A181="","",Products!B181)</f>
        <v/>
      </c>
      <c r="C181" s="5">
        <f>IF(A181="","",Products!C181)</f>
        <v/>
      </c>
      <c r="D181" s="13">
        <f>IF(A181="","",Products!D181)</f>
        <v/>
      </c>
      <c r="E181" s="13">
        <f>IF(A181="","",SUMIFS('Recipe BOM'!$K:$K,'Recipe BOM'!$B:$B,A181))</f>
        <v/>
      </c>
      <c r="F181" s="13">
        <f>IF(OR(A181="",D181="",E181=""),"",D181-E181)</f>
        <v/>
      </c>
      <c r="G181" s="14">
        <f>IF(OR(A181="",D181="",E181=""),"",F181/D181)</f>
        <v/>
      </c>
      <c r="H181" s="14">
        <f>IF(OR(A181="",D181="",E181=""),"",E181/D181)</f>
        <v/>
      </c>
      <c r="I181" s="5">
        <f>IF(A181="","",COUNTIFS('Recipe BOM'!$B:$B,A181,'Recipe BOM'!$D:$D,"&lt;&gt;"))</f>
        <v/>
      </c>
      <c r="J181" s="5">
        <f>IF(A181="","",COUNTIFS('Recipe BOM'!$B:$B,A181,'Recipe BOM'!$D:$D,"&lt;&gt;",'Recipe BOM'!$L:$L,"&lt;&gt;OK"))</f>
        <v/>
      </c>
      <c r="K181" s="5">
        <f>IF(A181="","",IF(I181=0,"No recipe",IF(J181&gt;0,"Check recipe/items",IF(D181="","Enter selling price","OK"))))</f>
        <v/>
      </c>
    </row>
    <row r="182">
      <c r="A182" s="5">
        <f>IF(Products!A182="","",Products!A182)</f>
        <v/>
      </c>
      <c r="B182" s="5">
        <f>IF(A182="","",Products!B182)</f>
        <v/>
      </c>
      <c r="C182" s="5">
        <f>IF(A182="","",Products!C182)</f>
        <v/>
      </c>
      <c r="D182" s="13">
        <f>IF(A182="","",Products!D182)</f>
        <v/>
      </c>
      <c r="E182" s="13">
        <f>IF(A182="","",SUMIFS('Recipe BOM'!$K:$K,'Recipe BOM'!$B:$B,A182))</f>
        <v/>
      </c>
      <c r="F182" s="13">
        <f>IF(OR(A182="",D182="",E182=""),"",D182-E182)</f>
        <v/>
      </c>
      <c r="G182" s="14">
        <f>IF(OR(A182="",D182="",E182=""),"",F182/D182)</f>
        <v/>
      </c>
      <c r="H182" s="14">
        <f>IF(OR(A182="",D182="",E182=""),"",E182/D182)</f>
        <v/>
      </c>
      <c r="I182" s="5">
        <f>IF(A182="","",COUNTIFS('Recipe BOM'!$B:$B,A182,'Recipe BOM'!$D:$D,"&lt;&gt;"))</f>
        <v/>
      </c>
      <c r="J182" s="5">
        <f>IF(A182="","",COUNTIFS('Recipe BOM'!$B:$B,A182,'Recipe BOM'!$D:$D,"&lt;&gt;",'Recipe BOM'!$L:$L,"&lt;&gt;OK"))</f>
        <v/>
      </c>
      <c r="K182" s="5">
        <f>IF(A182="","",IF(I182=0,"No recipe",IF(J182&gt;0,"Check recipe/items",IF(D182="","Enter selling price","OK"))))</f>
        <v/>
      </c>
    </row>
    <row r="183">
      <c r="A183" s="5">
        <f>IF(Products!A183="","",Products!A183)</f>
        <v/>
      </c>
      <c r="B183" s="5">
        <f>IF(A183="","",Products!B183)</f>
        <v/>
      </c>
      <c r="C183" s="5">
        <f>IF(A183="","",Products!C183)</f>
        <v/>
      </c>
      <c r="D183" s="13">
        <f>IF(A183="","",Products!D183)</f>
        <v/>
      </c>
      <c r="E183" s="13">
        <f>IF(A183="","",SUMIFS('Recipe BOM'!$K:$K,'Recipe BOM'!$B:$B,A183))</f>
        <v/>
      </c>
      <c r="F183" s="13">
        <f>IF(OR(A183="",D183="",E183=""),"",D183-E183)</f>
        <v/>
      </c>
      <c r="G183" s="14">
        <f>IF(OR(A183="",D183="",E183=""),"",F183/D183)</f>
        <v/>
      </c>
      <c r="H183" s="14">
        <f>IF(OR(A183="",D183="",E183=""),"",E183/D183)</f>
        <v/>
      </c>
      <c r="I183" s="5">
        <f>IF(A183="","",COUNTIFS('Recipe BOM'!$B:$B,A183,'Recipe BOM'!$D:$D,"&lt;&gt;"))</f>
        <v/>
      </c>
      <c r="J183" s="5">
        <f>IF(A183="","",COUNTIFS('Recipe BOM'!$B:$B,A183,'Recipe BOM'!$D:$D,"&lt;&gt;",'Recipe BOM'!$L:$L,"&lt;&gt;OK"))</f>
        <v/>
      </c>
      <c r="K183" s="5">
        <f>IF(A183="","",IF(I183=0,"No recipe",IF(J183&gt;0,"Check recipe/items",IF(D183="","Enter selling price","OK"))))</f>
        <v/>
      </c>
    </row>
    <row r="184">
      <c r="A184" s="5">
        <f>IF(Products!A184="","",Products!A184)</f>
        <v/>
      </c>
      <c r="B184" s="5">
        <f>IF(A184="","",Products!B184)</f>
        <v/>
      </c>
      <c r="C184" s="5">
        <f>IF(A184="","",Products!C184)</f>
        <v/>
      </c>
      <c r="D184" s="13">
        <f>IF(A184="","",Products!D184)</f>
        <v/>
      </c>
      <c r="E184" s="13">
        <f>IF(A184="","",SUMIFS('Recipe BOM'!$K:$K,'Recipe BOM'!$B:$B,A184))</f>
        <v/>
      </c>
      <c r="F184" s="13">
        <f>IF(OR(A184="",D184="",E184=""),"",D184-E184)</f>
        <v/>
      </c>
      <c r="G184" s="14">
        <f>IF(OR(A184="",D184="",E184=""),"",F184/D184)</f>
        <v/>
      </c>
      <c r="H184" s="14">
        <f>IF(OR(A184="",D184="",E184=""),"",E184/D184)</f>
        <v/>
      </c>
      <c r="I184" s="5">
        <f>IF(A184="","",COUNTIFS('Recipe BOM'!$B:$B,A184,'Recipe BOM'!$D:$D,"&lt;&gt;"))</f>
        <v/>
      </c>
      <c r="J184" s="5">
        <f>IF(A184="","",COUNTIFS('Recipe BOM'!$B:$B,A184,'Recipe BOM'!$D:$D,"&lt;&gt;",'Recipe BOM'!$L:$L,"&lt;&gt;OK"))</f>
        <v/>
      </c>
      <c r="K184" s="5">
        <f>IF(A184="","",IF(I184=0,"No recipe",IF(J184&gt;0,"Check recipe/items",IF(D184="","Enter selling price","OK"))))</f>
        <v/>
      </c>
    </row>
    <row r="185">
      <c r="A185" s="5">
        <f>IF(Products!A185="","",Products!A185)</f>
        <v/>
      </c>
      <c r="B185" s="5">
        <f>IF(A185="","",Products!B185)</f>
        <v/>
      </c>
      <c r="C185" s="5">
        <f>IF(A185="","",Products!C185)</f>
        <v/>
      </c>
      <c r="D185" s="13">
        <f>IF(A185="","",Products!D185)</f>
        <v/>
      </c>
      <c r="E185" s="13">
        <f>IF(A185="","",SUMIFS('Recipe BOM'!$K:$K,'Recipe BOM'!$B:$B,A185))</f>
        <v/>
      </c>
      <c r="F185" s="13">
        <f>IF(OR(A185="",D185="",E185=""),"",D185-E185)</f>
        <v/>
      </c>
      <c r="G185" s="14">
        <f>IF(OR(A185="",D185="",E185=""),"",F185/D185)</f>
        <v/>
      </c>
      <c r="H185" s="14">
        <f>IF(OR(A185="",D185="",E185=""),"",E185/D185)</f>
        <v/>
      </c>
      <c r="I185" s="5">
        <f>IF(A185="","",COUNTIFS('Recipe BOM'!$B:$B,A185,'Recipe BOM'!$D:$D,"&lt;&gt;"))</f>
        <v/>
      </c>
      <c r="J185" s="5">
        <f>IF(A185="","",COUNTIFS('Recipe BOM'!$B:$B,A185,'Recipe BOM'!$D:$D,"&lt;&gt;",'Recipe BOM'!$L:$L,"&lt;&gt;OK"))</f>
        <v/>
      </c>
      <c r="K185" s="5">
        <f>IF(A185="","",IF(I185=0,"No recipe",IF(J185&gt;0,"Check recipe/items",IF(D185="","Enter selling price","OK"))))</f>
        <v/>
      </c>
    </row>
    <row r="186">
      <c r="A186" s="5">
        <f>IF(Products!A186="","",Products!A186)</f>
        <v/>
      </c>
      <c r="B186" s="5">
        <f>IF(A186="","",Products!B186)</f>
        <v/>
      </c>
      <c r="C186" s="5">
        <f>IF(A186="","",Products!C186)</f>
        <v/>
      </c>
      <c r="D186" s="13">
        <f>IF(A186="","",Products!D186)</f>
        <v/>
      </c>
      <c r="E186" s="13">
        <f>IF(A186="","",SUMIFS('Recipe BOM'!$K:$K,'Recipe BOM'!$B:$B,A186))</f>
        <v/>
      </c>
      <c r="F186" s="13">
        <f>IF(OR(A186="",D186="",E186=""),"",D186-E186)</f>
        <v/>
      </c>
      <c r="G186" s="14">
        <f>IF(OR(A186="",D186="",E186=""),"",F186/D186)</f>
        <v/>
      </c>
      <c r="H186" s="14">
        <f>IF(OR(A186="",D186="",E186=""),"",E186/D186)</f>
        <v/>
      </c>
      <c r="I186" s="5">
        <f>IF(A186="","",COUNTIFS('Recipe BOM'!$B:$B,A186,'Recipe BOM'!$D:$D,"&lt;&gt;"))</f>
        <v/>
      </c>
      <c r="J186" s="5">
        <f>IF(A186="","",COUNTIFS('Recipe BOM'!$B:$B,A186,'Recipe BOM'!$D:$D,"&lt;&gt;",'Recipe BOM'!$L:$L,"&lt;&gt;OK"))</f>
        <v/>
      </c>
      <c r="K186" s="5">
        <f>IF(A186="","",IF(I186=0,"No recipe",IF(J186&gt;0,"Check recipe/items",IF(D186="","Enter selling price","OK"))))</f>
        <v/>
      </c>
    </row>
    <row r="187">
      <c r="A187" s="5">
        <f>IF(Products!A187="","",Products!A187)</f>
        <v/>
      </c>
      <c r="B187" s="5">
        <f>IF(A187="","",Products!B187)</f>
        <v/>
      </c>
      <c r="C187" s="5">
        <f>IF(A187="","",Products!C187)</f>
        <v/>
      </c>
      <c r="D187" s="13">
        <f>IF(A187="","",Products!D187)</f>
        <v/>
      </c>
      <c r="E187" s="13">
        <f>IF(A187="","",SUMIFS('Recipe BOM'!$K:$K,'Recipe BOM'!$B:$B,A187))</f>
        <v/>
      </c>
      <c r="F187" s="13">
        <f>IF(OR(A187="",D187="",E187=""),"",D187-E187)</f>
        <v/>
      </c>
      <c r="G187" s="14">
        <f>IF(OR(A187="",D187="",E187=""),"",F187/D187)</f>
        <v/>
      </c>
      <c r="H187" s="14">
        <f>IF(OR(A187="",D187="",E187=""),"",E187/D187)</f>
        <v/>
      </c>
      <c r="I187" s="5">
        <f>IF(A187="","",COUNTIFS('Recipe BOM'!$B:$B,A187,'Recipe BOM'!$D:$D,"&lt;&gt;"))</f>
        <v/>
      </c>
      <c r="J187" s="5">
        <f>IF(A187="","",COUNTIFS('Recipe BOM'!$B:$B,A187,'Recipe BOM'!$D:$D,"&lt;&gt;",'Recipe BOM'!$L:$L,"&lt;&gt;OK"))</f>
        <v/>
      </c>
      <c r="K187" s="5">
        <f>IF(A187="","",IF(I187=0,"No recipe",IF(J187&gt;0,"Check recipe/items",IF(D187="","Enter selling price","OK"))))</f>
        <v/>
      </c>
    </row>
    <row r="188">
      <c r="A188" s="5">
        <f>IF(Products!A188="","",Products!A188)</f>
        <v/>
      </c>
      <c r="B188" s="5">
        <f>IF(A188="","",Products!B188)</f>
        <v/>
      </c>
      <c r="C188" s="5">
        <f>IF(A188="","",Products!C188)</f>
        <v/>
      </c>
      <c r="D188" s="13">
        <f>IF(A188="","",Products!D188)</f>
        <v/>
      </c>
      <c r="E188" s="13">
        <f>IF(A188="","",SUMIFS('Recipe BOM'!$K:$K,'Recipe BOM'!$B:$B,A188))</f>
        <v/>
      </c>
      <c r="F188" s="13">
        <f>IF(OR(A188="",D188="",E188=""),"",D188-E188)</f>
        <v/>
      </c>
      <c r="G188" s="14">
        <f>IF(OR(A188="",D188="",E188=""),"",F188/D188)</f>
        <v/>
      </c>
      <c r="H188" s="14">
        <f>IF(OR(A188="",D188="",E188=""),"",E188/D188)</f>
        <v/>
      </c>
      <c r="I188" s="5">
        <f>IF(A188="","",COUNTIFS('Recipe BOM'!$B:$B,A188,'Recipe BOM'!$D:$D,"&lt;&gt;"))</f>
        <v/>
      </c>
      <c r="J188" s="5">
        <f>IF(A188="","",COUNTIFS('Recipe BOM'!$B:$B,A188,'Recipe BOM'!$D:$D,"&lt;&gt;",'Recipe BOM'!$L:$L,"&lt;&gt;OK"))</f>
        <v/>
      </c>
      <c r="K188" s="5">
        <f>IF(A188="","",IF(I188=0,"No recipe",IF(J188&gt;0,"Check recipe/items",IF(D188="","Enter selling price","OK"))))</f>
        <v/>
      </c>
    </row>
    <row r="189">
      <c r="A189" s="5">
        <f>IF(Products!A189="","",Products!A189)</f>
        <v/>
      </c>
      <c r="B189" s="5">
        <f>IF(A189="","",Products!B189)</f>
        <v/>
      </c>
      <c r="C189" s="5">
        <f>IF(A189="","",Products!C189)</f>
        <v/>
      </c>
      <c r="D189" s="13">
        <f>IF(A189="","",Products!D189)</f>
        <v/>
      </c>
      <c r="E189" s="13">
        <f>IF(A189="","",SUMIFS('Recipe BOM'!$K:$K,'Recipe BOM'!$B:$B,A189))</f>
        <v/>
      </c>
      <c r="F189" s="13">
        <f>IF(OR(A189="",D189="",E189=""),"",D189-E189)</f>
        <v/>
      </c>
      <c r="G189" s="14">
        <f>IF(OR(A189="",D189="",E189=""),"",F189/D189)</f>
        <v/>
      </c>
      <c r="H189" s="14">
        <f>IF(OR(A189="",D189="",E189=""),"",E189/D189)</f>
        <v/>
      </c>
      <c r="I189" s="5">
        <f>IF(A189="","",COUNTIFS('Recipe BOM'!$B:$B,A189,'Recipe BOM'!$D:$D,"&lt;&gt;"))</f>
        <v/>
      </c>
      <c r="J189" s="5">
        <f>IF(A189="","",COUNTIFS('Recipe BOM'!$B:$B,A189,'Recipe BOM'!$D:$D,"&lt;&gt;",'Recipe BOM'!$L:$L,"&lt;&gt;OK"))</f>
        <v/>
      </c>
      <c r="K189" s="5">
        <f>IF(A189="","",IF(I189=0,"No recipe",IF(J189&gt;0,"Check recipe/items",IF(D189="","Enter selling price","OK"))))</f>
        <v/>
      </c>
    </row>
    <row r="190">
      <c r="A190" s="5">
        <f>IF(Products!A190="","",Products!A190)</f>
        <v/>
      </c>
      <c r="B190" s="5">
        <f>IF(A190="","",Products!B190)</f>
        <v/>
      </c>
      <c r="C190" s="5">
        <f>IF(A190="","",Products!C190)</f>
        <v/>
      </c>
      <c r="D190" s="13">
        <f>IF(A190="","",Products!D190)</f>
        <v/>
      </c>
      <c r="E190" s="13">
        <f>IF(A190="","",SUMIFS('Recipe BOM'!$K:$K,'Recipe BOM'!$B:$B,A190))</f>
        <v/>
      </c>
      <c r="F190" s="13">
        <f>IF(OR(A190="",D190="",E190=""),"",D190-E190)</f>
        <v/>
      </c>
      <c r="G190" s="14">
        <f>IF(OR(A190="",D190="",E190=""),"",F190/D190)</f>
        <v/>
      </c>
      <c r="H190" s="14">
        <f>IF(OR(A190="",D190="",E190=""),"",E190/D190)</f>
        <v/>
      </c>
      <c r="I190" s="5">
        <f>IF(A190="","",COUNTIFS('Recipe BOM'!$B:$B,A190,'Recipe BOM'!$D:$D,"&lt;&gt;"))</f>
        <v/>
      </c>
      <c r="J190" s="5">
        <f>IF(A190="","",COUNTIFS('Recipe BOM'!$B:$B,A190,'Recipe BOM'!$D:$D,"&lt;&gt;",'Recipe BOM'!$L:$L,"&lt;&gt;OK"))</f>
        <v/>
      </c>
      <c r="K190" s="5">
        <f>IF(A190="","",IF(I190=0,"No recipe",IF(J190&gt;0,"Check recipe/items",IF(D190="","Enter selling price","OK"))))</f>
        <v/>
      </c>
    </row>
    <row r="191">
      <c r="A191" s="5">
        <f>IF(Products!A191="","",Products!A191)</f>
        <v/>
      </c>
      <c r="B191" s="5">
        <f>IF(A191="","",Products!B191)</f>
        <v/>
      </c>
      <c r="C191" s="5">
        <f>IF(A191="","",Products!C191)</f>
        <v/>
      </c>
      <c r="D191" s="13">
        <f>IF(A191="","",Products!D191)</f>
        <v/>
      </c>
      <c r="E191" s="13">
        <f>IF(A191="","",SUMIFS('Recipe BOM'!$K:$K,'Recipe BOM'!$B:$B,A191))</f>
        <v/>
      </c>
      <c r="F191" s="13">
        <f>IF(OR(A191="",D191="",E191=""),"",D191-E191)</f>
        <v/>
      </c>
      <c r="G191" s="14">
        <f>IF(OR(A191="",D191="",E191=""),"",F191/D191)</f>
        <v/>
      </c>
      <c r="H191" s="14">
        <f>IF(OR(A191="",D191="",E191=""),"",E191/D191)</f>
        <v/>
      </c>
      <c r="I191" s="5">
        <f>IF(A191="","",COUNTIFS('Recipe BOM'!$B:$B,A191,'Recipe BOM'!$D:$D,"&lt;&gt;"))</f>
        <v/>
      </c>
      <c r="J191" s="5">
        <f>IF(A191="","",COUNTIFS('Recipe BOM'!$B:$B,A191,'Recipe BOM'!$D:$D,"&lt;&gt;",'Recipe BOM'!$L:$L,"&lt;&gt;OK"))</f>
        <v/>
      </c>
      <c r="K191" s="5">
        <f>IF(A191="","",IF(I191=0,"No recipe",IF(J191&gt;0,"Check recipe/items",IF(D191="","Enter selling price","OK"))))</f>
        <v/>
      </c>
    </row>
    <row r="192">
      <c r="A192" s="5">
        <f>IF(Products!A192="","",Products!A192)</f>
        <v/>
      </c>
      <c r="B192" s="5">
        <f>IF(A192="","",Products!B192)</f>
        <v/>
      </c>
      <c r="C192" s="5">
        <f>IF(A192="","",Products!C192)</f>
        <v/>
      </c>
      <c r="D192" s="13">
        <f>IF(A192="","",Products!D192)</f>
        <v/>
      </c>
      <c r="E192" s="13">
        <f>IF(A192="","",SUMIFS('Recipe BOM'!$K:$K,'Recipe BOM'!$B:$B,A192))</f>
        <v/>
      </c>
      <c r="F192" s="13">
        <f>IF(OR(A192="",D192="",E192=""),"",D192-E192)</f>
        <v/>
      </c>
      <c r="G192" s="14">
        <f>IF(OR(A192="",D192="",E192=""),"",F192/D192)</f>
        <v/>
      </c>
      <c r="H192" s="14">
        <f>IF(OR(A192="",D192="",E192=""),"",E192/D192)</f>
        <v/>
      </c>
      <c r="I192" s="5">
        <f>IF(A192="","",COUNTIFS('Recipe BOM'!$B:$B,A192,'Recipe BOM'!$D:$D,"&lt;&gt;"))</f>
        <v/>
      </c>
      <c r="J192" s="5">
        <f>IF(A192="","",COUNTIFS('Recipe BOM'!$B:$B,A192,'Recipe BOM'!$D:$D,"&lt;&gt;",'Recipe BOM'!$L:$L,"&lt;&gt;OK"))</f>
        <v/>
      </c>
      <c r="K192" s="5">
        <f>IF(A192="","",IF(I192=0,"No recipe",IF(J192&gt;0,"Check recipe/items",IF(D192="","Enter selling price","OK"))))</f>
        <v/>
      </c>
    </row>
    <row r="193">
      <c r="A193" s="5">
        <f>IF(Products!A193="","",Products!A193)</f>
        <v/>
      </c>
      <c r="B193" s="5">
        <f>IF(A193="","",Products!B193)</f>
        <v/>
      </c>
      <c r="C193" s="5">
        <f>IF(A193="","",Products!C193)</f>
        <v/>
      </c>
      <c r="D193" s="13">
        <f>IF(A193="","",Products!D193)</f>
        <v/>
      </c>
      <c r="E193" s="13">
        <f>IF(A193="","",SUMIFS('Recipe BOM'!$K:$K,'Recipe BOM'!$B:$B,A193))</f>
        <v/>
      </c>
      <c r="F193" s="13">
        <f>IF(OR(A193="",D193="",E193=""),"",D193-E193)</f>
        <v/>
      </c>
      <c r="G193" s="14">
        <f>IF(OR(A193="",D193="",E193=""),"",F193/D193)</f>
        <v/>
      </c>
      <c r="H193" s="14">
        <f>IF(OR(A193="",D193="",E193=""),"",E193/D193)</f>
        <v/>
      </c>
      <c r="I193" s="5">
        <f>IF(A193="","",COUNTIFS('Recipe BOM'!$B:$B,A193,'Recipe BOM'!$D:$D,"&lt;&gt;"))</f>
        <v/>
      </c>
      <c r="J193" s="5">
        <f>IF(A193="","",COUNTIFS('Recipe BOM'!$B:$B,A193,'Recipe BOM'!$D:$D,"&lt;&gt;",'Recipe BOM'!$L:$L,"&lt;&gt;OK"))</f>
        <v/>
      </c>
      <c r="K193" s="5">
        <f>IF(A193="","",IF(I193=0,"No recipe",IF(J193&gt;0,"Check recipe/items",IF(D193="","Enter selling price","OK"))))</f>
        <v/>
      </c>
    </row>
    <row r="194">
      <c r="A194" s="5">
        <f>IF(Products!A194="","",Products!A194)</f>
        <v/>
      </c>
      <c r="B194" s="5">
        <f>IF(A194="","",Products!B194)</f>
        <v/>
      </c>
      <c r="C194" s="5">
        <f>IF(A194="","",Products!C194)</f>
        <v/>
      </c>
      <c r="D194" s="13">
        <f>IF(A194="","",Products!D194)</f>
        <v/>
      </c>
      <c r="E194" s="13">
        <f>IF(A194="","",SUMIFS('Recipe BOM'!$K:$K,'Recipe BOM'!$B:$B,A194))</f>
        <v/>
      </c>
      <c r="F194" s="13">
        <f>IF(OR(A194="",D194="",E194=""),"",D194-E194)</f>
        <v/>
      </c>
      <c r="G194" s="14">
        <f>IF(OR(A194="",D194="",E194=""),"",F194/D194)</f>
        <v/>
      </c>
      <c r="H194" s="14">
        <f>IF(OR(A194="",D194="",E194=""),"",E194/D194)</f>
        <v/>
      </c>
      <c r="I194" s="5">
        <f>IF(A194="","",COUNTIFS('Recipe BOM'!$B:$B,A194,'Recipe BOM'!$D:$D,"&lt;&gt;"))</f>
        <v/>
      </c>
      <c r="J194" s="5">
        <f>IF(A194="","",COUNTIFS('Recipe BOM'!$B:$B,A194,'Recipe BOM'!$D:$D,"&lt;&gt;",'Recipe BOM'!$L:$L,"&lt;&gt;OK"))</f>
        <v/>
      </c>
      <c r="K194" s="5">
        <f>IF(A194="","",IF(I194=0,"No recipe",IF(J194&gt;0,"Check recipe/items",IF(D194="","Enter selling price","OK"))))</f>
        <v/>
      </c>
    </row>
    <row r="195">
      <c r="A195" s="5">
        <f>IF(Products!A195="","",Products!A195)</f>
        <v/>
      </c>
      <c r="B195" s="5">
        <f>IF(A195="","",Products!B195)</f>
        <v/>
      </c>
      <c r="C195" s="5">
        <f>IF(A195="","",Products!C195)</f>
        <v/>
      </c>
      <c r="D195" s="13">
        <f>IF(A195="","",Products!D195)</f>
        <v/>
      </c>
      <c r="E195" s="13">
        <f>IF(A195="","",SUMIFS('Recipe BOM'!$K:$K,'Recipe BOM'!$B:$B,A195))</f>
        <v/>
      </c>
      <c r="F195" s="13">
        <f>IF(OR(A195="",D195="",E195=""),"",D195-E195)</f>
        <v/>
      </c>
      <c r="G195" s="14">
        <f>IF(OR(A195="",D195="",E195=""),"",F195/D195)</f>
        <v/>
      </c>
      <c r="H195" s="14">
        <f>IF(OR(A195="",D195="",E195=""),"",E195/D195)</f>
        <v/>
      </c>
      <c r="I195" s="5">
        <f>IF(A195="","",COUNTIFS('Recipe BOM'!$B:$B,A195,'Recipe BOM'!$D:$D,"&lt;&gt;"))</f>
        <v/>
      </c>
      <c r="J195" s="5">
        <f>IF(A195="","",COUNTIFS('Recipe BOM'!$B:$B,A195,'Recipe BOM'!$D:$D,"&lt;&gt;",'Recipe BOM'!$L:$L,"&lt;&gt;OK"))</f>
        <v/>
      </c>
      <c r="K195" s="5">
        <f>IF(A195="","",IF(I195=0,"No recipe",IF(J195&gt;0,"Check recipe/items",IF(D195="","Enter selling price","OK"))))</f>
        <v/>
      </c>
    </row>
    <row r="196">
      <c r="A196" s="5">
        <f>IF(Products!A196="","",Products!A196)</f>
        <v/>
      </c>
      <c r="B196" s="5">
        <f>IF(A196="","",Products!B196)</f>
        <v/>
      </c>
      <c r="C196" s="5">
        <f>IF(A196="","",Products!C196)</f>
        <v/>
      </c>
      <c r="D196" s="13">
        <f>IF(A196="","",Products!D196)</f>
        <v/>
      </c>
      <c r="E196" s="13">
        <f>IF(A196="","",SUMIFS('Recipe BOM'!$K:$K,'Recipe BOM'!$B:$B,A196))</f>
        <v/>
      </c>
      <c r="F196" s="13">
        <f>IF(OR(A196="",D196="",E196=""),"",D196-E196)</f>
        <v/>
      </c>
      <c r="G196" s="14">
        <f>IF(OR(A196="",D196="",E196=""),"",F196/D196)</f>
        <v/>
      </c>
      <c r="H196" s="14">
        <f>IF(OR(A196="",D196="",E196=""),"",E196/D196)</f>
        <v/>
      </c>
      <c r="I196" s="5">
        <f>IF(A196="","",COUNTIFS('Recipe BOM'!$B:$B,A196,'Recipe BOM'!$D:$D,"&lt;&gt;"))</f>
        <v/>
      </c>
      <c r="J196" s="5">
        <f>IF(A196="","",COUNTIFS('Recipe BOM'!$B:$B,A196,'Recipe BOM'!$D:$D,"&lt;&gt;",'Recipe BOM'!$L:$L,"&lt;&gt;OK"))</f>
        <v/>
      </c>
      <c r="K196" s="5">
        <f>IF(A196="","",IF(I196=0,"No recipe",IF(J196&gt;0,"Check recipe/items",IF(D196="","Enter selling price","OK"))))</f>
        <v/>
      </c>
    </row>
    <row r="197">
      <c r="A197" s="5">
        <f>IF(Products!A197="","",Products!A197)</f>
        <v/>
      </c>
      <c r="B197" s="5">
        <f>IF(A197="","",Products!B197)</f>
        <v/>
      </c>
      <c r="C197" s="5">
        <f>IF(A197="","",Products!C197)</f>
        <v/>
      </c>
      <c r="D197" s="13">
        <f>IF(A197="","",Products!D197)</f>
        <v/>
      </c>
      <c r="E197" s="13">
        <f>IF(A197="","",SUMIFS('Recipe BOM'!$K:$K,'Recipe BOM'!$B:$B,A197))</f>
        <v/>
      </c>
      <c r="F197" s="13">
        <f>IF(OR(A197="",D197="",E197=""),"",D197-E197)</f>
        <v/>
      </c>
      <c r="G197" s="14">
        <f>IF(OR(A197="",D197="",E197=""),"",F197/D197)</f>
        <v/>
      </c>
      <c r="H197" s="14">
        <f>IF(OR(A197="",D197="",E197=""),"",E197/D197)</f>
        <v/>
      </c>
      <c r="I197" s="5">
        <f>IF(A197="","",COUNTIFS('Recipe BOM'!$B:$B,A197,'Recipe BOM'!$D:$D,"&lt;&gt;"))</f>
        <v/>
      </c>
      <c r="J197" s="5">
        <f>IF(A197="","",COUNTIFS('Recipe BOM'!$B:$B,A197,'Recipe BOM'!$D:$D,"&lt;&gt;",'Recipe BOM'!$L:$L,"&lt;&gt;OK"))</f>
        <v/>
      </c>
      <c r="K197" s="5">
        <f>IF(A197="","",IF(I197=0,"No recipe",IF(J197&gt;0,"Check recipe/items",IF(D197="","Enter selling price","OK"))))</f>
        <v/>
      </c>
    </row>
    <row r="198">
      <c r="A198" s="5">
        <f>IF(Products!A198="","",Products!A198)</f>
        <v/>
      </c>
      <c r="B198" s="5">
        <f>IF(A198="","",Products!B198)</f>
        <v/>
      </c>
      <c r="C198" s="5">
        <f>IF(A198="","",Products!C198)</f>
        <v/>
      </c>
      <c r="D198" s="13">
        <f>IF(A198="","",Products!D198)</f>
        <v/>
      </c>
      <c r="E198" s="13">
        <f>IF(A198="","",SUMIFS('Recipe BOM'!$K:$K,'Recipe BOM'!$B:$B,A198))</f>
        <v/>
      </c>
      <c r="F198" s="13">
        <f>IF(OR(A198="",D198="",E198=""),"",D198-E198)</f>
        <v/>
      </c>
      <c r="G198" s="14">
        <f>IF(OR(A198="",D198="",E198=""),"",F198/D198)</f>
        <v/>
      </c>
      <c r="H198" s="14">
        <f>IF(OR(A198="",D198="",E198=""),"",E198/D198)</f>
        <v/>
      </c>
      <c r="I198" s="5">
        <f>IF(A198="","",COUNTIFS('Recipe BOM'!$B:$B,A198,'Recipe BOM'!$D:$D,"&lt;&gt;"))</f>
        <v/>
      </c>
      <c r="J198" s="5">
        <f>IF(A198="","",COUNTIFS('Recipe BOM'!$B:$B,A198,'Recipe BOM'!$D:$D,"&lt;&gt;",'Recipe BOM'!$L:$L,"&lt;&gt;OK"))</f>
        <v/>
      </c>
      <c r="K198" s="5">
        <f>IF(A198="","",IF(I198=0,"No recipe",IF(J198&gt;0,"Check recipe/items",IF(D198="","Enter selling price","OK"))))</f>
        <v/>
      </c>
    </row>
    <row r="199">
      <c r="A199" s="5">
        <f>IF(Products!A199="","",Products!A199)</f>
        <v/>
      </c>
      <c r="B199" s="5">
        <f>IF(A199="","",Products!B199)</f>
        <v/>
      </c>
      <c r="C199" s="5">
        <f>IF(A199="","",Products!C199)</f>
        <v/>
      </c>
      <c r="D199" s="13">
        <f>IF(A199="","",Products!D199)</f>
        <v/>
      </c>
      <c r="E199" s="13">
        <f>IF(A199="","",SUMIFS('Recipe BOM'!$K:$K,'Recipe BOM'!$B:$B,A199))</f>
        <v/>
      </c>
      <c r="F199" s="13">
        <f>IF(OR(A199="",D199="",E199=""),"",D199-E199)</f>
        <v/>
      </c>
      <c r="G199" s="14">
        <f>IF(OR(A199="",D199="",E199=""),"",F199/D199)</f>
        <v/>
      </c>
      <c r="H199" s="14">
        <f>IF(OR(A199="",D199="",E199=""),"",E199/D199)</f>
        <v/>
      </c>
      <c r="I199" s="5">
        <f>IF(A199="","",COUNTIFS('Recipe BOM'!$B:$B,A199,'Recipe BOM'!$D:$D,"&lt;&gt;"))</f>
        <v/>
      </c>
      <c r="J199" s="5">
        <f>IF(A199="","",COUNTIFS('Recipe BOM'!$B:$B,A199,'Recipe BOM'!$D:$D,"&lt;&gt;",'Recipe BOM'!$L:$L,"&lt;&gt;OK"))</f>
        <v/>
      </c>
      <c r="K199" s="5">
        <f>IF(A199="","",IF(I199=0,"No recipe",IF(J199&gt;0,"Check recipe/items",IF(D199="","Enter selling price","OK"))))</f>
        <v/>
      </c>
    </row>
    <row r="200">
      <c r="A200" s="5">
        <f>IF(Products!A200="","",Products!A200)</f>
        <v/>
      </c>
      <c r="B200" s="5">
        <f>IF(A200="","",Products!B200)</f>
        <v/>
      </c>
      <c r="C200" s="5">
        <f>IF(A200="","",Products!C200)</f>
        <v/>
      </c>
      <c r="D200" s="13">
        <f>IF(A200="","",Products!D200)</f>
        <v/>
      </c>
      <c r="E200" s="13">
        <f>IF(A200="","",SUMIFS('Recipe BOM'!$K:$K,'Recipe BOM'!$B:$B,A200))</f>
        <v/>
      </c>
      <c r="F200" s="13">
        <f>IF(OR(A200="",D200="",E200=""),"",D200-E200)</f>
        <v/>
      </c>
      <c r="G200" s="14">
        <f>IF(OR(A200="",D200="",E200=""),"",F200/D200)</f>
        <v/>
      </c>
      <c r="H200" s="14">
        <f>IF(OR(A200="",D200="",E200=""),"",E200/D200)</f>
        <v/>
      </c>
      <c r="I200" s="5">
        <f>IF(A200="","",COUNTIFS('Recipe BOM'!$B:$B,A200,'Recipe BOM'!$D:$D,"&lt;&gt;"))</f>
        <v/>
      </c>
      <c r="J200" s="5">
        <f>IF(A200="","",COUNTIFS('Recipe BOM'!$B:$B,A200,'Recipe BOM'!$D:$D,"&lt;&gt;",'Recipe BOM'!$L:$L,"&lt;&gt;OK"))</f>
        <v/>
      </c>
      <c r="K200" s="5">
        <f>IF(A200="","",IF(I200=0,"No recipe",IF(J200&gt;0,"Check recipe/items",IF(D200="","Enter selling price","OK"))))</f>
        <v/>
      </c>
    </row>
    <row r="201">
      <c r="A201" s="5">
        <f>IF(Products!A201="","",Products!A201)</f>
        <v/>
      </c>
      <c r="B201" s="5">
        <f>IF(A201="","",Products!B201)</f>
        <v/>
      </c>
      <c r="C201" s="5">
        <f>IF(A201="","",Products!C201)</f>
        <v/>
      </c>
      <c r="D201" s="13">
        <f>IF(A201="","",Products!D201)</f>
        <v/>
      </c>
      <c r="E201" s="13">
        <f>IF(A201="","",SUMIFS('Recipe BOM'!$K:$K,'Recipe BOM'!$B:$B,A201))</f>
        <v/>
      </c>
      <c r="F201" s="13">
        <f>IF(OR(A201="",D201="",E201=""),"",D201-E201)</f>
        <v/>
      </c>
      <c r="G201" s="14">
        <f>IF(OR(A201="",D201="",E201=""),"",F201/D201)</f>
        <v/>
      </c>
      <c r="H201" s="14">
        <f>IF(OR(A201="",D201="",E201=""),"",E201/D201)</f>
        <v/>
      </c>
      <c r="I201" s="5">
        <f>IF(A201="","",COUNTIFS('Recipe BOM'!$B:$B,A201,'Recipe BOM'!$D:$D,"&lt;&gt;"))</f>
        <v/>
      </c>
      <c r="J201" s="5">
        <f>IF(A201="","",COUNTIFS('Recipe BOM'!$B:$B,A201,'Recipe BOM'!$D:$D,"&lt;&gt;",'Recipe BOM'!$L:$L,"&lt;&gt;OK"))</f>
        <v/>
      </c>
      <c r="K201" s="5">
        <f>IF(A201="","",IF(I201=0,"No recipe",IF(J201&gt;0,"Check recipe/items",IF(D201="","Enter selling price","OK"))))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2026-06-22T15:59:06Z</dcterms:created>
  <dcterms:modified xsi:type="dcterms:W3CDTF">2026-06-22T15:59:07Z</dcterms:modified>
</cp:coreProperties>
</file>