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gredients" sheetId="2" state="visible" r:id="rId2"/>
    <sheet name="Recipe Usage" sheetId="3" state="visible" r:id="rId3"/>
    <sheet name="Cost Breakdown" sheetId="4" state="visible" r:id="rId4"/>
    <sheet name="Product Summary" sheetId="5" state="visible" r:id="rId5"/>
    <sheet name="Margin Pricing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IngredientsTable" displayName="IngredientsTable" ref="A1:F10" headerRowCount="1">
  <autoFilter ref="A1:F10"/>
  <tableColumns count="6">
    <tableColumn id="1" name="Ingredient"/>
    <tableColumn id="2" name="Measurement Unit"/>
    <tableColumn id="3" name="Purchase Qty"/>
    <tableColumn id="4" name="Purchase Cost"/>
    <tableColumn id="5" name="Cost Per Unit"/>
    <tableColumn id="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cipeUsageTable" displayName="RecipeUsageTable" ref="A1:L7" headerRowCount="1">
  <autoFilter ref="A1:L7"/>
  <tableColumns count="12">
    <tableColumn id="1" name="Product"/>
    <tableColumn id="2" name="Package Option"/>
    <tableColumn id="3" name="Selling Price"/>
    <tableColumn id="4" name="Baguette (pc)"/>
    <tableColumn id="5" name="Butter (g)"/>
    <tableColumn id="6" name="Garlic (bulb)"/>
    <tableColumn id="7" name="Cheese (g)"/>
    <tableColumn id="8" name="Parmesan Cheese (g)"/>
    <tableColumn id="9" name="Parsley (g)"/>
    <tableColumn id="10" name="Brown Sugar (g)"/>
    <tableColumn id="11" name="Takeout Box (pc)"/>
    <tableColumn id="12" name="Dine-in Box (pc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stBreakdownTable" displayName="CostBreakdownTable" ref="A1:H55" headerRowCount="1">
  <autoFilter ref="A1:H55"/>
  <tableColumns count="8">
    <tableColumn id="1" name="Product"/>
    <tableColumn id="2" name="Package Option"/>
    <tableColumn id="3" name="Selling Price"/>
    <tableColumn id="4" name="Ingredient"/>
    <tableColumn id="5" name="Quantity"/>
    <tableColumn id="6" name="Unit"/>
    <tableColumn id="7" name="Cost Per Unit"/>
    <tableColumn id="8" name="Ingredient Co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ductSummaryTable" displayName="ProductSummaryTable" ref="A1:K7" headerRowCount="1">
  <autoFilter ref="A1:K7"/>
  <tableColumns count="11">
    <tableColumn id="1" name="Product"/>
    <tableColumn id="2" name="Package Option"/>
    <tableColumn id="3" name="Selling Price"/>
    <tableColumn id="4" name="Food Cost"/>
    <tableColumn id="5" name="Packaging Cost"/>
    <tableColumn id="6" name="Capital Per Serving"/>
    <tableColumn id="7" name="Profit"/>
    <tableColumn id="8" name="Margin %"/>
    <tableColumn id="9" name="Capital % of Price"/>
    <tableColumn id="10" name="Missing Cost Inputs"/>
    <tableColumn id="11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arginPricingTable" displayName="MarginPricingTable" ref="A1:Q7" headerRowCount="1">
  <autoFilter ref="A1:Q7"/>
  <tableColumns count="17">
    <tableColumn id="1" name="Product"/>
    <tableColumn id="2" name="Package Option"/>
    <tableColumn id="3" name="Capital Per Serving"/>
    <tableColumn id="4" name="20% Margin Exact Price"/>
    <tableColumn id="5" name="20% Margin Rounded Up"/>
    <tableColumn id="6" name="25% Margin Exact Price"/>
    <tableColumn id="7" name="25% Margin Rounded Up"/>
    <tableColumn id="8" name="30% Margin Exact Price"/>
    <tableColumn id="9" name="30% Margin Rounded Up"/>
    <tableColumn id="10" name="35% Margin Exact Price"/>
    <tableColumn id="11" name="35% Margin Rounded Up"/>
    <tableColumn id="12" name="40% Margin Exact Price"/>
    <tableColumn id="13" name="40% Margin Rounded Up"/>
    <tableColumn id="14" name="45% Margin Exact Price"/>
    <tableColumn id="15" name="45% Margin Rounded Up"/>
    <tableColumn id="16" name="50% Margin Exact Price"/>
    <tableColumn id="17" name="50% Margin Rounded 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Toastie Costing System</t>
        </is>
      </c>
      <c r="B1" s="2" t="n"/>
    </row>
    <row r="2">
      <c r="A2" s="2" t="n"/>
      <c r="B2" s="2" t="n"/>
    </row>
    <row r="3">
      <c r="A3" s="3" t="inlineStr">
        <is>
          <t>How to use</t>
        </is>
      </c>
      <c r="B3" s="2" t="n"/>
    </row>
    <row r="4">
      <c r="A4" s="2" t="inlineStr">
        <is>
          <t>1. Update purchase quantities and prices in the Ingredients sheet.</t>
        </is>
      </c>
      <c r="B4" s="2" t="n"/>
    </row>
    <row r="5">
      <c r="A5" s="2" t="inlineStr">
        <is>
          <t>2. Update per-serving ingredient quantities in the Recipe Usage sheet if your recipe changes.</t>
        </is>
      </c>
      <c r="B5" s="2" t="n"/>
    </row>
    <row r="6">
      <c r="A6" s="2" t="inlineStr">
        <is>
          <t>3. Enter your chosen selling price in the Recipe Usage sheet.</t>
        </is>
      </c>
      <c r="B6" s="2" t="n"/>
    </row>
    <row r="7">
      <c r="A7" s="2" t="inlineStr">
        <is>
          <t>4. Review Product Summary for capital per serving, packaging cost, profit, and actual margin.</t>
        </is>
      </c>
      <c r="B7" s="2" t="n"/>
    </row>
    <row r="8">
      <c r="A8" s="2" t="inlineStr">
        <is>
          <t>5. Review Margin Pricing for exact and rounded selling price options from 20% to 50% margin.</t>
        </is>
      </c>
      <c r="B8" s="2" t="n"/>
    </row>
    <row r="9">
      <c r="A9" s="2" t="inlineStr">
        <is>
          <t>6. Yellow cells are editable inputs. Green cells are formulas that recalculate automatically in Excel or Google Sheets.</t>
        </is>
      </c>
      <c r="B9" s="2" t="n"/>
    </row>
    <row r="10">
      <c r="A10" s="2" t="n"/>
      <c r="B10" s="2" t="n"/>
    </row>
    <row r="11">
      <c r="A11" s="3" t="inlineStr">
        <is>
          <t>Current assumptions</t>
        </is>
      </c>
      <c r="B11" s="2" t="n"/>
    </row>
    <row r="12">
      <c r="A12" s="2" t="inlineStr">
        <is>
          <t>1 baguette = 7 servings.</t>
        </is>
      </c>
      <c r="B12" s="2" t="n"/>
    </row>
    <row r="13">
      <c r="A13" s="2" t="inlineStr">
        <is>
          <t>Garlic Cheese Toasties use baguette, butter, garlic, cheese, parmesan, and fresh parsley.</t>
        </is>
      </c>
      <c r="B13" s="2" t="n"/>
    </row>
    <row r="14">
      <c r="A14" s="2" t="inlineStr">
        <is>
          <t>Sugar Rush Toasties use baguette, butter, and brown sugar.</t>
        </is>
      </c>
      <c r="B14" s="2" t="n"/>
    </row>
    <row r="15">
      <c r="A15" s="2" t="inlineStr">
        <is>
          <t>Shredded cheese default: 185g cheese pack divided by 10 servings = 18.5g per serving.</t>
        </is>
      </c>
      <c r="B15" s="2" t="n"/>
    </row>
    <row r="16">
      <c r="A16" s="2" t="inlineStr">
        <is>
          <t>Parmesan default: 25g divided by 10 servings = 2.5g per serving.</t>
        </is>
      </c>
      <c r="B16" s="2" t="n"/>
    </row>
    <row r="17">
      <c r="A17" s="2" t="inlineStr">
        <is>
          <t>Fresh chopped parsley estimate: 3 tbsp = 11.4g for 10 servings = 1.14g per serving.</t>
        </is>
      </c>
      <c r="B17" s="2" t="n"/>
    </row>
    <row r="18">
      <c r="A18" s="2" t="inlineStr">
        <is>
          <t>Boxes are optional and represented as No Box, Dine-in, and Takeout variants.</t>
        </is>
      </c>
      <c r="B18" s="2" t="n"/>
    </row>
    <row r="19">
      <c r="A19" s="2" t="inlineStr">
        <is>
          <t>All prices and costs should use the same currency.</t>
        </is>
      </c>
      <c r="B19" s="2" t="n"/>
    </row>
    <row r="20">
      <c r="A20" s="2" t="n"/>
      <c r="B20" s="2" t="n"/>
    </row>
    <row r="21">
      <c r="A21" s="2" t="n"/>
      <c r="B21" s="2" t="n"/>
    </row>
    <row r="22">
      <c r="A22" s="3" t="inlineStr">
        <is>
          <t>Formula color guide</t>
        </is>
      </c>
      <c r="B22" s="2" t="n"/>
    </row>
    <row r="23">
      <c r="A23" s="4" t="inlineStr">
        <is>
          <t>Yellow</t>
        </is>
      </c>
      <c r="B23" s="2" t="inlineStr">
        <is>
          <t>Input cells: enter prices, purchase quantities, recipe quantities, and chosen selling price.</t>
        </is>
      </c>
    </row>
    <row r="24">
      <c r="A24" s="5" t="inlineStr">
        <is>
          <t>Green</t>
        </is>
      </c>
      <c r="B24" s="2" t="inlineStr">
        <is>
          <t>Formula cells: calculated automatically.</t>
        </is>
      </c>
    </row>
    <row r="25">
      <c r="A25" s="6" t="inlineStr">
        <is>
          <t>Blue</t>
        </is>
      </c>
      <c r="B25" s="2" t="inlineStr">
        <is>
          <t>Table headers.</t>
        </is>
      </c>
    </row>
    <row r="26">
      <c r="A26" s="7" t="inlineStr">
        <is>
          <t>Orange</t>
        </is>
      </c>
      <c r="B26" s="2" t="inlineStr">
        <is>
          <t>Notes and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64" customWidth="1" min="6" max="6"/>
  </cols>
  <sheetData>
    <row r="1">
      <c r="A1" s="6" t="inlineStr">
        <is>
          <t>Ingredient</t>
        </is>
      </c>
      <c r="B1" s="6" t="inlineStr">
        <is>
          <t>Measurement Unit</t>
        </is>
      </c>
      <c r="C1" s="6" t="inlineStr">
        <is>
          <t>Purchase Qty</t>
        </is>
      </c>
      <c r="D1" s="6" t="inlineStr">
        <is>
          <t>Purchase Cost</t>
        </is>
      </c>
      <c r="E1" s="6" t="inlineStr">
        <is>
          <t>Cost Per Unit</t>
        </is>
      </c>
      <c r="F1" s="6" t="inlineStr">
        <is>
          <t>Notes</t>
        </is>
      </c>
    </row>
    <row r="2">
      <c r="A2" s="2" t="inlineStr">
        <is>
          <t>Baguette</t>
        </is>
      </c>
      <c r="B2" s="2" t="inlineStr">
        <is>
          <t>pc</t>
        </is>
      </c>
      <c r="C2" s="8" t="n">
        <v>1</v>
      </c>
      <c r="D2" s="8" t="n">
        <v>85</v>
      </c>
      <c r="E2" s="9">
        <f>IF(OR(C2="",D2=""),"",D2/C2)</f>
        <v/>
      </c>
      <c r="F2" s="7" t="inlineStr">
        <is>
          <t>1 baguette is used as 7 toastie servings.</t>
        </is>
      </c>
    </row>
    <row r="3">
      <c r="A3" s="2" t="inlineStr">
        <is>
          <t>Butter</t>
        </is>
      </c>
      <c r="B3" s="2" t="inlineStr">
        <is>
          <t>g</t>
        </is>
      </c>
      <c r="C3" s="8" t="n">
        <v>200</v>
      </c>
      <c r="D3" s="8" t="n">
        <v>49</v>
      </c>
      <c r="E3" s="9">
        <f>IF(OR(C3="",D3=""),"",D3/C3)</f>
        <v/>
      </c>
      <c r="F3" s="7" t="inlineStr">
        <is>
          <t>Purchase pack is 200g.</t>
        </is>
      </c>
    </row>
    <row r="4">
      <c r="A4" s="2" t="inlineStr">
        <is>
          <t>Garlic</t>
        </is>
      </c>
      <c r="B4" s="2" t="inlineStr">
        <is>
          <t>bulb</t>
        </is>
      </c>
      <c r="C4" s="8" t="n">
        <v>7</v>
      </c>
      <c r="D4" s="8" t="n">
        <v>35</v>
      </c>
      <c r="E4" s="9">
        <f>IF(OR(C4="",D4=""),"",D4/C4)</f>
        <v/>
      </c>
      <c r="F4" s="7" t="inlineStr">
        <is>
          <t>Purchase pack has 7 bulbs.</t>
        </is>
      </c>
    </row>
    <row r="5">
      <c r="A5" s="2" t="inlineStr">
        <is>
          <t>Cheese</t>
        </is>
      </c>
      <c r="B5" s="2" t="inlineStr">
        <is>
          <t>g</t>
        </is>
      </c>
      <c r="C5" s="8" t="n">
        <v>185</v>
      </c>
      <c r="D5" s="8" t="n">
        <v>90</v>
      </c>
      <c r="E5" s="9">
        <f>IF(OR(C5="",D5=""),"",D5/C5)</f>
        <v/>
      </c>
      <c r="F5" s="7" t="inlineStr">
        <is>
          <t>Default recipe assumes the 185g pack covers 10 servings.</t>
        </is>
      </c>
    </row>
    <row r="6">
      <c r="A6" s="2" t="inlineStr">
        <is>
          <t>Parmesan Cheese</t>
        </is>
      </c>
      <c r="B6" s="2" t="inlineStr">
        <is>
          <t>g</t>
        </is>
      </c>
      <c r="C6" s="8" t="n">
        <v>350</v>
      </c>
      <c r="D6" s="8" t="n">
        <v>212</v>
      </c>
      <c r="E6" s="9">
        <f>IF(OR(C6="",D6=""),"",D6/C6)</f>
        <v/>
      </c>
      <c r="F6" s="7" t="inlineStr">
        <is>
          <t>1/4 cup parmesan is estimated as 25g for 10 servings.</t>
        </is>
      </c>
    </row>
    <row r="7">
      <c r="A7" s="2" t="inlineStr">
        <is>
          <t>Parsley</t>
        </is>
      </c>
      <c r="B7" s="2" t="inlineStr">
        <is>
          <t>g</t>
        </is>
      </c>
      <c r="C7" s="8" t="n">
        <v>100</v>
      </c>
      <c r="D7" s="8" t="n">
        <v>40</v>
      </c>
      <c r="E7" s="9">
        <f>IF(OR(C7="",D7=""),"",D7/C7)</f>
        <v/>
      </c>
      <c r="F7" s="7" t="inlineStr">
        <is>
          <t>Fresh chopped parsley estimate: 1 tbsp = 3.8g.</t>
        </is>
      </c>
    </row>
    <row r="8">
      <c r="A8" s="2" t="inlineStr">
        <is>
          <t>Brown Sugar</t>
        </is>
      </c>
      <c r="B8" s="2" t="inlineStr">
        <is>
          <t>g</t>
        </is>
      </c>
      <c r="C8" s="8" t="n">
        <v>250</v>
      </c>
      <c r="D8" s="8" t="n">
        <v>20</v>
      </c>
      <c r="E8" s="9">
        <f>IF(OR(C8="",D8=""),"",D8/C8)</f>
        <v/>
      </c>
      <c r="F8" s="7" t="inlineStr">
        <is>
          <t>250g sugar covers 25 Sugar Rush servings.</t>
        </is>
      </c>
    </row>
    <row r="9">
      <c r="A9" s="2" t="inlineStr">
        <is>
          <t>Takeout Box</t>
        </is>
      </c>
      <c r="B9" s="2" t="inlineStr">
        <is>
          <t>pc</t>
        </is>
      </c>
      <c r="C9" s="8" t="n">
        <v>10</v>
      </c>
      <c r="D9" s="8" t="n">
        <v>70</v>
      </c>
      <c r="E9" s="9">
        <f>IF(OR(C9="",D9=""),"",D9/C9)</f>
        <v/>
      </c>
      <c r="F9" s="7" t="inlineStr">
        <is>
          <t>Optional packaging: 1 box per serving.</t>
        </is>
      </c>
    </row>
    <row r="10">
      <c r="A10" s="2" t="inlineStr">
        <is>
          <t>Dine-in Box</t>
        </is>
      </c>
      <c r="B10" s="2" t="inlineStr">
        <is>
          <t>pc</t>
        </is>
      </c>
      <c r="C10" s="8" t="n">
        <v>25</v>
      </c>
      <c r="D10" s="8" t="n">
        <v>60</v>
      </c>
      <c r="E10" s="9">
        <f>IF(OR(C10="",D10=""),"",D10/C10)</f>
        <v/>
      </c>
      <c r="F10" s="7" t="inlineStr">
        <is>
          <t>Optional packaging: 1 box per serving.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20" customWidth="1" min="8" max="8"/>
    <col width="12" customWidth="1" min="9" max="9"/>
    <col width="16" customWidth="1" min="10" max="10"/>
    <col width="18" customWidth="1" min="11" max="11"/>
    <col width="18" customWidth="1" min="12" max="12"/>
  </cols>
  <sheetData>
    <row r="1">
      <c r="A1" s="6" t="inlineStr">
        <is>
          <t>Product</t>
        </is>
      </c>
      <c r="B1" s="6" t="inlineStr">
        <is>
          <t>Package Option</t>
        </is>
      </c>
      <c r="C1" s="6" t="inlineStr">
        <is>
          <t>Selling Price</t>
        </is>
      </c>
      <c r="D1" s="6" t="inlineStr">
        <is>
          <t>Baguette (pc)</t>
        </is>
      </c>
      <c r="E1" s="6" t="inlineStr">
        <is>
          <t>Butter (g)</t>
        </is>
      </c>
      <c r="F1" s="6" t="inlineStr">
        <is>
          <t>Garlic (bulb)</t>
        </is>
      </c>
      <c r="G1" s="6" t="inlineStr">
        <is>
          <t>Cheese (g)</t>
        </is>
      </c>
      <c r="H1" s="6" t="inlineStr">
        <is>
          <t>Parmesan Cheese (g)</t>
        </is>
      </c>
      <c r="I1" s="6" t="inlineStr">
        <is>
          <t>Parsley (g)</t>
        </is>
      </c>
      <c r="J1" s="6" t="inlineStr">
        <is>
          <t>Brown Sugar (g)</t>
        </is>
      </c>
      <c r="K1" s="6" t="inlineStr">
        <is>
          <t>Takeout Box (pc)</t>
        </is>
      </c>
      <c r="L1" s="6" t="inlineStr">
        <is>
          <t>Dine-in Box (pc)</t>
        </is>
      </c>
    </row>
    <row r="2">
      <c r="A2" s="2" t="inlineStr">
        <is>
          <t>Garlic Cheese Toasties</t>
        </is>
      </c>
      <c r="B2" s="2" t="inlineStr">
        <is>
          <t>No Box</t>
        </is>
      </c>
      <c r="C2" s="8" t="inlineStr"/>
      <c r="D2" s="8" t="n">
        <v>0.1428571428571428</v>
      </c>
      <c r="E2" s="8" t="n">
        <v>11.3</v>
      </c>
      <c r="F2" s="8" t="n">
        <v>0.4</v>
      </c>
      <c r="G2" s="8" t="n">
        <v>18.5</v>
      </c>
      <c r="H2" s="8" t="n">
        <v>2.5</v>
      </c>
      <c r="I2" s="8" t="n">
        <v>1.14</v>
      </c>
      <c r="J2" s="8" t="n">
        <v>0</v>
      </c>
      <c r="K2" s="8" t="n">
        <v>0</v>
      </c>
      <c r="L2" s="8" t="n">
        <v>0</v>
      </c>
    </row>
    <row r="3">
      <c r="A3" s="2" t="inlineStr">
        <is>
          <t>Garlic Cheese Toasties</t>
        </is>
      </c>
      <c r="B3" s="2" t="inlineStr">
        <is>
          <t>Dine-in</t>
        </is>
      </c>
      <c r="C3" s="8" t="inlineStr"/>
      <c r="D3" s="8" t="n">
        <v>0.1428571428571428</v>
      </c>
      <c r="E3" s="8" t="n">
        <v>11.3</v>
      </c>
      <c r="F3" s="8" t="n">
        <v>0.4</v>
      </c>
      <c r="G3" s="8" t="n">
        <v>18.5</v>
      </c>
      <c r="H3" s="8" t="n">
        <v>2.5</v>
      </c>
      <c r="I3" s="8" t="n">
        <v>1.14</v>
      </c>
      <c r="J3" s="8" t="n">
        <v>0</v>
      </c>
      <c r="K3" s="8" t="n">
        <v>0</v>
      </c>
      <c r="L3" s="8" t="n">
        <v>1</v>
      </c>
    </row>
    <row r="4">
      <c r="A4" s="2" t="inlineStr">
        <is>
          <t>Garlic Cheese Toasties</t>
        </is>
      </c>
      <c r="B4" s="2" t="inlineStr">
        <is>
          <t>Takeout</t>
        </is>
      </c>
      <c r="C4" s="8" t="inlineStr"/>
      <c r="D4" s="8" t="n">
        <v>0.1428571428571428</v>
      </c>
      <c r="E4" s="8" t="n">
        <v>11.3</v>
      </c>
      <c r="F4" s="8" t="n">
        <v>0.4</v>
      </c>
      <c r="G4" s="8" t="n">
        <v>18.5</v>
      </c>
      <c r="H4" s="8" t="n">
        <v>2.5</v>
      </c>
      <c r="I4" s="8" t="n">
        <v>1.14</v>
      </c>
      <c r="J4" s="8" t="n">
        <v>0</v>
      </c>
      <c r="K4" s="8" t="n">
        <v>1</v>
      </c>
      <c r="L4" s="8" t="n">
        <v>0</v>
      </c>
    </row>
    <row r="5">
      <c r="A5" s="2" t="inlineStr">
        <is>
          <t>Sugar Rush Toasties</t>
        </is>
      </c>
      <c r="B5" s="2" t="inlineStr">
        <is>
          <t>No Box</t>
        </is>
      </c>
      <c r="C5" s="8" t="inlineStr"/>
      <c r="D5" s="8" t="n">
        <v>0.1428571428571428</v>
      </c>
      <c r="E5" s="8" t="n">
        <v>10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10</v>
      </c>
      <c r="K5" s="8" t="n">
        <v>0</v>
      </c>
      <c r="L5" s="8" t="n">
        <v>0</v>
      </c>
    </row>
    <row r="6">
      <c r="A6" s="2" t="inlineStr">
        <is>
          <t>Sugar Rush Toasties</t>
        </is>
      </c>
      <c r="B6" s="2" t="inlineStr">
        <is>
          <t>Dine-in</t>
        </is>
      </c>
      <c r="C6" s="8" t="inlineStr"/>
      <c r="D6" s="8" t="n">
        <v>0.1428571428571428</v>
      </c>
      <c r="E6" s="8" t="n">
        <v>10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10</v>
      </c>
      <c r="K6" s="8" t="n">
        <v>0</v>
      </c>
      <c r="L6" s="8" t="n">
        <v>1</v>
      </c>
    </row>
    <row r="7">
      <c r="A7" s="2" t="inlineStr">
        <is>
          <t>Sugar Rush Toasties</t>
        </is>
      </c>
      <c r="B7" s="2" t="inlineStr">
        <is>
          <t>Takeout</t>
        </is>
      </c>
      <c r="C7" s="8" t="inlineStr"/>
      <c r="D7" s="8" t="n">
        <v>0.1428571428571428</v>
      </c>
      <c r="E7" s="8" t="n">
        <v>10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10</v>
      </c>
      <c r="K7" s="8" t="n">
        <v>1</v>
      </c>
      <c r="L7" s="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2" customWidth="1" min="4" max="4"/>
    <col width="14" customWidth="1" min="5" max="5"/>
    <col width="10" customWidth="1" min="6" max="6"/>
    <col width="16" customWidth="1" min="7" max="7"/>
    <col width="18" customWidth="1" min="8" max="8"/>
  </cols>
  <sheetData>
    <row r="1">
      <c r="A1" s="6" t="inlineStr">
        <is>
          <t>Product</t>
        </is>
      </c>
      <c r="B1" s="6" t="inlineStr">
        <is>
          <t>Package Option</t>
        </is>
      </c>
      <c r="C1" s="6" t="inlineStr">
        <is>
          <t>Selling Price</t>
        </is>
      </c>
      <c r="D1" s="6" t="inlineStr">
        <is>
          <t>Ingredient</t>
        </is>
      </c>
      <c r="E1" s="6" t="inlineStr">
        <is>
          <t>Quantity</t>
        </is>
      </c>
      <c r="F1" s="6" t="inlineStr">
        <is>
          <t>Unit</t>
        </is>
      </c>
      <c r="G1" s="6" t="inlineStr">
        <is>
          <t>Cost Per Unit</t>
        </is>
      </c>
      <c r="H1" s="6" t="inlineStr">
        <is>
          <t>Ingredient Cost</t>
        </is>
      </c>
    </row>
    <row r="2">
      <c r="A2" s="2" t="inlineStr">
        <is>
          <t>Garlic Cheese Toasties</t>
        </is>
      </c>
      <c r="B2" s="2" t="inlineStr">
        <is>
          <t>No Box</t>
        </is>
      </c>
      <c r="C2" s="10">
        <f>'Recipe Usage'!C2</f>
        <v/>
      </c>
      <c r="D2" s="2" t="inlineStr">
        <is>
          <t>Baguette</t>
        </is>
      </c>
      <c r="E2" s="10">
        <f>'Recipe Usage'!D2</f>
        <v/>
      </c>
      <c r="F2" s="2" t="inlineStr">
        <is>
          <t>pc</t>
        </is>
      </c>
      <c r="G2" s="9">
        <f>IFERROR(VLOOKUP(D2,'Ingredients'!$A$2:$E$10,5,FALSE),"")</f>
        <v/>
      </c>
      <c r="H2" s="10">
        <f>IF(OR(E2=0,G2=""),0,E2*G2)</f>
        <v/>
      </c>
    </row>
    <row r="3">
      <c r="A3" s="2" t="inlineStr">
        <is>
          <t>Garlic Cheese Toasties</t>
        </is>
      </c>
      <c r="B3" s="2" t="inlineStr">
        <is>
          <t>No Box</t>
        </is>
      </c>
      <c r="C3" s="10">
        <f>'Recipe Usage'!C2</f>
        <v/>
      </c>
      <c r="D3" s="2" t="inlineStr">
        <is>
          <t>Butter</t>
        </is>
      </c>
      <c r="E3" s="10">
        <f>'Recipe Usage'!E2</f>
        <v/>
      </c>
      <c r="F3" s="2" t="inlineStr">
        <is>
          <t>g</t>
        </is>
      </c>
      <c r="G3" s="9">
        <f>IFERROR(VLOOKUP(D3,'Ingredients'!$A$2:$E$10,5,FALSE),"")</f>
        <v/>
      </c>
      <c r="H3" s="10">
        <f>IF(OR(E3=0,G3=""),0,E3*G3)</f>
        <v/>
      </c>
    </row>
    <row r="4">
      <c r="A4" s="2" t="inlineStr">
        <is>
          <t>Garlic Cheese Toasties</t>
        </is>
      </c>
      <c r="B4" s="2" t="inlineStr">
        <is>
          <t>No Box</t>
        </is>
      </c>
      <c r="C4" s="10">
        <f>'Recipe Usage'!C2</f>
        <v/>
      </c>
      <c r="D4" s="2" t="inlineStr">
        <is>
          <t>Garlic</t>
        </is>
      </c>
      <c r="E4" s="10">
        <f>'Recipe Usage'!F2</f>
        <v/>
      </c>
      <c r="F4" s="2" t="inlineStr">
        <is>
          <t>bulb</t>
        </is>
      </c>
      <c r="G4" s="9">
        <f>IFERROR(VLOOKUP(D4,'Ingredients'!$A$2:$E$10,5,FALSE),"")</f>
        <v/>
      </c>
      <c r="H4" s="10">
        <f>IF(OR(E4=0,G4=""),0,E4*G4)</f>
        <v/>
      </c>
    </row>
    <row r="5">
      <c r="A5" s="2" t="inlineStr">
        <is>
          <t>Garlic Cheese Toasties</t>
        </is>
      </c>
      <c r="B5" s="2" t="inlineStr">
        <is>
          <t>No Box</t>
        </is>
      </c>
      <c r="C5" s="10">
        <f>'Recipe Usage'!C2</f>
        <v/>
      </c>
      <c r="D5" s="2" t="inlineStr">
        <is>
          <t>Cheese</t>
        </is>
      </c>
      <c r="E5" s="10">
        <f>'Recipe Usage'!G2</f>
        <v/>
      </c>
      <c r="F5" s="2" t="inlineStr">
        <is>
          <t>g</t>
        </is>
      </c>
      <c r="G5" s="9">
        <f>IFERROR(VLOOKUP(D5,'Ingredients'!$A$2:$E$10,5,FALSE),"")</f>
        <v/>
      </c>
      <c r="H5" s="10">
        <f>IF(OR(E5=0,G5=""),0,E5*G5)</f>
        <v/>
      </c>
    </row>
    <row r="6">
      <c r="A6" s="2" t="inlineStr">
        <is>
          <t>Garlic Cheese Toasties</t>
        </is>
      </c>
      <c r="B6" s="2" t="inlineStr">
        <is>
          <t>No Box</t>
        </is>
      </c>
      <c r="C6" s="10">
        <f>'Recipe Usage'!C2</f>
        <v/>
      </c>
      <c r="D6" s="2" t="inlineStr">
        <is>
          <t>Parmesan Cheese</t>
        </is>
      </c>
      <c r="E6" s="10">
        <f>'Recipe Usage'!H2</f>
        <v/>
      </c>
      <c r="F6" s="2" t="inlineStr">
        <is>
          <t>g</t>
        </is>
      </c>
      <c r="G6" s="9">
        <f>IFERROR(VLOOKUP(D6,'Ingredients'!$A$2:$E$10,5,FALSE),"")</f>
        <v/>
      </c>
      <c r="H6" s="10">
        <f>IF(OR(E6=0,G6=""),0,E6*G6)</f>
        <v/>
      </c>
    </row>
    <row r="7">
      <c r="A7" s="2" t="inlineStr">
        <is>
          <t>Garlic Cheese Toasties</t>
        </is>
      </c>
      <c r="B7" s="2" t="inlineStr">
        <is>
          <t>No Box</t>
        </is>
      </c>
      <c r="C7" s="10">
        <f>'Recipe Usage'!C2</f>
        <v/>
      </c>
      <c r="D7" s="2" t="inlineStr">
        <is>
          <t>Parsley</t>
        </is>
      </c>
      <c r="E7" s="10">
        <f>'Recipe Usage'!I2</f>
        <v/>
      </c>
      <c r="F7" s="2" t="inlineStr">
        <is>
          <t>g</t>
        </is>
      </c>
      <c r="G7" s="9">
        <f>IFERROR(VLOOKUP(D7,'Ingredients'!$A$2:$E$10,5,FALSE),"")</f>
        <v/>
      </c>
      <c r="H7" s="10">
        <f>IF(OR(E7=0,G7=""),0,E7*G7)</f>
        <v/>
      </c>
    </row>
    <row r="8">
      <c r="A8" s="2" t="inlineStr">
        <is>
          <t>Garlic Cheese Toasties</t>
        </is>
      </c>
      <c r="B8" s="2" t="inlineStr">
        <is>
          <t>No Box</t>
        </is>
      </c>
      <c r="C8" s="10">
        <f>'Recipe Usage'!C2</f>
        <v/>
      </c>
      <c r="D8" s="2" t="inlineStr">
        <is>
          <t>Brown Sugar</t>
        </is>
      </c>
      <c r="E8" s="10">
        <f>'Recipe Usage'!J2</f>
        <v/>
      </c>
      <c r="F8" s="2" t="inlineStr">
        <is>
          <t>g</t>
        </is>
      </c>
      <c r="G8" s="9">
        <f>IFERROR(VLOOKUP(D8,'Ingredients'!$A$2:$E$10,5,FALSE),"")</f>
        <v/>
      </c>
      <c r="H8" s="10">
        <f>IF(OR(E8=0,G8=""),0,E8*G8)</f>
        <v/>
      </c>
    </row>
    <row r="9">
      <c r="A9" s="2" t="inlineStr">
        <is>
          <t>Garlic Cheese Toasties</t>
        </is>
      </c>
      <c r="B9" s="2" t="inlineStr">
        <is>
          <t>No Box</t>
        </is>
      </c>
      <c r="C9" s="10">
        <f>'Recipe Usage'!C2</f>
        <v/>
      </c>
      <c r="D9" s="2" t="inlineStr">
        <is>
          <t>Takeout Box</t>
        </is>
      </c>
      <c r="E9" s="10">
        <f>'Recipe Usage'!K2</f>
        <v/>
      </c>
      <c r="F9" s="2" t="inlineStr">
        <is>
          <t>pc</t>
        </is>
      </c>
      <c r="G9" s="9">
        <f>IFERROR(VLOOKUP(D9,'Ingredients'!$A$2:$E$10,5,FALSE),"")</f>
        <v/>
      </c>
      <c r="H9" s="10">
        <f>IF(OR(E9=0,G9=""),0,E9*G9)</f>
        <v/>
      </c>
    </row>
    <row r="10">
      <c r="A10" s="2" t="inlineStr">
        <is>
          <t>Garlic Cheese Toasties</t>
        </is>
      </c>
      <c r="B10" s="2" t="inlineStr">
        <is>
          <t>No Box</t>
        </is>
      </c>
      <c r="C10" s="10">
        <f>'Recipe Usage'!C2</f>
        <v/>
      </c>
      <c r="D10" s="2" t="inlineStr">
        <is>
          <t>Dine-in Box</t>
        </is>
      </c>
      <c r="E10" s="10">
        <f>'Recipe Usage'!L2</f>
        <v/>
      </c>
      <c r="F10" s="2" t="inlineStr">
        <is>
          <t>pc</t>
        </is>
      </c>
      <c r="G10" s="9">
        <f>IFERROR(VLOOKUP(D10,'Ingredients'!$A$2:$E$10,5,FALSE),"")</f>
        <v/>
      </c>
      <c r="H10" s="10">
        <f>IF(OR(E10=0,G10=""),0,E10*G10)</f>
        <v/>
      </c>
    </row>
    <row r="11">
      <c r="A11" s="2" t="inlineStr">
        <is>
          <t>Garlic Cheese Toasties</t>
        </is>
      </c>
      <c r="B11" s="2" t="inlineStr">
        <is>
          <t>Dine-in</t>
        </is>
      </c>
      <c r="C11" s="10">
        <f>'Recipe Usage'!C3</f>
        <v/>
      </c>
      <c r="D11" s="2" t="inlineStr">
        <is>
          <t>Baguette</t>
        </is>
      </c>
      <c r="E11" s="10">
        <f>'Recipe Usage'!D3</f>
        <v/>
      </c>
      <c r="F11" s="2" t="inlineStr">
        <is>
          <t>pc</t>
        </is>
      </c>
      <c r="G11" s="9">
        <f>IFERROR(VLOOKUP(D11,'Ingredients'!$A$2:$E$10,5,FALSE),"")</f>
        <v/>
      </c>
      <c r="H11" s="10">
        <f>IF(OR(E11=0,G11=""),0,E11*G11)</f>
        <v/>
      </c>
    </row>
    <row r="12">
      <c r="A12" s="2" t="inlineStr">
        <is>
          <t>Garlic Cheese Toasties</t>
        </is>
      </c>
      <c r="B12" s="2" t="inlineStr">
        <is>
          <t>Dine-in</t>
        </is>
      </c>
      <c r="C12" s="10">
        <f>'Recipe Usage'!C3</f>
        <v/>
      </c>
      <c r="D12" s="2" t="inlineStr">
        <is>
          <t>Butter</t>
        </is>
      </c>
      <c r="E12" s="10">
        <f>'Recipe Usage'!E3</f>
        <v/>
      </c>
      <c r="F12" s="2" t="inlineStr">
        <is>
          <t>g</t>
        </is>
      </c>
      <c r="G12" s="9">
        <f>IFERROR(VLOOKUP(D12,'Ingredients'!$A$2:$E$10,5,FALSE),"")</f>
        <v/>
      </c>
      <c r="H12" s="10">
        <f>IF(OR(E12=0,G12=""),0,E12*G12)</f>
        <v/>
      </c>
    </row>
    <row r="13">
      <c r="A13" s="2" t="inlineStr">
        <is>
          <t>Garlic Cheese Toasties</t>
        </is>
      </c>
      <c r="B13" s="2" t="inlineStr">
        <is>
          <t>Dine-in</t>
        </is>
      </c>
      <c r="C13" s="10">
        <f>'Recipe Usage'!C3</f>
        <v/>
      </c>
      <c r="D13" s="2" t="inlineStr">
        <is>
          <t>Garlic</t>
        </is>
      </c>
      <c r="E13" s="10">
        <f>'Recipe Usage'!F3</f>
        <v/>
      </c>
      <c r="F13" s="2" t="inlineStr">
        <is>
          <t>bulb</t>
        </is>
      </c>
      <c r="G13" s="9">
        <f>IFERROR(VLOOKUP(D13,'Ingredients'!$A$2:$E$10,5,FALSE),"")</f>
        <v/>
      </c>
      <c r="H13" s="10">
        <f>IF(OR(E13=0,G13=""),0,E13*G13)</f>
        <v/>
      </c>
    </row>
    <row r="14">
      <c r="A14" s="2" t="inlineStr">
        <is>
          <t>Garlic Cheese Toasties</t>
        </is>
      </c>
      <c r="B14" s="2" t="inlineStr">
        <is>
          <t>Dine-in</t>
        </is>
      </c>
      <c r="C14" s="10">
        <f>'Recipe Usage'!C3</f>
        <v/>
      </c>
      <c r="D14" s="2" t="inlineStr">
        <is>
          <t>Cheese</t>
        </is>
      </c>
      <c r="E14" s="10">
        <f>'Recipe Usage'!G3</f>
        <v/>
      </c>
      <c r="F14" s="2" t="inlineStr">
        <is>
          <t>g</t>
        </is>
      </c>
      <c r="G14" s="9">
        <f>IFERROR(VLOOKUP(D14,'Ingredients'!$A$2:$E$10,5,FALSE),"")</f>
        <v/>
      </c>
      <c r="H14" s="10">
        <f>IF(OR(E14=0,G14=""),0,E14*G14)</f>
        <v/>
      </c>
    </row>
    <row r="15">
      <c r="A15" s="2" t="inlineStr">
        <is>
          <t>Garlic Cheese Toasties</t>
        </is>
      </c>
      <c r="B15" s="2" t="inlineStr">
        <is>
          <t>Dine-in</t>
        </is>
      </c>
      <c r="C15" s="10">
        <f>'Recipe Usage'!C3</f>
        <v/>
      </c>
      <c r="D15" s="2" t="inlineStr">
        <is>
          <t>Parmesan Cheese</t>
        </is>
      </c>
      <c r="E15" s="10">
        <f>'Recipe Usage'!H3</f>
        <v/>
      </c>
      <c r="F15" s="2" t="inlineStr">
        <is>
          <t>g</t>
        </is>
      </c>
      <c r="G15" s="9">
        <f>IFERROR(VLOOKUP(D15,'Ingredients'!$A$2:$E$10,5,FALSE),"")</f>
        <v/>
      </c>
      <c r="H15" s="10">
        <f>IF(OR(E15=0,G15=""),0,E15*G15)</f>
        <v/>
      </c>
    </row>
    <row r="16">
      <c r="A16" s="2" t="inlineStr">
        <is>
          <t>Garlic Cheese Toasties</t>
        </is>
      </c>
      <c r="B16" s="2" t="inlineStr">
        <is>
          <t>Dine-in</t>
        </is>
      </c>
      <c r="C16" s="10">
        <f>'Recipe Usage'!C3</f>
        <v/>
      </c>
      <c r="D16" s="2" t="inlineStr">
        <is>
          <t>Parsley</t>
        </is>
      </c>
      <c r="E16" s="10">
        <f>'Recipe Usage'!I3</f>
        <v/>
      </c>
      <c r="F16" s="2" t="inlineStr">
        <is>
          <t>g</t>
        </is>
      </c>
      <c r="G16" s="9">
        <f>IFERROR(VLOOKUP(D16,'Ingredients'!$A$2:$E$10,5,FALSE),"")</f>
        <v/>
      </c>
      <c r="H16" s="10">
        <f>IF(OR(E16=0,G16=""),0,E16*G16)</f>
        <v/>
      </c>
    </row>
    <row r="17">
      <c r="A17" s="2" t="inlineStr">
        <is>
          <t>Garlic Cheese Toasties</t>
        </is>
      </c>
      <c r="B17" s="2" t="inlineStr">
        <is>
          <t>Dine-in</t>
        </is>
      </c>
      <c r="C17" s="10">
        <f>'Recipe Usage'!C3</f>
        <v/>
      </c>
      <c r="D17" s="2" t="inlineStr">
        <is>
          <t>Brown Sugar</t>
        </is>
      </c>
      <c r="E17" s="10">
        <f>'Recipe Usage'!J3</f>
        <v/>
      </c>
      <c r="F17" s="2" t="inlineStr">
        <is>
          <t>g</t>
        </is>
      </c>
      <c r="G17" s="9">
        <f>IFERROR(VLOOKUP(D17,'Ingredients'!$A$2:$E$10,5,FALSE),"")</f>
        <v/>
      </c>
      <c r="H17" s="10">
        <f>IF(OR(E17=0,G17=""),0,E17*G17)</f>
        <v/>
      </c>
    </row>
    <row r="18">
      <c r="A18" s="2" t="inlineStr">
        <is>
          <t>Garlic Cheese Toasties</t>
        </is>
      </c>
      <c r="B18" s="2" t="inlineStr">
        <is>
          <t>Dine-in</t>
        </is>
      </c>
      <c r="C18" s="10">
        <f>'Recipe Usage'!C3</f>
        <v/>
      </c>
      <c r="D18" s="2" t="inlineStr">
        <is>
          <t>Takeout Box</t>
        </is>
      </c>
      <c r="E18" s="10">
        <f>'Recipe Usage'!K3</f>
        <v/>
      </c>
      <c r="F18" s="2" t="inlineStr">
        <is>
          <t>pc</t>
        </is>
      </c>
      <c r="G18" s="9">
        <f>IFERROR(VLOOKUP(D18,'Ingredients'!$A$2:$E$10,5,FALSE),"")</f>
        <v/>
      </c>
      <c r="H18" s="10">
        <f>IF(OR(E18=0,G18=""),0,E18*G18)</f>
        <v/>
      </c>
    </row>
    <row r="19">
      <c r="A19" s="2" t="inlineStr">
        <is>
          <t>Garlic Cheese Toasties</t>
        </is>
      </c>
      <c r="B19" s="2" t="inlineStr">
        <is>
          <t>Dine-in</t>
        </is>
      </c>
      <c r="C19" s="10">
        <f>'Recipe Usage'!C3</f>
        <v/>
      </c>
      <c r="D19" s="2" t="inlineStr">
        <is>
          <t>Dine-in Box</t>
        </is>
      </c>
      <c r="E19" s="10">
        <f>'Recipe Usage'!L3</f>
        <v/>
      </c>
      <c r="F19" s="2" t="inlineStr">
        <is>
          <t>pc</t>
        </is>
      </c>
      <c r="G19" s="9">
        <f>IFERROR(VLOOKUP(D19,'Ingredients'!$A$2:$E$10,5,FALSE),"")</f>
        <v/>
      </c>
      <c r="H19" s="10">
        <f>IF(OR(E19=0,G19=""),0,E19*G19)</f>
        <v/>
      </c>
    </row>
    <row r="20">
      <c r="A20" s="2" t="inlineStr">
        <is>
          <t>Garlic Cheese Toasties</t>
        </is>
      </c>
      <c r="B20" s="2" t="inlineStr">
        <is>
          <t>Takeout</t>
        </is>
      </c>
      <c r="C20" s="10">
        <f>'Recipe Usage'!C4</f>
        <v/>
      </c>
      <c r="D20" s="2" t="inlineStr">
        <is>
          <t>Baguette</t>
        </is>
      </c>
      <c r="E20" s="10">
        <f>'Recipe Usage'!D4</f>
        <v/>
      </c>
      <c r="F20" s="2" t="inlineStr">
        <is>
          <t>pc</t>
        </is>
      </c>
      <c r="G20" s="9">
        <f>IFERROR(VLOOKUP(D20,'Ingredients'!$A$2:$E$10,5,FALSE),"")</f>
        <v/>
      </c>
      <c r="H20" s="10">
        <f>IF(OR(E20=0,G20=""),0,E20*G20)</f>
        <v/>
      </c>
    </row>
    <row r="21">
      <c r="A21" s="2" t="inlineStr">
        <is>
          <t>Garlic Cheese Toasties</t>
        </is>
      </c>
      <c r="B21" s="2" t="inlineStr">
        <is>
          <t>Takeout</t>
        </is>
      </c>
      <c r="C21" s="10">
        <f>'Recipe Usage'!C4</f>
        <v/>
      </c>
      <c r="D21" s="2" t="inlineStr">
        <is>
          <t>Butter</t>
        </is>
      </c>
      <c r="E21" s="10">
        <f>'Recipe Usage'!E4</f>
        <v/>
      </c>
      <c r="F21" s="2" t="inlineStr">
        <is>
          <t>g</t>
        </is>
      </c>
      <c r="G21" s="9">
        <f>IFERROR(VLOOKUP(D21,'Ingredients'!$A$2:$E$10,5,FALSE),"")</f>
        <v/>
      </c>
      <c r="H21" s="10">
        <f>IF(OR(E21=0,G21=""),0,E21*G21)</f>
        <v/>
      </c>
    </row>
    <row r="22">
      <c r="A22" s="2" t="inlineStr">
        <is>
          <t>Garlic Cheese Toasties</t>
        </is>
      </c>
      <c r="B22" s="2" t="inlineStr">
        <is>
          <t>Takeout</t>
        </is>
      </c>
      <c r="C22" s="10">
        <f>'Recipe Usage'!C4</f>
        <v/>
      </c>
      <c r="D22" s="2" t="inlineStr">
        <is>
          <t>Garlic</t>
        </is>
      </c>
      <c r="E22" s="10">
        <f>'Recipe Usage'!F4</f>
        <v/>
      </c>
      <c r="F22" s="2" t="inlineStr">
        <is>
          <t>bulb</t>
        </is>
      </c>
      <c r="G22" s="9">
        <f>IFERROR(VLOOKUP(D22,'Ingredients'!$A$2:$E$10,5,FALSE),"")</f>
        <v/>
      </c>
      <c r="H22" s="10">
        <f>IF(OR(E22=0,G22=""),0,E22*G22)</f>
        <v/>
      </c>
    </row>
    <row r="23">
      <c r="A23" s="2" t="inlineStr">
        <is>
          <t>Garlic Cheese Toasties</t>
        </is>
      </c>
      <c r="B23" s="2" t="inlineStr">
        <is>
          <t>Takeout</t>
        </is>
      </c>
      <c r="C23" s="10">
        <f>'Recipe Usage'!C4</f>
        <v/>
      </c>
      <c r="D23" s="2" t="inlineStr">
        <is>
          <t>Cheese</t>
        </is>
      </c>
      <c r="E23" s="10">
        <f>'Recipe Usage'!G4</f>
        <v/>
      </c>
      <c r="F23" s="2" t="inlineStr">
        <is>
          <t>g</t>
        </is>
      </c>
      <c r="G23" s="9">
        <f>IFERROR(VLOOKUP(D23,'Ingredients'!$A$2:$E$10,5,FALSE),"")</f>
        <v/>
      </c>
      <c r="H23" s="10">
        <f>IF(OR(E23=0,G23=""),0,E23*G23)</f>
        <v/>
      </c>
    </row>
    <row r="24">
      <c r="A24" s="2" t="inlineStr">
        <is>
          <t>Garlic Cheese Toasties</t>
        </is>
      </c>
      <c r="B24" s="2" t="inlineStr">
        <is>
          <t>Takeout</t>
        </is>
      </c>
      <c r="C24" s="10">
        <f>'Recipe Usage'!C4</f>
        <v/>
      </c>
      <c r="D24" s="2" t="inlineStr">
        <is>
          <t>Parmesan Cheese</t>
        </is>
      </c>
      <c r="E24" s="10">
        <f>'Recipe Usage'!H4</f>
        <v/>
      </c>
      <c r="F24" s="2" t="inlineStr">
        <is>
          <t>g</t>
        </is>
      </c>
      <c r="G24" s="9">
        <f>IFERROR(VLOOKUP(D24,'Ingredients'!$A$2:$E$10,5,FALSE),"")</f>
        <v/>
      </c>
      <c r="H24" s="10">
        <f>IF(OR(E24=0,G24=""),0,E24*G24)</f>
        <v/>
      </c>
    </row>
    <row r="25">
      <c r="A25" s="2" t="inlineStr">
        <is>
          <t>Garlic Cheese Toasties</t>
        </is>
      </c>
      <c r="B25" s="2" t="inlineStr">
        <is>
          <t>Takeout</t>
        </is>
      </c>
      <c r="C25" s="10">
        <f>'Recipe Usage'!C4</f>
        <v/>
      </c>
      <c r="D25" s="2" t="inlineStr">
        <is>
          <t>Parsley</t>
        </is>
      </c>
      <c r="E25" s="10">
        <f>'Recipe Usage'!I4</f>
        <v/>
      </c>
      <c r="F25" s="2" t="inlineStr">
        <is>
          <t>g</t>
        </is>
      </c>
      <c r="G25" s="9">
        <f>IFERROR(VLOOKUP(D25,'Ingredients'!$A$2:$E$10,5,FALSE),"")</f>
        <v/>
      </c>
      <c r="H25" s="10">
        <f>IF(OR(E25=0,G25=""),0,E25*G25)</f>
        <v/>
      </c>
    </row>
    <row r="26">
      <c r="A26" s="2" t="inlineStr">
        <is>
          <t>Garlic Cheese Toasties</t>
        </is>
      </c>
      <c r="B26" s="2" t="inlineStr">
        <is>
          <t>Takeout</t>
        </is>
      </c>
      <c r="C26" s="10">
        <f>'Recipe Usage'!C4</f>
        <v/>
      </c>
      <c r="D26" s="2" t="inlineStr">
        <is>
          <t>Brown Sugar</t>
        </is>
      </c>
      <c r="E26" s="10">
        <f>'Recipe Usage'!J4</f>
        <v/>
      </c>
      <c r="F26" s="2" t="inlineStr">
        <is>
          <t>g</t>
        </is>
      </c>
      <c r="G26" s="9">
        <f>IFERROR(VLOOKUP(D26,'Ingredients'!$A$2:$E$10,5,FALSE),"")</f>
        <v/>
      </c>
      <c r="H26" s="10">
        <f>IF(OR(E26=0,G26=""),0,E26*G26)</f>
        <v/>
      </c>
    </row>
    <row r="27">
      <c r="A27" s="2" t="inlineStr">
        <is>
          <t>Garlic Cheese Toasties</t>
        </is>
      </c>
      <c r="B27" s="2" t="inlineStr">
        <is>
          <t>Takeout</t>
        </is>
      </c>
      <c r="C27" s="10">
        <f>'Recipe Usage'!C4</f>
        <v/>
      </c>
      <c r="D27" s="2" t="inlineStr">
        <is>
          <t>Takeout Box</t>
        </is>
      </c>
      <c r="E27" s="10">
        <f>'Recipe Usage'!K4</f>
        <v/>
      </c>
      <c r="F27" s="2" t="inlineStr">
        <is>
          <t>pc</t>
        </is>
      </c>
      <c r="G27" s="9">
        <f>IFERROR(VLOOKUP(D27,'Ingredients'!$A$2:$E$10,5,FALSE),"")</f>
        <v/>
      </c>
      <c r="H27" s="10">
        <f>IF(OR(E27=0,G27=""),0,E27*G27)</f>
        <v/>
      </c>
    </row>
    <row r="28">
      <c r="A28" s="2" t="inlineStr">
        <is>
          <t>Garlic Cheese Toasties</t>
        </is>
      </c>
      <c r="B28" s="2" t="inlineStr">
        <is>
          <t>Takeout</t>
        </is>
      </c>
      <c r="C28" s="10">
        <f>'Recipe Usage'!C4</f>
        <v/>
      </c>
      <c r="D28" s="2" t="inlineStr">
        <is>
          <t>Dine-in Box</t>
        </is>
      </c>
      <c r="E28" s="10">
        <f>'Recipe Usage'!L4</f>
        <v/>
      </c>
      <c r="F28" s="2" t="inlineStr">
        <is>
          <t>pc</t>
        </is>
      </c>
      <c r="G28" s="9">
        <f>IFERROR(VLOOKUP(D28,'Ingredients'!$A$2:$E$10,5,FALSE),"")</f>
        <v/>
      </c>
      <c r="H28" s="10">
        <f>IF(OR(E28=0,G28=""),0,E28*G28)</f>
        <v/>
      </c>
    </row>
    <row r="29">
      <c r="A29" s="2" t="inlineStr">
        <is>
          <t>Sugar Rush Toasties</t>
        </is>
      </c>
      <c r="B29" s="2" t="inlineStr">
        <is>
          <t>No Box</t>
        </is>
      </c>
      <c r="C29" s="10">
        <f>'Recipe Usage'!C5</f>
        <v/>
      </c>
      <c r="D29" s="2" t="inlineStr">
        <is>
          <t>Baguette</t>
        </is>
      </c>
      <c r="E29" s="10">
        <f>'Recipe Usage'!D5</f>
        <v/>
      </c>
      <c r="F29" s="2" t="inlineStr">
        <is>
          <t>pc</t>
        </is>
      </c>
      <c r="G29" s="9">
        <f>IFERROR(VLOOKUP(D29,'Ingredients'!$A$2:$E$10,5,FALSE),"")</f>
        <v/>
      </c>
      <c r="H29" s="10">
        <f>IF(OR(E29=0,G29=""),0,E29*G29)</f>
        <v/>
      </c>
    </row>
    <row r="30">
      <c r="A30" s="2" t="inlineStr">
        <is>
          <t>Sugar Rush Toasties</t>
        </is>
      </c>
      <c r="B30" s="2" t="inlineStr">
        <is>
          <t>No Box</t>
        </is>
      </c>
      <c r="C30" s="10">
        <f>'Recipe Usage'!C5</f>
        <v/>
      </c>
      <c r="D30" s="2" t="inlineStr">
        <is>
          <t>Butter</t>
        </is>
      </c>
      <c r="E30" s="10">
        <f>'Recipe Usage'!E5</f>
        <v/>
      </c>
      <c r="F30" s="2" t="inlineStr">
        <is>
          <t>g</t>
        </is>
      </c>
      <c r="G30" s="9">
        <f>IFERROR(VLOOKUP(D30,'Ingredients'!$A$2:$E$10,5,FALSE),"")</f>
        <v/>
      </c>
      <c r="H30" s="10">
        <f>IF(OR(E30=0,G30=""),0,E30*G30)</f>
        <v/>
      </c>
    </row>
    <row r="31">
      <c r="A31" s="2" t="inlineStr">
        <is>
          <t>Sugar Rush Toasties</t>
        </is>
      </c>
      <c r="B31" s="2" t="inlineStr">
        <is>
          <t>No Box</t>
        </is>
      </c>
      <c r="C31" s="10">
        <f>'Recipe Usage'!C5</f>
        <v/>
      </c>
      <c r="D31" s="2" t="inlineStr">
        <is>
          <t>Garlic</t>
        </is>
      </c>
      <c r="E31" s="10">
        <f>'Recipe Usage'!F5</f>
        <v/>
      </c>
      <c r="F31" s="2" t="inlineStr">
        <is>
          <t>bulb</t>
        </is>
      </c>
      <c r="G31" s="9">
        <f>IFERROR(VLOOKUP(D31,'Ingredients'!$A$2:$E$10,5,FALSE),"")</f>
        <v/>
      </c>
      <c r="H31" s="10">
        <f>IF(OR(E31=0,G31=""),0,E31*G31)</f>
        <v/>
      </c>
    </row>
    <row r="32">
      <c r="A32" s="2" t="inlineStr">
        <is>
          <t>Sugar Rush Toasties</t>
        </is>
      </c>
      <c r="B32" s="2" t="inlineStr">
        <is>
          <t>No Box</t>
        </is>
      </c>
      <c r="C32" s="10">
        <f>'Recipe Usage'!C5</f>
        <v/>
      </c>
      <c r="D32" s="2" t="inlineStr">
        <is>
          <t>Cheese</t>
        </is>
      </c>
      <c r="E32" s="10">
        <f>'Recipe Usage'!G5</f>
        <v/>
      </c>
      <c r="F32" s="2" t="inlineStr">
        <is>
          <t>g</t>
        </is>
      </c>
      <c r="G32" s="9">
        <f>IFERROR(VLOOKUP(D32,'Ingredients'!$A$2:$E$10,5,FALSE),"")</f>
        <v/>
      </c>
      <c r="H32" s="10">
        <f>IF(OR(E32=0,G32=""),0,E32*G32)</f>
        <v/>
      </c>
    </row>
    <row r="33">
      <c r="A33" s="2" t="inlineStr">
        <is>
          <t>Sugar Rush Toasties</t>
        </is>
      </c>
      <c r="B33" s="2" t="inlineStr">
        <is>
          <t>No Box</t>
        </is>
      </c>
      <c r="C33" s="10">
        <f>'Recipe Usage'!C5</f>
        <v/>
      </c>
      <c r="D33" s="2" t="inlineStr">
        <is>
          <t>Parmesan Cheese</t>
        </is>
      </c>
      <c r="E33" s="10">
        <f>'Recipe Usage'!H5</f>
        <v/>
      </c>
      <c r="F33" s="2" t="inlineStr">
        <is>
          <t>g</t>
        </is>
      </c>
      <c r="G33" s="9">
        <f>IFERROR(VLOOKUP(D33,'Ingredients'!$A$2:$E$10,5,FALSE),"")</f>
        <v/>
      </c>
      <c r="H33" s="10">
        <f>IF(OR(E33=0,G33=""),0,E33*G33)</f>
        <v/>
      </c>
    </row>
    <row r="34">
      <c r="A34" s="2" t="inlineStr">
        <is>
          <t>Sugar Rush Toasties</t>
        </is>
      </c>
      <c r="B34" s="2" t="inlineStr">
        <is>
          <t>No Box</t>
        </is>
      </c>
      <c r="C34" s="10">
        <f>'Recipe Usage'!C5</f>
        <v/>
      </c>
      <c r="D34" s="2" t="inlineStr">
        <is>
          <t>Parsley</t>
        </is>
      </c>
      <c r="E34" s="10">
        <f>'Recipe Usage'!I5</f>
        <v/>
      </c>
      <c r="F34" s="2" t="inlineStr">
        <is>
          <t>g</t>
        </is>
      </c>
      <c r="G34" s="9">
        <f>IFERROR(VLOOKUP(D34,'Ingredients'!$A$2:$E$10,5,FALSE),"")</f>
        <v/>
      </c>
      <c r="H34" s="10">
        <f>IF(OR(E34=0,G34=""),0,E34*G34)</f>
        <v/>
      </c>
    </row>
    <row r="35">
      <c r="A35" s="2" t="inlineStr">
        <is>
          <t>Sugar Rush Toasties</t>
        </is>
      </c>
      <c r="B35" s="2" t="inlineStr">
        <is>
          <t>No Box</t>
        </is>
      </c>
      <c r="C35" s="10">
        <f>'Recipe Usage'!C5</f>
        <v/>
      </c>
      <c r="D35" s="2" t="inlineStr">
        <is>
          <t>Brown Sugar</t>
        </is>
      </c>
      <c r="E35" s="10">
        <f>'Recipe Usage'!J5</f>
        <v/>
      </c>
      <c r="F35" s="2" t="inlineStr">
        <is>
          <t>g</t>
        </is>
      </c>
      <c r="G35" s="9">
        <f>IFERROR(VLOOKUP(D35,'Ingredients'!$A$2:$E$10,5,FALSE),"")</f>
        <v/>
      </c>
      <c r="H35" s="10">
        <f>IF(OR(E35=0,G35=""),0,E35*G35)</f>
        <v/>
      </c>
    </row>
    <row r="36">
      <c r="A36" s="2" t="inlineStr">
        <is>
          <t>Sugar Rush Toasties</t>
        </is>
      </c>
      <c r="B36" s="2" t="inlineStr">
        <is>
          <t>No Box</t>
        </is>
      </c>
      <c r="C36" s="10">
        <f>'Recipe Usage'!C5</f>
        <v/>
      </c>
      <c r="D36" s="2" t="inlineStr">
        <is>
          <t>Takeout Box</t>
        </is>
      </c>
      <c r="E36" s="10">
        <f>'Recipe Usage'!K5</f>
        <v/>
      </c>
      <c r="F36" s="2" t="inlineStr">
        <is>
          <t>pc</t>
        </is>
      </c>
      <c r="G36" s="9">
        <f>IFERROR(VLOOKUP(D36,'Ingredients'!$A$2:$E$10,5,FALSE),"")</f>
        <v/>
      </c>
      <c r="H36" s="10">
        <f>IF(OR(E36=0,G36=""),0,E36*G36)</f>
        <v/>
      </c>
    </row>
    <row r="37">
      <c r="A37" s="2" t="inlineStr">
        <is>
          <t>Sugar Rush Toasties</t>
        </is>
      </c>
      <c r="B37" s="2" t="inlineStr">
        <is>
          <t>No Box</t>
        </is>
      </c>
      <c r="C37" s="10">
        <f>'Recipe Usage'!C5</f>
        <v/>
      </c>
      <c r="D37" s="2" t="inlineStr">
        <is>
          <t>Dine-in Box</t>
        </is>
      </c>
      <c r="E37" s="10">
        <f>'Recipe Usage'!L5</f>
        <v/>
      </c>
      <c r="F37" s="2" t="inlineStr">
        <is>
          <t>pc</t>
        </is>
      </c>
      <c r="G37" s="9">
        <f>IFERROR(VLOOKUP(D37,'Ingredients'!$A$2:$E$10,5,FALSE),"")</f>
        <v/>
      </c>
      <c r="H37" s="10">
        <f>IF(OR(E37=0,G37=""),0,E37*G37)</f>
        <v/>
      </c>
    </row>
    <row r="38">
      <c r="A38" s="2" t="inlineStr">
        <is>
          <t>Sugar Rush Toasties</t>
        </is>
      </c>
      <c r="B38" s="2" t="inlineStr">
        <is>
          <t>Dine-in</t>
        </is>
      </c>
      <c r="C38" s="10">
        <f>'Recipe Usage'!C6</f>
        <v/>
      </c>
      <c r="D38" s="2" t="inlineStr">
        <is>
          <t>Baguette</t>
        </is>
      </c>
      <c r="E38" s="10">
        <f>'Recipe Usage'!D6</f>
        <v/>
      </c>
      <c r="F38" s="2" t="inlineStr">
        <is>
          <t>pc</t>
        </is>
      </c>
      <c r="G38" s="9">
        <f>IFERROR(VLOOKUP(D38,'Ingredients'!$A$2:$E$10,5,FALSE),"")</f>
        <v/>
      </c>
      <c r="H38" s="10">
        <f>IF(OR(E38=0,G38=""),0,E38*G38)</f>
        <v/>
      </c>
    </row>
    <row r="39">
      <c r="A39" s="2" t="inlineStr">
        <is>
          <t>Sugar Rush Toasties</t>
        </is>
      </c>
      <c r="B39" s="2" t="inlineStr">
        <is>
          <t>Dine-in</t>
        </is>
      </c>
      <c r="C39" s="10">
        <f>'Recipe Usage'!C6</f>
        <v/>
      </c>
      <c r="D39" s="2" t="inlineStr">
        <is>
          <t>Butter</t>
        </is>
      </c>
      <c r="E39" s="10">
        <f>'Recipe Usage'!E6</f>
        <v/>
      </c>
      <c r="F39" s="2" t="inlineStr">
        <is>
          <t>g</t>
        </is>
      </c>
      <c r="G39" s="9">
        <f>IFERROR(VLOOKUP(D39,'Ingredients'!$A$2:$E$10,5,FALSE),"")</f>
        <v/>
      </c>
      <c r="H39" s="10">
        <f>IF(OR(E39=0,G39=""),0,E39*G39)</f>
        <v/>
      </c>
    </row>
    <row r="40">
      <c r="A40" s="2" t="inlineStr">
        <is>
          <t>Sugar Rush Toasties</t>
        </is>
      </c>
      <c r="B40" s="2" t="inlineStr">
        <is>
          <t>Dine-in</t>
        </is>
      </c>
      <c r="C40" s="10">
        <f>'Recipe Usage'!C6</f>
        <v/>
      </c>
      <c r="D40" s="2" t="inlineStr">
        <is>
          <t>Garlic</t>
        </is>
      </c>
      <c r="E40" s="10">
        <f>'Recipe Usage'!F6</f>
        <v/>
      </c>
      <c r="F40" s="2" t="inlineStr">
        <is>
          <t>bulb</t>
        </is>
      </c>
      <c r="G40" s="9">
        <f>IFERROR(VLOOKUP(D40,'Ingredients'!$A$2:$E$10,5,FALSE),"")</f>
        <v/>
      </c>
      <c r="H40" s="10">
        <f>IF(OR(E40=0,G40=""),0,E40*G40)</f>
        <v/>
      </c>
    </row>
    <row r="41">
      <c r="A41" s="2" t="inlineStr">
        <is>
          <t>Sugar Rush Toasties</t>
        </is>
      </c>
      <c r="B41" s="2" t="inlineStr">
        <is>
          <t>Dine-in</t>
        </is>
      </c>
      <c r="C41" s="10">
        <f>'Recipe Usage'!C6</f>
        <v/>
      </c>
      <c r="D41" s="2" t="inlineStr">
        <is>
          <t>Cheese</t>
        </is>
      </c>
      <c r="E41" s="10">
        <f>'Recipe Usage'!G6</f>
        <v/>
      </c>
      <c r="F41" s="2" t="inlineStr">
        <is>
          <t>g</t>
        </is>
      </c>
      <c r="G41" s="9">
        <f>IFERROR(VLOOKUP(D41,'Ingredients'!$A$2:$E$10,5,FALSE),"")</f>
        <v/>
      </c>
      <c r="H41" s="10">
        <f>IF(OR(E41=0,G41=""),0,E41*G41)</f>
        <v/>
      </c>
    </row>
    <row r="42">
      <c r="A42" s="2" t="inlineStr">
        <is>
          <t>Sugar Rush Toasties</t>
        </is>
      </c>
      <c r="B42" s="2" t="inlineStr">
        <is>
          <t>Dine-in</t>
        </is>
      </c>
      <c r="C42" s="10">
        <f>'Recipe Usage'!C6</f>
        <v/>
      </c>
      <c r="D42" s="2" t="inlineStr">
        <is>
          <t>Parmesan Cheese</t>
        </is>
      </c>
      <c r="E42" s="10">
        <f>'Recipe Usage'!H6</f>
        <v/>
      </c>
      <c r="F42" s="2" t="inlineStr">
        <is>
          <t>g</t>
        </is>
      </c>
      <c r="G42" s="9">
        <f>IFERROR(VLOOKUP(D42,'Ingredients'!$A$2:$E$10,5,FALSE),"")</f>
        <v/>
      </c>
      <c r="H42" s="10">
        <f>IF(OR(E42=0,G42=""),0,E42*G42)</f>
        <v/>
      </c>
    </row>
    <row r="43">
      <c r="A43" s="2" t="inlineStr">
        <is>
          <t>Sugar Rush Toasties</t>
        </is>
      </c>
      <c r="B43" s="2" t="inlineStr">
        <is>
          <t>Dine-in</t>
        </is>
      </c>
      <c r="C43" s="10">
        <f>'Recipe Usage'!C6</f>
        <v/>
      </c>
      <c r="D43" s="2" t="inlineStr">
        <is>
          <t>Parsley</t>
        </is>
      </c>
      <c r="E43" s="10">
        <f>'Recipe Usage'!I6</f>
        <v/>
      </c>
      <c r="F43" s="2" t="inlineStr">
        <is>
          <t>g</t>
        </is>
      </c>
      <c r="G43" s="9">
        <f>IFERROR(VLOOKUP(D43,'Ingredients'!$A$2:$E$10,5,FALSE),"")</f>
        <v/>
      </c>
      <c r="H43" s="10">
        <f>IF(OR(E43=0,G43=""),0,E43*G43)</f>
        <v/>
      </c>
    </row>
    <row r="44">
      <c r="A44" s="2" t="inlineStr">
        <is>
          <t>Sugar Rush Toasties</t>
        </is>
      </c>
      <c r="B44" s="2" t="inlineStr">
        <is>
          <t>Dine-in</t>
        </is>
      </c>
      <c r="C44" s="10">
        <f>'Recipe Usage'!C6</f>
        <v/>
      </c>
      <c r="D44" s="2" t="inlineStr">
        <is>
          <t>Brown Sugar</t>
        </is>
      </c>
      <c r="E44" s="10">
        <f>'Recipe Usage'!J6</f>
        <v/>
      </c>
      <c r="F44" s="2" t="inlineStr">
        <is>
          <t>g</t>
        </is>
      </c>
      <c r="G44" s="9">
        <f>IFERROR(VLOOKUP(D44,'Ingredients'!$A$2:$E$10,5,FALSE),"")</f>
        <v/>
      </c>
      <c r="H44" s="10">
        <f>IF(OR(E44=0,G44=""),0,E44*G44)</f>
        <v/>
      </c>
    </row>
    <row r="45">
      <c r="A45" s="2" t="inlineStr">
        <is>
          <t>Sugar Rush Toasties</t>
        </is>
      </c>
      <c r="B45" s="2" t="inlineStr">
        <is>
          <t>Dine-in</t>
        </is>
      </c>
      <c r="C45" s="10">
        <f>'Recipe Usage'!C6</f>
        <v/>
      </c>
      <c r="D45" s="2" t="inlineStr">
        <is>
          <t>Takeout Box</t>
        </is>
      </c>
      <c r="E45" s="10">
        <f>'Recipe Usage'!K6</f>
        <v/>
      </c>
      <c r="F45" s="2" t="inlineStr">
        <is>
          <t>pc</t>
        </is>
      </c>
      <c r="G45" s="9">
        <f>IFERROR(VLOOKUP(D45,'Ingredients'!$A$2:$E$10,5,FALSE),"")</f>
        <v/>
      </c>
      <c r="H45" s="10">
        <f>IF(OR(E45=0,G45=""),0,E45*G45)</f>
        <v/>
      </c>
    </row>
    <row r="46">
      <c r="A46" s="2" t="inlineStr">
        <is>
          <t>Sugar Rush Toasties</t>
        </is>
      </c>
      <c r="B46" s="2" t="inlineStr">
        <is>
          <t>Dine-in</t>
        </is>
      </c>
      <c r="C46" s="10">
        <f>'Recipe Usage'!C6</f>
        <v/>
      </c>
      <c r="D46" s="2" t="inlineStr">
        <is>
          <t>Dine-in Box</t>
        </is>
      </c>
      <c r="E46" s="10">
        <f>'Recipe Usage'!L6</f>
        <v/>
      </c>
      <c r="F46" s="2" t="inlineStr">
        <is>
          <t>pc</t>
        </is>
      </c>
      <c r="G46" s="9">
        <f>IFERROR(VLOOKUP(D46,'Ingredients'!$A$2:$E$10,5,FALSE),"")</f>
        <v/>
      </c>
      <c r="H46" s="10">
        <f>IF(OR(E46=0,G46=""),0,E46*G46)</f>
        <v/>
      </c>
    </row>
    <row r="47">
      <c r="A47" s="2" t="inlineStr">
        <is>
          <t>Sugar Rush Toasties</t>
        </is>
      </c>
      <c r="B47" s="2" t="inlineStr">
        <is>
          <t>Takeout</t>
        </is>
      </c>
      <c r="C47" s="10">
        <f>'Recipe Usage'!C7</f>
        <v/>
      </c>
      <c r="D47" s="2" t="inlineStr">
        <is>
          <t>Baguette</t>
        </is>
      </c>
      <c r="E47" s="10">
        <f>'Recipe Usage'!D7</f>
        <v/>
      </c>
      <c r="F47" s="2" t="inlineStr">
        <is>
          <t>pc</t>
        </is>
      </c>
      <c r="G47" s="9">
        <f>IFERROR(VLOOKUP(D47,'Ingredients'!$A$2:$E$10,5,FALSE),"")</f>
        <v/>
      </c>
      <c r="H47" s="10">
        <f>IF(OR(E47=0,G47=""),0,E47*G47)</f>
        <v/>
      </c>
    </row>
    <row r="48">
      <c r="A48" s="2" t="inlineStr">
        <is>
          <t>Sugar Rush Toasties</t>
        </is>
      </c>
      <c r="B48" s="2" t="inlineStr">
        <is>
          <t>Takeout</t>
        </is>
      </c>
      <c r="C48" s="10">
        <f>'Recipe Usage'!C7</f>
        <v/>
      </c>
      <c r="D48" s="2" t="inlineStr">
        <is>
          <t>Butter</t>
        </is>
      </c>
      <c r="E48" s="10">
        <f>'Recipe Usage'!E7</f>
        <v/>
      </c>
      <c r="F48" s="2" t="inlineStr">
        <is>
          <t>g</t>
        </is>
      </c>
      <c r="G48" s="9">
        <f>IFERROR(VLOOKUP(D48,'Ingredients'!$A$2:$E$10,5,FALSE),"")</f>
        <v/>
      </c>
      <c r="H48" s="10">
        <f>IF(OR(E48=0,G48=""),0,E48*G48)</f>
        <v/>
      </c>
    </row>
    <row r="49">
      <c r="A49" s="2" t="inlineStr">
        <is>
          <t>Sugar Rush Toasties</t>
        </is>
      </c>
      <c r="B49" s="2" t="inlineStr">
        <is>
          <t>Takeout</t>
        </is>
      </c>
      <c r="C49" s="10">
        <f>'Recipe Usage'!C7</f>
        <v/>
      </c>
      <c r="D49" s="2" t="inlineStr">
        <is>
          <t>Garlic</t>
        </is>
      </c>
      <c r="E49" s="10">
        <f>'Recipe Usage'!F7</f>
        <v/>
      </c>
      <c r="F49" s="2" t="inlineStr">
        <is>
          <t>bulb</t>
        </is>
      </c>
      <c r="G49" s="9">
        <f>IFERROR(VLOOKUP(D49,'Ingredients'!$A$2:$E$10,5,FALSE),"")</f>
        <v/>
      </c>
      <c r="H49" s="10">
        <f>IF(OR(E49=0,G49=""),0,E49*G49)</f>
        <v/>
      </c>
    </row>
    <row r="50">
      <c r="A50" s="2" t="inlineStr">
        <is>
          <t>Sugar Rush Toasties</t>
        </is>
      </c>
      <c r="B50" s="2" t="inlineStr">
        <is>
          <t>Takeout</t>
        </is>
      </c>
      <c r="C50" s="10">
        <f>'Recipe Usage'!C7</f>
        <v/>
      </c>
      <c r="D50" s="2" t="inlineStr">
        <is>
          <t>Cheese</t>
        </is>
      </c>
      <c r="E50" s="10">
        <f>'Recipe Usage'!G7</f>
        <v/>
      </c>
      <c r="F50" s="2" t="inlineStr">
        <is>
          <t>g</t>
        </is>
      </c>
      <c r="G50" s="9">
        <f>IFERROR(VLOOKUP(D50,'Ingredients'!$A$2:$E$10,5,FALSE),"")</f>
        <v/>
      </c>
      <c r="H50" s="10">
        <f>IF(OR(E50=0,G50=""),0,E50*G50)</f>
        <v/>
      </c>
    </row>
    <row r="51">
      <c r="A51" s="2" t="inlineStr">
        <is>
          <t>Sugar Rush Toasties</t>
        </is>
      </c>
      <c r="B51" s="2" t="inlineStr">
        <is>
          <t>Takeout</t>
        </is>
      </c>
      <c r="C51" s="10">
        <f>'Recipe Usage'!C7</f>
        <v/>
      </c>
      <c r="D51" s="2" t="inlineStr">
        <is>
          <t>Parmesan Cheese</t>
        </is>
      </c>
      <c r="E51" s="10">
        <f>'Recipe Usage'!H7</f>
        <v/>
      </c>
      <c r="F51" s="2" t="inlineStr">
        <is>
          <t>g</t>
        </is>
      </c>
      <c r="G51" s="9">
        <f>IFERROR(VLOOKUP(D51,'Ingredients'!$A$2:$E$10,5,FALSE),"")</f>
        <v/>
      </c>
      <c r="H51" s="10">
        <f>IF(OR(E51=0,G51=""),0,E51*G51)</f>
        <v/>
      </c>
    </row>
    <row r="52">
      <c r="A52" s="2" t="inlineStr">
        <is>
          <t>Sugar Rush Toasties</t>
        </is>
      </c>
      <c r="B52" s="2" t="inlineStr">
        <is>
          <t>Takeout</t>
        </is>
      </c>
      <c r="C52" s="10">
        <f>'Recipe Usage'!C7</f>
        <v/>
      </c>
      <c r="D52" s="2" t="inlineStr">
        <is>
          <t>Parsley</t>
        </is>
      </c>
      <c r="E52" s="10">
        <f>'Recipe Usage'!I7</f>
        <v/>
      </c>
      <c r="F52" s="2" t="inlineStr">
        <is>
          <t>g</t>
        </is>
      </c>
      <c r="G52" s="9">
        <f>IFERROR(VLOOKUP(D52,'Ingredients'!$A$2:$E$10,5,FALSE),"")</f>
        <v/>
      </c>
      <c r="H52" s="10">
        <f>IF(OR(E52=0,G52=""),0,E52*G52)</f>
        <v/>
      </c>
    </row>
    <row r="53">
      <c r="A53" s="2" t="inlineStr">
        <is>
          <t>Sugar Rush Toasties</t>
        </is>
      </c>
      <c r="B53" s="2" t="inlineStr">
        <is>
          <t>Takeout</t>
        </is>
      </c>
      <c r="C53" s="10">
        <f>'Recipe Usage'!C7</f>
        <v/>
      </c>
      <c r="D53" s="2" t="inlineStr">
        <is>
          <t>Brown Sugar</t>
        </is>
      </c>
      <c r="E53" s="10">
        <f>'Recipe Usage'!J7</f>
        <v/>
      </c>
      <c r="F53" s="2" t="inlineStr">
        <is>
          <t>g</t>
        </is>
      </c>
      <c r="G53" s="9">
        <f>IFERROR(VLOOKUP(D53,'Ingredients'!$A$2:$E$10,5,FALSE),"")</f>
        <v/>
      </c>
      <c r="H53" s="10">
        <f>IF(OR(E53=0,G53=""),0,E53*G53)</f>
        <v/>
      </c>
    </row>
    <row r="54">
      <c r="A54" s="2" t="inlineStr">
        <is>
          <t>Sugar Rush Toasties</t>
        </is>
      </c>
      <c r="B54" s="2" t="inlineStr">
        <is>
          <t>Takeout</t>
        </is>
      </c>
      <c r="C54" s="10">
        <f>'Recipe Usage'!C7</f>
        <v/>
      </c>
      <c r="D54" s="2" t="inlineStr">
        <is>
          <t>Takeout Box</t>
        </is>
      </c>
      <c r="E54" s="10">
        <f>'Recipe Usage'!K7</f>
        <v/>
      </c>
      <c r="F54" s="2" t="inlineStr">
        <is>
          <t>pc</t>
        </is>
      </c>
      <c r="G54" s="9">
        <f>IFERROR(VLOOKUP(D54,'Ingredients'!$A$2:$E$10,5,FALSE),"")</f>
        <v/>
      </c>
      <c r="H54" s="10">
        <f>IF(OR(E54=0,G54=""),0,E54*G54)</f>
        <v/>
      </c>
    </row>
    <row r="55">
      <c r="A55" s="2" t="inlineStr">
        <is>
          <t>Sugar Rush Toasties</t>
        </is>
      </c>
      <c r="B55" s="2" t="inlineStr">
        <is>
          <t>Takeout</t>
        </is>
      </c>
      <c r="C55" s="10">
        <f>'Recipe Usage'!C7</f>
        <v/>
      </c>
      <c r="D55" s="2" t="inlineStr">
        <is>
          <t>Dine-in Box</t>
        </is>
      </c>
      <c r="E55" s="10">
        <f>'Recipe Usage'!L7</f>
        <v/>
      </c>
      <c r="F55" s="2" t="inlineStr">
        <is>
          <t>pc</t>
        </is>
      </c>
      <c r="G55" s="9">
        <f>IFERROR(VLOOKUP(D55,'Ingredients'!$A$2:$E$10,5,FALSE),"")</f>
        <v/>
      </c>
      <c r="H55" s="10">
        <f>IF(OR(E55=0,G55=""),0,E55*G55)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6" customWidth="1" min="5" max="5"/>
    <col width="20" customWidth="1" min="6" max="6"/>
    <col width="14" customWidth="1" min="7" max="7"/>
    <col width="12" customWidth="1" min="8" max="8"/>
    <col width="18" customWidth="1" min="9" max="9"/>
    <col width="18" customWidth="1" min="10" max="10"/>
    <col width="20" customWidth="1" min="11" max="11"/>
  </cols>
  <sheetData>
    <row r="1">
      <c r="A1" s="6" t="inlineStr">
        <is>
          <t>Product</t>
        </is>
      </c>
      <c r="B1" s="6" t="inlineStr">
        <is>
          <t>Package Option</t>
        </is>
      </c>
      <c r="C1" s="6" t="inlineStr">
        <is>
          <t>Selling Price</t>
        </is>
      </c>
      <c r="D1" s="6" t="inlineStr">
        <is>
          <t>Food Cost</t>
        </is>
      </c>
      <c r="E1" s="6" t="inlineStr">
        <is>
          <t>Packaging Cost</t>
        </is>
      </c>
      <c r="F1" s="6" t="inlineStr">
        <is>
          <t>Capital Per Serving</t>
        </is>
      </c>
      <c r="G1" s="6" t="inlineStr">
        <is>
          <t>Profit</t>
        </is>
      </c>
      <c r="H1" s="6" t="inlineStr">
        <is>
          <t>Margin %</t>
        </is>
      </c>
      <c r="I1" s="6" t="inlineStr">
        <is>
          <t>Capital % of Price</t>
        </is>
      </c>
      <c r="J1" s="6" t="inlineStr">
        <is>
          <t>Missing Cost Inputs</t>
        </is>
      </c>
      <c r="K1" s="6" t="inlineStr">
        <is>
          <t>Status</t>
        </is>
      </c>
    </row>
    <row r="2">
      <c r="A2" s="2" t="inlineStr">
        <is>
          <t>Garlic Cheese Toasties</t>
        </is>
      </c>
      <c r="B2" s="2" t="inlineStr">
        <is>
          <t>No Box</t>
        </is>
      </c>
      <c r="C2" s="10">
        <f>'Recipe Usage'!C2</f>
        <v/>
      </c>
      <c r="D2" s="10">
        <f>SUMIFS('Cost Breakdown'!$H:$H,'Cost Breakdown'!$A:$A,A2,'Cost Breakdown'!$B:$B,B2,'Cost Breakdown'!$D:$D,"&lt;&gt;Takeout Box",'Cost Breakdown'!$D:$D,"&lt;&gt;Dine-in Box")</f>
        <v/>
      </c>
      <c r="E2" s="10">
        <f>SUMIFS('Cost Breakdown'!$H:$H,'Cost Breakdown'!$A:$A,A2,'Cost Breakdown'!$B:$B,B2,'Cost Breakdown'!$D:$D,"Takeout Box")+SUMIFS('Cost Breakdown'!$H:$H,'Cost Breakdown'!$A:$A,A2,'Cost Breakdown'!$B:$B,B2,'Cost Breakdown'!$D:$D,"Dine-in Box")</f>
        <v/>
      </c>
      <c r="F2" s="10">
        <f>D2+E2</f>
        <v/>
      </c>
      <c r="G2" s="10">
        <f>IF(C2="","",C2-F2)</f>
        <v/>
      </c>
      <c r="H2" s="11">
        <f>IF(OR(C2="",C2=0),"",G2/C2)</f>
        <v/>
      </c>
      <c r="I2" s="11">
        <f>IF(OR(C2="",C2=0),"",F2/C2)</f>
        <v/>
      </c>
      <c r="J2" s="5">
        <f>COUNTIFS('Cost Breakdown'!$A:$A,A2,'Cost Breakdown'!$B:$B,B2,'Cost Breakdown'!$E:$E,"&gt;0",'Cost Breakdown'!$G:$G,"")</f>
        <v/>
      </c>
      <c r="K2" s="5">
        <f>IF(J2=0,"Complete","Enter missing unit costs")</f>
        <v/>
      </c>
    </row>
    <row r="3">
      <c r="A3" s="2" t="inlineStr">
        <is>
          <t>Garlic Cheese Toasties</t>
        </is>
      </c>
      <c r="B3" s="2" t="inlineStr">
        <is>
          <t>Dine-in</t>
        </is>
      </c>
      <c r="C3" s="10">
        <f>'Recipe Usage'!C3</f>
        <v/>
      </c>
      <c r="D3" s="10">
        <f>SUMIFS('Cost Breakdown'!$H:$H,'Cost Breakdown'!$A:$A,A3,'Cost Breakdown'!$B:$B,B3,'Cost Breakdown'!$D:$D,"&lt;&gt;Takeout Box",'Cost Breakdown'!$D:$D,"&lt;&gt;Dine-in Box")</f>
        <v/>
      </c>
      <c r="E3" s="10">
        <f>SUMIFS('Cost Breakdown'!$H:$H,'Cost Breakdown'!$A:$A,A3,'Cost Breakdown'!$B:$B,B3,'Cost Breakdown'!$D:$D,"Takeout Box")+SUMIFS('Cost Breakdown'!$H:$H,'Cost Breakdown'!$A:$A,A3,'Cost Breakdown'!$B:$B,B3,'Cost Breakdown'!$D:$D,"Dine-in Box")</f>
        <v/>
      </c>
      <c r="F3" s="10">
        <f>D3+E3</f>
        <v/>
      </c>
      <c r="G3" s="10">
        <f>IF(C3="","",C3-F3)</f>
        <v/>
      </c>
      <c r="H3" s="11">
        <f>IF(OR(C3="",C3=0),"",G3/C3)</f>
        <v/>
      </c>
      <c r="I3" s="11">
        <f>IF(OR(C3="",C3=0),"",F3/C3)</f>
        <v/>
      </c>
      <c r="J3" s="5">
        <f>COUNTIFS('Cost Breakdown'!$A:$A,A3,'Cost Breakdown'!$B:$B,B3,'Cost Breakdown'!$E:$E,"&gt;0",'Cost Breakdown'!$G:$G,"")</f>
        <v/>
      </c>
      <c r="K3" s="5">
        <f>IF(J3=0,"Complete","Enter missing unit costs")</f>
        <v/>
      </c>
    </row>
    <row r="4">
      <c r="A4" s="2" t="inlineStr">
        <is>
          <t>Garlic Cheese Toasties</t>
        </is>
      </c>
      <c r="B4" s="2" t="inlineStr">
        <is>
          <t>Takeout</t>
        </is>
      </c>
      <c r="C4" s="10">
        <f>'Recipe Usage'!C4</f>
        <v/>
      </c>
      <c r="D4" s="10">
        <f>SUMIFS('Cost Breakdown'!$H:$H,'Cost Breakdown'!$A:$A,A4,'Cost Breakdown'!$B:$B,B4,'Cost Breakdown'!$D:$D,"&lt;&gt;Takeout Box",'Cost Breakdown'!$D:$D,"&lt;&gt;Dine-in Box")</f>
        <v/>
      </c>
      <c r="E4" s="10">
        <f>SUMIFS('Cost Breakdown'!$H:$H,'Cost Breakdown'!$A:$A,A4,'Cost Breakdown'!$B:$B,B4,'Cost Breakdown'!$D:$D,"Takeout Box")+SUMIFS('Cost Breakdown'!$H:$H,'Cost Breakdown'!$A:$A,A4,'Cost Breakdown'!$B:$B,B4,'Cost Breakdown'!$D:$D,"Dine-in Box")</f>
        <v/>
      </c>
      <c r="F4" s="10">
        <f>D4+E4</f>
        <v/>
      </c>
      <c r="G4" s="10">
        <f>IF(C4="","",C4-F4)</f>
        <v/>
      </c>
      <c r="H4" s="11">
        <f>IF(OR(C4="",C4=0),"",G4/C4)</f>
        <v/>
      </c>
      <c r="I4" s="11">
        <f>IF(OR(C4="",C4=0),"",F4/C4)</f>
        <v/>
      </c>
      <c r="J4" s="5">
        <f>COUNTIFS('Cost Breakdown'!$A:$A,A4,'Cost Breakdown'!$B:$B,B4,'Cost Breakdown'!$E:$E,"&gt;0",'Cost Breakdown'!$G:$G,"")</f>
        <v/>
      </c>
      <c r="K4" s="5">
        <f>IF(J4=0,"Complete","Enter missing unit costs")</f>
        <v/>
      </c>
    </row>
    <row r="5">
      <c r="A5" s="2" t="inlineStr">
        <is>
          <t>Sugar Rush Toasties</t>
        </is>
      </c>
      <c r="B5" s="2" t="inlineStr">
        <is>
          <t>No Box</t>
        </is>
      </c>
      <c r="C5" s="10">
        <f>'Recipe Usage'!C5</f>
        <v/>
      </c>
      <c r="D5" s="10">
        <f>SUMIFS('Cost Breakdown'!$H:$H,'Cost Breakdown'!$A:$A,A5,'Cost Breakdown'!$B:$B,B5,'Cost Breakdown'!$D:$D,"&lt;&gt;Takeout Box",'Cost Breakdown'!$D:$D,"&lt;&gt;Dine-in Box")</f>
        <v/>
      </c>
      <c r="E5" s="10">
        <f>SUMIFS('Cost Breakdown'!$H:$H,'Cost Breakdown'!$A:$A,A5,'Cost Breakdown'!$B:$B,B5,'Cost Breakdown'!$D:$D,"Takeout Box")+SUMIFS('Cost Breakdown'!$H:$H,'Cost Breakdown'!$A:$A,A5,'Cost Breakdown'!$B:$B,B5,'Cost Breakdown'!$D:$D,"Dine-in Box")</f>
        <v/>
      </c>
      <c r="F5" s="10">
        <f>D5+E5</f>
        <v/>
      </c>
      <c r="G5" s="10">
        <f>IF(C5="","",C5-F5)</f>
        <v/>
      </c>
      <c r="H5" s="11">
        <f>IF(OR(C5="",C5=0),"",G5/C5)</f>
        <v/>
      </c>
      <c r="I5" s="11">
        <f>IF(OR(C5="",C5=0),"",F5/C5)</f>
        <v/>
      </c>
      <c r="J5" s="5">
        <f>COUNTIFS('Cost Breakdown'!$A:$A,A5,'Cost Breakdown'!$B:$B,B5,'Cost Breakdown'!$E:$E,"&gt;0",'Cost Breakdown'!$G:$G,"")</f>
        <v/>
      </c>
      <c r="K5" s="5">
        <f>IF(J5=0,"Complete","Enter missing unit costs")</f>
        <v/>
      </c>
    </row>
    <row r="6">
      <c r="A6" s="2" t="inlineStr">
        <is>
          <t>Sugar Rush Toasties</t>
        </is>
      </c>
      <c r="B6" s="2" t="inlineStr">
        <is>
          <t>Dine-in</t>
        </is>
      </c>
      <c r="C6" s="10">
        <f>'Recipe Usage'!C6</f>
        <v/>
      </c>
      <c r="D6" s="10">
        <f>SUMIFS('Cost Breakdown'!$H:$H,'Cost Breakdown'!$A:$A,A6,'Cost Breakdown'!$B:$B,B6,'Cost Breakdown'!$D:$D,"&lt;&gt;Takeout Box",'Cost Breakdown'!$D:$D,"&lt;&gt;Dine-in Box")</f>
        <v/>
      </c>
      <c r="E6" s="10">
        <f>SUMIFS('Cost Breakdown'!$H:$H,'Cost Breakdown'!$A:$A,A6,'Cost Breakdown'!$B:$B,B6,'Cost Breakdown'!$D:$D,"Takeout Box")+SUMIFS('Cost Breakdown'!$H:$H,'Cost Breakdown'!$A:$A,A6,'Cost Breakdown'!$B:$B,B6,'Cost Breakdown'!$D:$D,"Dine-in Box")</f>
        <v/>
      </c>
      <c r="F6" s="10">
        <f>D6+E6</f>
        <v/>
      </c>
      <c r="G6" s="10">
        <f>IF(C6="","",C6-F6)</f>
        <v/>
      </c>
      <c r="H6" s="11">
        <f>IF(OR(C6="",C6=0),"",G6/C6)</f>
        <v/>
      </c>
      <c r="I6" s="11">
        <f>IF(OR(C6="",C6=0),"",F6/C6)</f>
        <v/>
      </c>
      <c r="J6" s="5">
        <f>COUNTIFS('Cost Breakdown'!$A:$A,A6,'Cost Breakdown'!$B:$B,B6,'Cost Breakdown'!$E:$E,"&gt;0",'Cost Breakdown'!$G:$G,"")</f>
        <v/>
      </c>
      <c r="K6" s="5">
        <f>IF(J6=0,"Complete","Enter missing unit costs")</f>
        <v/>
      </c>
    </row>
    <row r="7">
      <c r="A7" s="2" t="inlineStr">
        <is>
          <t>Sugar Rush Toasties</t>
        </is>
      </c>
      <c r="B7" s="2" t="inlineStr">
        <is>
          <t>Takeout</t>
        </is>
      </c>
      <c r="C7" s="10">
        <f>'Recipe Usage'!C7</f>
        <v/>
      </c>
      <c r="D7" s="10">
        <f>SUMIFS('Cost Breakdown'!$H:$H,'Cost Breakdown'!$A:$A,A7,'Cost Breakdown'!$B:$B,B7,'Cost Breakdown'!$D:$D,"&lt;&gt;Takeout Box",'Cost Breakdown'!$D:$D,"&lt;&gt;Dine-in Box")</f>
        <v/>
      </c>
      <c r="E7" s="10">
        <f>SUMIFS('Cost Breakdown'!$H:$H,'Cost Breakdown'!$A:$A,A7,'Cost Breakdown'!$B:$B,B7,'Cost Breakdown'!$D:$D,"Takeout Box")+SUMIFS('Cost Breakdown'!$H:$H,'Cost Breakdown'!$A:$A,A7,'Cost Breakdown'!$B:$B,B7,'Cost Breakdown'!$D:$D,"Dine-in Box")</f>
        <v/>
      </c>
      <c r="F7" s="10">
        <f>D7+E7</f>
        <v/>
      </c>
      <c r="G7" s="10">
        <f>IF(C7="","",C7-F7)</f>
        <v/>
      </c>
      <c r="H7" s="11">
        <f>IF(OR(C7="",C7=0),"",G7/C7)</f>
        <v/>
      </c>
      <c r="I7" s="11">
        <f>IF(OR(C7="",C7=0),"",F7/C7)</f>
        <v/>
      </c>
      <c r="J7" s="5">
        <f>COUNTIFS('Cost Breakdown'!$A:$A,A7,'Cost Breakdown'!$B:$B,B7,'Cost Breakdown'!$E:$E,"&gt;0",'Cost Breakdown'!$G:$G,"")</f>
        <v/>
      </c>
      <c r="K7" s="5">
        <f>IF(J7=0,"Complete","Enter missing unit costs")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6" t="inlineStr">
        <is>
          <t>Product</t>
        </is>
      </c>
      <c r="B1" s="6" t="inlineStr">
        <is>
          <t>Package Option</t>
        </is>
      </c>
      <c r="C1" s="6" t="inlineStr">
        <is>
          <t>Capital Per Serving</t>
        </is>
      </c>
      <c r="D1" s="6" t="inlineStr">
        <is>
          <t>20% Margin Exact Price</t>
        </is>
      </c>
      <c r="E1" s="6" t="inlineStr">
        <is>
          <t>20% Margin Rounded Up</t>
        </is>
      </c>
      <c r="F1" s="6" t="inlineStr">
        <is>
          <t>25% Margin Exact Price</t>
        </is>
      </c>
      <c r="G1" s="6" t="inlineStr">
        <is>
          <t>25% Margin Rounded Up</t>
        </is>
      </c>
      <c r="H1" s="6" t="inlineStr">
        <is>
          <t>30% Margin Exact Price</t>
        </is>
      </c>
      <c r="I1" s="6" t="inlineStr">
        <is>
          <t>30% Margin Rounded Up</t>
        </is>
      </c>
      <c r="J1" s="6" t="inlineStr">
        <is>
          <t>35% Margin Exact Price</t>
        </is>
      </c>
      <c r="K1" s="6" t="inlineStr">
        <is>
          <t>35% Margin Rounded Up</t>
        </is>
      </c>
      <c r="L1" s="6" t="inlineStr">
        <is>
          <t>40% Margin Exact Price</t>
        </is>
      </c>
      <c r="M1" s="6" t="inlineStr">
        <is>
          <t>40% Margin Rounded Up</t>
        </is>
      </c>
      <c r="N1" s="6" t="inlineStr">
        <is>
          <t>45% Margin Exact Price</t>
        </is>
      </c>
      <c r="O1" s="6" t="inlineStr">
        <is>
          <t>45% Margin Rounded Up</t>
        </is>
      </c>
      <c r="P1" s="6" t="inlineStr">
        <is>
          <t>50% Margin Exact Price</t>
        </is>
      </c>
      <c r="Q1" s="6" t="inlineStr">
        <is>
          <t>50% Margin Rounded Up</t>
        </is>
      </c>
    </row>
    <row r="2">
      <c r="A2" s="2" t="inlineStr">
        <is>
          <t>Garlic Cheese Toasties</t>
        </is>
      </c>
      <c r="B2" s="2" t="inlineStr">
        <is>
          <t>No Box</t>
        </is>
      </c>
      <c r="C2" s="10">
        <f>'Product Summary'!F2</f>
        <v/>
      </c>
      <c r="D2" s="10">
        <f>IF($C2="","",$C2/(1-0.2))</f>
        <v/>
      </c>
      <c r="E2" s="10">
        <f>IF(D2="","",ROUNDUP(D2,0))</f>
        <v/>
      </c>
      <c r="F2" s="10">
        <f>IF($C2="","",$C2/(1-0.25))</f>
        <v/>
      </c>
      <c r="G2" s="10">
        <f>IF(F2="","",ROUNDUP(F2,0))</f>
        <v/>
      </c>
      <c r="H2" s="10">
        <f>IF($C2="","",$C2/(1-0.3))</f>
        <v/>
      </c>
      <c r="I2" s="10">
        <f>IF(H2="","",ROUNDUP(H2,0))</f>
        <v/>
      </c>
      <c r="J2" s="10">
        <f>IF($C2="","",$C2/(1-0.35))</f>
        <v/>
      </c>
      <c r="K2" s="10">
        <f>IF(J2="","",ROUNDUP(J2,0))</f>
        <v/>
      </c>
      <c r="L2" s="10">
        <f>IF($C2="","",$C2/(1-0.4))</f>
        <v/>
      </c>
      <c r="M2" s="10">
        <f>IF(L2="","",ROUNDUP(L2,0))</f>
        <v/>
      </c>
      <c r="N2" s="10">
        <f>IF($C2="","",$C2/(1-0.45))</f>
        <v/>
      </c>
      <c r="O2" s="10">
        <f>IF(N2="","",ROUNDUP(N2,0))</f>
        <v/>
      </c>
      <c r="P2" s="10">
        <f>IF($C2="","",$C2/(1-0.5))</f>
        <v/>
      </c>
      <c r="Q2" s="10">
        <f>IF(P2="","",ROUNDUP(P2,0))</f>
        <v/>
      </c>
    </row>
    <row r="3">
      <c r="A3" s="2" t="inlineStr">
        <is>
          <t>Garlic Cheese Toasties</t>
        </is>
      </c>
      <c r="B3" s="2" t="inlineStr">
        <is>
          <t>Dine-in</t>
        </is>
      </c>
      <c r="C3" s="10">
        <f>'Product Summary'!F3</f>
        <v/>
      </c>
      <c r="D3" s="10">
        <f>IF($C3="","",$C3/(1-0.2))</f>
        <v/>
      </c>
      <c r="E3" s="10">
        <f>IF(D3="","",ROUNDUP(D3,0))</f>
        <v/>
      </c>
      <c r="F3" s="10">
        <f>IF($C3="","",$C3/(1-0.25))</f>
        <v/>
      </c>
      <c r="G3" s="10">
        <f>IF(F3="","",ROUNDUP(F3,0))</f>
        <v/>
      </c>
      <c r="H3" s="10">
        <f>IF($C3="","",$C3/(1-0.3))</f>
        <v/>
      </c>
      <c r="I3" s="10">
        <f>IF(H3="","",ROUNDUP(H3,0))</f>
        <v/>
      </c>
      <c r="J3" s="10">
        <f>IF($C3="","",$C3/(1-0.35))</f>
        <v/>
      </c>
      <c r="K3" s="10">
        <f>IF(J3="","",ROUNDUP(J3,0))</f>
        <v/>
      </c>
      <c r="L3" s="10">
        <f>IF($C3="","",$C3/(1-0.4))</f>
        <v/>
      </c>
      <c r="M3" s="10">
        <f>IF(L3="","",ROUNDUP(L3,0))</f>
        <v/>
      </c>
      <c r="N3" s="10">
        <f>IF($C3="","",$C3/(1-0.45))</f>
        <v/>
      </c>
      <c r="O3" s="10">
        <f>IF(N3="","",ROUNDUP(N3,0))</f>
        <v/>
      </c>
      <c r="P3" s="10">
        <f>IF($C3="","",$C3/(1-0.5))</f>
        <v/>
      </c>
      <c r="Q3" s="10">
        <f>IF(P3="","",ROUNDUP(P3,0))</f>
        <v/>
      </c>
    </row>
    <row r="4">
      <c r="A4" s="2" t="inlineStr">
        <is>
          <t>Garlic Cheese Toasties</t>
        </is>
      </c>
      <c r="B4" s="2" t="inlineStr">
        <is>
          <t>Takeout</t>
        </is>
      </c>
      <c r="C4" s="10">
        <f>'Product Summary'!F4</f>
        <v/>
      </c>
      <c r="D4" s="10">
        <f>IF($C4="","",$C4/(1-0.2))</f>
        <v/>
      </c>
      <c r="E4" s="10">
        <f>IF(D4="","",ROUNDUP(D4,0))</f>
        <v/>
      </c>
      <c r="F4" s="10">
        <f>IF($C4="","",$C4/(1-0.25))</f>
        <v/>
      </c>
      <c r="G4" s="10">
        <f>IF(F4="","",ROUNDUP(F4,0))</f>
        <v/>
      </c>
      <c r="H4" s="10">
        <f>IF($C4="","",$C4/(1-0.3))</f>
        <v/>
      </c>
      <c r="I4" s="10">
        <f>IF(H4="","",ROUNDUP(H4,0))</f>
        <v/>
      </c>
      <c r="J4" s="10">
        <f>IF($C4="","",$C4/(1-0.35))</f>
        <v/>
      </c>
      <c r="K4" s="10">
        <f>IF(J4="","",ROUNDUP(J4,0))</f>
        <v/>
      </c>
      <c r="L4" s="10">
        <f>IF($C4="","",$C4/(1-0.4))</f>
        <v/>
      </c>
      <c r="M4" s="10">
        <f>IF(L4="","",ROUNDUP(L4,0))</f>
        <v/>
      </c>
      <c r="N4" s="10">
        <f>IF($C4="","",$C4/(1-0.45))</f>
        <v/>
      </c>
      <c r="O4" s="10">
        <f>IF(N4="","",ROUNDUP(N4,0))</f>
        <v/>
      </c>
      <c r="P4" s="10">
        <f>IF($C4="","",$C4/(1-0.5))</f>
        <v/>
      </c>
      <c r="Q4" s="10">
        <f>IF(P4="","",ROUNDUP(P4,0))</f>
        <v/>
      </c>
    </row>
    <row r="5">
      <c r="A5" s="2" t="inlineStr">
        <is>
          <t>Sugar Rush Toasties</t>
        </is>
      </c>
      <c r="B5" s="2" t="inlineStr">
        <is>
          <t>No Box</t>
        </is>
      </c>
      <c r="C5" s="10">
        <f>'Product Summary'!F5</f>
        <v/>
      </c>
      <c r="D5" s="10">
        <f>IF($C5="","",$C5/(1-0.2))</f>
        <v/>
      </c>
      <c r="E5" s="10">
        <f>IF(D5="","",ROUNDUP(D5,0))</f>
        <v/>
      </c>
      <c r="F5" s="10">
        <f>IF($C5="","",$C5/(1-0.25))</f>
        <v/>
      </c>
      <c r="G5" s="10">
        <f>IF(F5="","",ROUNDUP(F5,0))</f>
        <v/>
      </c>
      <c r="H5" s="10">
        <f>IF($C5="","",$C5/(1-0.3))</f>
        <v/>
      </c>
      <c r="I5" s="10">
        <f>IF(H5="","",ROUNDUP(H5,0))</f>
        <v/>
      </c>
      <c r="J5" s="10">
        <f>IF($C5="","",$C5/(1-0.35))</f>
        <v/>
      </c>
      <c r="K5" s="10">
        <f>IF(J5="","",ROUNDUP(J5,0))</f>
        <v/>
      </c>
      <c r="L5" s="10">
        <f>IF($C5="","",$C5/(1-0.4))</f>
        <v/>
      </c>
      <c r="M5" s="10">
        <f>IF(L5="","",ROUNDUP(L5,0))</f>
        <v/>
      </c>
      <c r="N5" s="10">
        <f>IF($C5="","",$C5/(1-0.45))</f>
        <v/>
      </c>
      <c r="O5" s="10">
        <f>IF(N5="","",ROUNDUP(N5,0))</f>
        <v/>
      </c>
      <c r="P5" s="10">
        <f>IF($C5="","",$C5/(1-0.5))</f>
        <v/>
      </c>
      <c r="Q5" s="10">
        <f>IF(P5="","",ROUNDUP(P5,0))</f>
        <v/>
      </c>
    </row>
    <row r="6">
      <c r="A6" s="2" t="inlineStr">
        <is>
          <t>Sugar Rush Toasties</t>
        </is>
      </c>
      <c r="B6" s="2" t="inlineStr">
        <is>
          <t>Dine-in</t>
        </is>
      </c>
      <c r="C6" s="10">
        <f>'Product Summary'!F6</f>
        <v/>
      </c>
      <c r="D6" s="10">
        <f>IF($C6="","",$C6/(1-0.2))</f>
        <v/>
      </c>
      <c r="E6" s="10">
        <f>IF(D6="","",ROUNDUP(D6,0))</f>
        <v/>
      </c>
      <c r="F6" s="10">
        <f>IF($C6="","",$C6/(1-0.25))</f>
        <v/>
      </c>
      <c r="G6" s="10">
        <f>IF(F6="","",ROUNDUP(F6,0))</f>
        <v/>
      </c>
      <c r="H6" s="10">
        <f>IF($C6="","",$C6/(1-0.3))</f>
        <v/>
      </c>
      <c r="I6" s="10">
        <f>IF(H6="","",ROUNDUP(H6,0))</f>
        <v/>
      </c>
      <c r="J6" s="10">
        <f>IF($C6="","",$C6/(1-0.35))</f>
        <v/>
      </c>
      <c r="K6" s="10">
        <f>IF(J6="","",ROUNDUP(J6,0))</f>
        <v/>
      </c>
      <c r="L6" s="10">
        <f>IF($C6="","",$C6/(1-0.4))</f>
        <v/>
      </c>
      <c r="M6" s="10">
        <f>IF(L6="","",ROUNDUP(L6,0))</f>
        <v/>
      </c>
      <c r="N6" s="10">
        <f>IF($C6="","",$C6/(1-0.45))</f>
        <v/>
      </c>
      <c r="O6" s="10">
        <f>IF(N6="","",ROUNDUP(N6,0))</f>
        <v/>
      </c>
      <c r="P6" s="10">
        <f>IF($C6="","",$C6/(1-0.5))</f>
        <v/>
      </c>
      <c r="Q6" s="10">
        <f>IF(P6="","",ROUNDUP(P6,0))</f>
        <v/>
      </c>
    </row>
    <row r="7">
      <c r="A7" s="2" t="inlineStr">
        <is>
          <t>Sugar Rush Toasties</t>
        </is>
      </c>
      <c r="B7" s="2" t="inlineStr">
        <is>
          <t>Takeout</t>
        </is>
      </c>
      <c r="C7" s="10">
        <f>'Product Summary'!F7</f>
        <v/>
      </c>
      <c r="D7" s="10">
        <f>IF($C7="","",$C7/(1-0.2))</f>
        <v/>
      </c>
      <c r="E7" s="10">
        <f>IF(D7="","",ROUNDUP(D7,0))</f>
        <v/>
      </c>
      <c r="F7" s="10">
        <f>IF($C7="","",$C7/(1-0.25))</f>
        <v/>
      </c>
      <c r="G7" s="10">
        <f>IF(F7="","",ROUNDUP(F7,0))</f>
        <v/>
      </c>
      <c r="H7" s="10">
        <f>IF($C7="","",$C7/(1-0.3))</f>
        <v/>
      </c>
      <c r="I7" s="10">
        <f>IF(H7="","",ROUNDUP(H7,0))</f>
        <v/>
      </c>
      <c r="J7" s="10">
        <f>IF($C7="","",$C7/(1-0.35))</f>
        <v/>
      </c>
      <c r="K7" s="10">
        <f>IF(J7="","",ROUNDUP(J7,0))</f>
        <v/>
      </c>
      <c r="L7" s="10">
        <f>IF($C7="","",$C7/(1-0.4))</f>
        <v/>
      </c>
      <c r="M7" s="10">
        <f>IF(L7="","",ROUNDUP(L7,0))</f>
        <v/>
      </c>
      <c r="N7" s="10">
        <f>IF($C7="","",$C7/(1-0.45))</f>
        <v/>
      </c>
      <c r="O7" s="10">
        <f>IF(N7="","",ROUNDUP(N7,0))</f>
        <v/>
      </c>
      <c r="P7" s="10">
        <f>IF($C7="","",$C7/(1-0.5))</f>
        <v/>
      </c>
      <c r="Q7" s="10">
        <f>IF(P7="","",ROUNDUP(P7,0))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2026-06-22T16:39:26Z</dcterms:created>
  <dcterms:modified xsi:type="dcterms:W3CDTF">2026-06-22T16:39:26Z</dcterms:modified>
</cp:coreProperties>
</file>